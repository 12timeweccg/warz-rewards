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 sheetId="1" r:id="rId5"/>
    <sheet state="visible" name="รายชื่อกิจกรรม" sheetId="2" r:id="rId6"/>
    <sheet state="visible" name="Template" sheetId="3" r:id="rId7"/>
    <sheet state="visible" name="💛 แจ้งบั๊ก รับของ" sheetId="4" r:id="rId8"/>
    <sheet state="visible" name="💛 ปราบบอสพี่อู๋" sheetId="5" r:id="rId9"/>
    <sheet state="visible" name="💛แคปสิทธิ์ผู้รอดชีวิต" sheetId="6" r:id="rId10"/>
    <sheet state="visible" name="4 STEPS" sheetId="7" r:id="rId11"/>
    <sheet state="visible" name="💛 แอดไลน์ รับเสบียง" sheetId="8" r:id="rId12"/>
    <sheet state="visible" name="💛Fishing" sheetId="9" r:id="rId13"/>
    <sheet state="visible" name="💛Bob Cap" sheetId="10" r:id="rId14"/>
    <sheet state="visible" name="💛อาวุธคู่ใจ" sheetId="11" r:id="rId15"/>
    <sheet state="visible" name="Bob Hunt" sheetId="12" r:id="rId16"/>
    <sheet state="visible" name="ภารกิจค้นหาเสบียงลับ " sheetId="13" r:id="rId17"/>
  </sheets>
  <definedNames/>
  <calcPr/>
</workbook>
</file>

<file path=xl/sharedStrings.xml><?xml version="1.0" encoding="utf-8"?>
<sst xmlns="http://schemas.openxmlformats.org/spreadsheetml/2006/main" count="5791" uniqueCount="1875">
  <si>
    <t>ประกาศจากทีมงาน</t>
  </si>
  <si>
    <t>การจัดส่งของรางวัลทีมงานจะจัดส่งรางวัลต่าง ๆ ดังนี้</t>
  </si>
  <si>
    <t xml:space="preserve"> ชื่อชีทที่มีสัญลักษณ์ 💛 = เก็บรายชื่อเสร็จแล้ว
หรือ เป็น Master Code / Event All User Rewards</t>
  </si>
  <si>
    <r>
      <rPr>
        <rFont val="Mali"/>
        <b/>
        <color rgb="FF0000FF"/>
        <sz val="11.0"/>
      </rPr>
      <t>• รางวัลที่รับบนหน้าเว็บไซต์ :</t>
    </r>
    <r>
      <rPr>
        <rFont val="Mali"/>
        <b/>
        <color rgb="FFFF0000"/>
        <sz val="11.0"/>
      </rPr>
      <t xml:space="preserve"> </t>
    </r>
    <r>
      <rPr>
        <rFont val="Mali"/>
        <b/>
        <color rgb="FF000000"/>
        <sz val="11.0"/>
      </rPr>
      <t>ตัดรอบทุกวัน พุธ</t>
    </r>
    <r>
      <rPr>
        <rFont val="Mali"/>
        <b val="0"/>
        <color rgb="FF000000"/>
        <sz val="11.0"/>
      </rPr>
      <t xml:space="preserve"> และจัดส่งให้รับรางวัลหน้าเว็บไซต์ได้</t>
    </r>
    <r>
      <rPr>
        <rFont val="Mali"/>
        <b/>
        <color rgb="FF000000"/>
        <sz val="11.0"/>
      </rPr>
      <t>ทุกวัน พุธ</t>
    </r>
  </si>
  <si>
    <r>
      <rPr>
        <rFont val="Mali"/>
        <b/>
        <color rgb="FF0000FF"/>
        <sz val="11.0"/>
      </rPr>
      <t>• รางวัลที่จัดส่งภายในเกม :</t>
    </r>
    <r>
      <rPr>
        <rFont val="Mali"/>
        <b/>
        <color rgb="FFFF0000"/>
        <sz val="11.0"/>
      </rPr>
      <t xml:space="preserve"> </t>
    </r>
    <r>
      <rPr>
        <rFont val="Mali"/>
        <b/>
        <color rgb="FF000000"/>
        <sz val="11.0"/>
      </rPr>
      <t>จัดส่งทุกวันพุธ</t>
    </r>
  </si>
  <si>
    <r>
      <rPr>
        <rFont val="Mali"/>
        <b/>
        <color rgb="FF0000FF"/>
        <sz val="11.0"/>
      </rPr>
      <t>• รางวัลภายนอกเกม ประเภทพัสดุ :</t>
    </r>
    <r>
      <rPr>
        <rFont val="Mali"/>
        <b/>
        <color rgb="FFFF0000"/>
        <sz val="11.0"/>
      </rPr>
      <t xml:space="preserve"> </t>
    </r>
    <r>
      <rPr>
        <rFont val="Mali"/>
        <b val="0"/>
        <color rgb="FF000000"/>
        <sz val="11.0"/>
      </rPr>
      <t>ตัดรอบ</t>
    </r>
    <r>
      <rPr>
        <rFont val="Mali"/>
        <b/>
        <color rgb="FF000000"/>
        <sz val="11.0"/>
      </rPr>
      <t>ทุกวัน xxxxxx</t>
    </r>
    <r>
      <rPr>
        <rFont val="Mali"/>
        <b val="0"/>
        <color rgb="FF000000"/>
        <sz val="11.0"/>
      </rPr>
      <t xml:space="preserve"> เวลา 12.00 น. และ</t>
    </r>
    <r>
      <rPr>
        <rFont val="Mali"/>
        <b/>
        <color rgb="FF000000"/>
        <sz val="11.0"/>
      </rPr>
      <t>จัดส่งพัสดุภายใน xxxxx</t>
    </r>
  </si>
  <si>
    <r>
      <rPr>
        <rFont val="Mali"/>
        <b/>
        <color rgb="FF0000FF"/>
        <sz val="11.0"/>
      </rPr>
      <t xml:space="preserve">• รางวัลภายนอกเกม ประเภท Voucher : </t>
    </r>
    <r>
      <rPr>
        <rFont val="Mali"/>
        <b/>
        <color rgb="FF000000"/>
        <sz val="11.0"/>
      </rPr>
      <t xml:space="preserve">ตัดรอบทุกวันที่ xxx และ xxx </t>
    </r>
    <r>
      <rPr>
        <rFont val="Mali"/>
        <b val="0"/>
        <color rgb="FF000000"/>
        <sz val="11.0"/>
      </rPr>
      <t>ของทุกเดือน และ</t>
    </r>
    <r>
      <rPr>
        <rFont val="Mali"/>
        <b/>
        <color rgb="FF000000"/>
        <sz val="11.0"/>
      </rPr>
      <t>จัดส่ง</t>
    </r>
    <r>
      <rPr>
        <rFont val="Mali"/>
        <b val="0"/>
        <color rgb="FF000000"/>
        <sz val="11.0"/>
      </rPr>
      <t xml:space="preserve">ทาง sms </t>
    </r>
    <r>
      <rPr>
        <rFont val="Mali"/>
        <b/>
        <color rgb="FF000000"/>
        <sz val="11.0"/>
      </rPr>
      <t>ภายใน 15 และ 30 ของทุกเดือน</t>
    </r>
  </si>
  <si>
    <r>
      <rPr>
        <rFont val="Mali"/>
        <color theme="1"/>
        <sz val="11.0"/>
      </rPr>
      <t>กรณีที่วันดังกล่าวตรงกับ</t>
    </r>
    <r>
      <rPr>
        <rFont val="Mali"/>
        <b/>
        <color theme="1"/>
        <sz val="11.0"/>
      </rPr>
      <t>วันหยุด</t>
    </r>
    <r>
      <rPr>
        <rFont val="Mali"/>
        <color theme="1"/>
        <sz val="11.0"/>
      </rPr>
      <t xml:space="preserve"> ทีมงานจะส่งให้ในวันศุกร์ของสัปดาห์ที่ 2 และ 4 ของเดือนนั้นๆ แทน</t>
    </r>
  </si>
  <si>
    <t>💜 Purple</t>
  </si>
  <si>
    <t>💛 Yellow</t>
  </si>
  <si>
    <t>No</t>
  </si>
  <si>
    <t xml:space="preserve"> รายชื่อกิจกรรม</t>
  </si>
  <si>
    <t>วันเริ่มกิจกรรม</t>
  </si>
  <si>
    <t>วันจบกิจกรรม</t>
  </si>
  <si>
    <t>วันประกาศผล</t>
  </si>
  <si>
    <t>วันที่รับของรางวัล</t>
  </si>
  <si>
    <t>🎁 วิธีการรับรางวัล</t>
  </si>
  <si>
    <t>📌 Notion</t>
  </si>
  <si>
    <t>ระยะเวลายืนยันตัวตน</t>
  </si>
  <si>
    <t>⚙️ อัปเดตสถานะ</t>
  </si>
  <si>
    <t>👑 ใครรับงานเซต</t>
  </si>
  <si>
    <t>⚙️ สถานะการทำงาน</t>
  </si>
  <si>
    <t>วันที่จัดส่ง / sms</t>
  </si>
  <si>
    <t>แคปสิทธิ์ผู้รอดชีวิต</t>
  </si>
  <si>
    <t>🌐หน้าเว็บไซต์</t>
  </si>
  <si>
    <t>Notion</t>
  </si>
  <si>
    <t>-</t>
  </si>
  <si>
    <t>⚙️ กำลังดำเนินการ</t>
  </si>
  <si>
    <t>อาวุธคู่ใจ</t>
  </si>
  <si>
    <r>
      <rPr>
        <color rgb="FF1155CC"/>
        <u/>
      </rPr>
      <t>[WarZ] จัดส่งของรางวัลกิจกรรมคอมมู "อาวุธคู่ใจ"</t>
    </r>
  </si>
  <si>
    <t>แอดไลน์ รับเสบียง</t>
  </si>
  <si>
    <t>[WarZ] จัดส่งของรางวัลกิจกรรมคอมมู "แอดไลน์ รับเสบียง "</t>
  </si>
  <si>
    <t>แจ้งบั๊ก รับของ</t>
  </si>
  <si>
    <r>
      <rPr>
        <color rgb="FF1155CC"/>
        <u/>
      </rPr>
      <t>[WarZ] จัดส่งของรางวัลกิจกรรมคอมมู "แจ้งบัครับของ"</t>
    </r>
  </si>
  <si>
    <t>ปราบบอสพี่อู๋</t>
  </si>
  <si>
    <r>
      <rPr>
        <color rgb="FF1155CC"/>
        <u/>
      </rPr>
      <t>[WarZ] จัดส่งของรางวัลกิจกรรมคอมมู "ปราบบอสพี่อู๋ "</t>
    </r>
  </si>
  <si>
    <t>Bob Hunt</t>
  </si>
  <si>
    <t>HOF</t>
  </si>
  <si>
    <t>[WarZ] จัดส่งของรางวัลกิจกรรมคอมมู "Bob Hunt "</t>
  </si>
  <si>
    <t>Bob Cap</t>
  </si>
  <si>
    <t>[WarZ] จัดส่งของรางวัลกิจกรรมคอมมู "Bob Cap "</t>
  </si>
  <si>
    <t>Fishing</t>
  </si>
  <si>
    <t>[WarZ] จัดส่งของรางวัลกิจกรรมคอมมู "Fishing"</t>
  </si>
  <si>
    <t>ภารกิจค้นหาเสบียงลับ</t>
  </si>
  <si>
    <t>[WarZ] จัดส่งของรางวัลกิจกรรมคอมมู "ภารกิจค้นหาเสบียงลับ"</t>
  </si>
  <si>
    <t>Template</t>
  </si>
  <si>
    <t>วันที่จัดส่ง</t>
  </si>
  <si>
    <t>รายละเอียดกิจกรรม และของรางวัล</t>
  </si>
  <si>
    <t>ผู้รับผิดชอบการจัดส่ง</t>
  </si>
  <si>
    <t>ตัดรอบบิลส่งของ</t>
  </si>
  <si>
    <t>ของรางวัลกิจกรรม</t>
  </si>
  <si>
    <t>สถานะการจัดส่ง</t>
  </si>
  <si>
    <t>คลิกอ่านรายละเอียด</t>
  </si>
  <si>
    <t>ทีมสีเหลือง</t>
  </si>
  <si>
    <t>ทุกวันพุธ</t>
  </si>
  <si>
    <t>Bundle</t>
  </si>
  <si>
    <t>รางวัลสำหรับผู้เข้าร่วมทุกคน</t>
  </si>
  <si>
    <t>ระยะเวลากดรับของรางวัล
(สำหรับสีเหลือง)</t>
  </si>
  <si>
    <t>เริ่ม</t>
  </si>
  <si>
    <t>10 มิ.ย. 69 เวลา 12.00 น.</t>
  </si>
  <si>
    <t>สิ้นสุด</t>
  </si>
  <si>
    <t>17 มิ.ย. 69 เวลา 23.59 น.</t>
  </si>
  <si>
    <t>NO.</t>
  </si>
  <si>
    <t>Reward</t>
  </si>
  <si>
    <t>Facebook</t>
  </si>
  <si>
    <t>UID</t>
  </si>
  <si>
    <t>วิธีการรับรางวัล</t>
  </si>
  <si>
    <t>🕹 Lucky Draw</t>
  </si>
  <si>
    <t>🌐 เว็บไซต์</t>
  </si>
  <si>
    <t>✅ จัดส่งแล้ว</t>
  </si>
  <si>
    <t>ยังไม่เทส In-game</t>
  </si>
  <si>
    <t>Image</t>
  </si>
  <si>
    <t>Item ID</t>
  </si>
  <si>
    <t>Item EN</t>
  </si>
  <si>
    <t>Own Period</t>
  </si>
  <si>
    <t>Item Type</t>
  </si>
  <si>
    <t>Amount</t>
  </si>
  <si>
    <t>Total Price</t>
  </si>
  <si>
    <t xml:space="preserve">Image URL </t>
  </si>
  <si>
    <t>รางวัลสำหรับสุ่มผู้โชคดี xx โค้ด</t>
  </si>
  <si>
    <t xml:space="preserve">ของรางวัลกิจกรรมให้ยกเซิร์ฟ Reward Event รับหน้าเว็บ ได้รับทุกคน (All) </t>
  </si>
  <si>
    <t>Image URL</t>
  </si>
  <si>
    <t>Bait</t>
  </si>
  <si>
    <t>Katana</t>
  </si>
  <si>
    <t>Night vision civilian</t>
  </si>
  <si>
    <t>MTV Forest</t>
  </si>
  <si>
    <t>Large Backpack</t>
  </si>
  <si>
    <t>Antibiotics</t>
  </si>
  <si>
    <t>Bag MRE</t>
  </si>
  <si>
    <t>Electro-AID</t>
  </si>
  <si>
    <t>ระยะเวลาไอเทมโค้ด</t>
  </si>
  <si>
    <t>- 1 ไอดี เติม item code ได้เพียง 1 ครั้ง ไม่สามารถเติมซ้ำได้</t>
  </si>
  <si>
    <t>ITEM CODE : ZELFURXWARZTH</t>
  </si>
  <si>
    <t>รอเทส</t>
  </si>
  <si>
    <t>AK-74M</t>
  </si>
  <si>
    <t>Weapon</t>
  </si>
  <si>
    <t>https://cdn.exe.in.th/marketing/WarzTH_LE/Item%20Dict/ak_74m.png</t>
  </si>
  <si>
    <t>5.45 AK Drum</t>
  </si>
  <si>
    <t>Ammo</t>
  </si>
  <si>
    <t>https://cdn.exe.in.th/marketing/WarzTH_LE/Item%20Dict/5.45AK_drum.png</t>
  </si>
  <si>
    <t>https://cdn.exe.in.th/marketing/WarzTH_LE/Item%20Dict/katana.png</t>
  </si>
  <si>
    <t>M9 Helmet Forest 1</t>
  </si>
  <si>
    <t>Equipment</t>
  </si>
  <si>
    <t>https://cdn.exe.in.th/marketing/WarzTH_LE/Item%20Dict/k._style_helmet.png</t>
  </si>
  <si>
    <t>https://cdn.exe.in.th/marketing/WarzTH_LE/Item%20Dict/custom_guerilla.png</t>
  </si>
  <si>
    <t>Consumable</t>
  </si>
  <si>
    <t>https://cdn.exe.in.th/marketing/WarzTH_LE/Item%20Dict/bandages_dx.png</t>
  </si>
  <si>
    <t>รวม</t>
  </si>
  <si>
    <t>สร้างอีเวนท์แล้ว</t>
  </si>
  <si>
    <t>สำหรับคนที่ทำถูกต้องตามกติกา 200 รางวัล</t>
  </si>
  <si>
    <t>Sarada Ken</t>
  </si>
  <si>
    <t>024VHD</t>
  </si>
  <si>
    <t>Toffy Ananporn</t>
  </si>
  <si>
    <t>R2G5E5</t>
  </si>
  <si>
    <t>เทส In-gameแล้ว</t>
  </si>
  <si>
    <t>Bucha Ngernma</t>
  </si>
  <si>
    <t>XB9Y20</t>
  </si>
  <si>
    <t>M16</t>
  </si>
  <si>
    <t>Kobayashi Malajuu</t>
  </si>
  <si>
    <t>5VD4O6</t>
  </si>
  <si>
    <t>STANAG 60</t>
  </si>
  <si>
    <t>Kongphop Dangngam</t>
  </si>
  <si>
    <t>7A0XU4</t>
  </si>
  <si>
    <t>K Style NVG</t>
  </si>
  <si>
    <t>รินเน่ นักตอกข้ามจักรวาล</t>
  </si>
  <si>
    <t>J8T2R9</t>
  </si>
  <si>
    <t>Custom Guerilla</t>
  </si>
  <si>
    <t>Chayantorn Muangkrung</t>
  </si>
  <si>
    <t>2S5P5C</t>
  </si>
  <si>
    <t>ALICE Rucksack</t>
  </si>
  <si>
    <t>Thanus Samermuan</t>
  </si>
  <si>
    <t>54OBI9</t>
  </si>
  <si>
    <t>Boyyang Thinnakorn</t>
  </si>
  <si>
    <t>8M29RO</t>
  </si>
  <si>
    <t>Jeerapath Kijmee</t>
  </si>
  <si>
    <t>G5V63I</t>
  </si>
  <si>
    <t>Yodpetch Amphanthong</t>
  </si>
  <si>
    <t>I3G1X7</t>
  </si>
  <si>
    <t>กุลวัชร สุขเจริญ</t>
  </si>
  <si>
    <t>EI3E19</t>
  </si>
  <si>
    <t>Wi'saruť Ĺÿp</t>
  </si>
  <si>
    <t>1C19PH</t>
  </si>
  <si>
    <t>Nattawut Jukkrathok</t>
  </si>
  <si>
    <t>0J83SU</t>
  </si>
  <si>
    <t>Phuwanat Aerdrad</t>
  </si>
  <si>
    <t>Y9P89C</t>
  </si>
  <si>
    <t>Natthapong Rujikunrat</t>
  </si>
  <si>
    <t>4Q3Q5W</t>
  </si>
  <si>
    <t>Astral Imperial</t>
  </si>
  <si>
    <t>YW4P27</t>
  </si>
  <si>
    <t>Thanayut Thanalamlerdkul</t>
  </si>
  <si>
    <t>42J3RM</t>
  </si>
  <si>
    <t>Patiphon Paenhuai</t>
  </si>
  <si>
    <t>2AQ9K9</t>
  </si>
  <si>
    <t>Napat Wuttisan</t>
  </si>
  <si>
    <t>NT1O25</t>
  </si>
  <si>
    <t>Saran Madwangsaeng</t>
  </si>
  <si>
    <t>YQ844M</t>
  </si>
  <si>
    <t>บอม ฟักทอง</t>
  </si>
  <si>
    <t>XA687J</t>
  </si>
  <si>
    <t>อัครพล คงแจ่ม</t>
  </si>
  <si>
    <t>768LLP</t>
  </si>
  <si>
    <t>Vasin Charoenthurayont</t>
  </si>
  <si>
    <t>X3T42A</t>
  </si>
  <si>
    <t>Wasin Yupitak</t>
  </si>
  <si>
    <t>VL3Y83</t>
  </si>
  <si>
    <t>Mos Wattana</t>
  </si>
  <si>
    <t>5PE89F</t>
  </si>
  <si>
    <t>Panuwad Mapan</t>
  </si>
  <si>
    <t>ZB08D0</t>
  </si>
  <si>
    <t xml:space="preserve"> </t>
  </si>
  <si>
    <t>Jackeyy Prakasit</t>
  </si>
  <si>
    <t>W6Q10J</t>
  </si>
  <si>
    <t>Suriya Silaluck</t>
  </si>
  <si>
    <t>X63CY2</t>
  </si>
  <si>
    <t>Kittiphong Ketkamchon</t>
  </si>
  <si>
    <t>47RE8K</t>
  </si>
  <si>
    <t>Krinaphong Prasomphan</t>
  </si>
  <si>
    <t>Z3TV09</t>
  </si>
  <si>
    <t>Bil PT</t>
  </si>
  <si>
    <t>67YDF9</t>
  </si>
  <si>
    <t>ภพ พ.</t>
  </si>
  <si>
    <t>D85DG1</t>
  </si>
  <si>
    <t>Metha Ketpratoom</t>
  </si>
  <si>
    <t>38R4ML</t>
  </si>
  <si>
    <t>ภีมม ม.</t>
  </si>
  <si>
    <t>6YM6K7</t>
  </si>
  <si>
    <t>Thamonwan Sangjun</t>
  </si>
  <si>
    <t>4TU2E5</t>
  </si>
  <si>
    <t>Kitchakorn Triyaprasertphon</t>
  </si>
  <si>
    <t>OWT150</t>
  </si>
  <si>
    <t>Thanawat Sinphosri</t>
  </si>
  <si>
    <t>H2Y7B7</t>
  </si>
  <si>
    <t>Chatchanok Suchaikid</t>
  </si>
  <si>
    <t>Y0S6C7</t>
  </si>
  <si>
    <t>เฉลิมฉัตร แสนดี</t>
  </si>
  <si>
    <t>O2W0Y8</t>
  </si>
  <si>
    <t>Akkharadecd Sueaoon</t>
  </si>
  <si>
    <t>TQG006</t>
  </si>
  <si>
    <t>Beeaenkay NP</t>
  </si>
  <si>
    <t>897YDR</t>
  </si>
  <si>
    <t>ไนท์ จ๋าา</t>
  </si>
  <si>
    <t>B08R9Y</t>
  </si>
  <si>
    <t>เจ้ากรรม นายเวร</t>
  </si>
  <si>
    <t>FAV455</t>
  </si>
  <si>
    <t>Adam Aromdee</t>
  </si>
  <si>
    <t>35W3FH</t>
  </si>
  <si>
    <t>Kong Ngamwong</t>
  </si>
  <si>
    <t>5T9NT3</t>
  </si>
  <si>
    <t>ซา เปา</t>
  </si>
  <si>
    <t>I7K06U</t>
  </si>
  <si>
    <t>แมวเมี้ยว แมวเมี้ยว</t>
  </si>
  <si>
    <t>9N7NM0</t>
  </si>
  <si>
    <t>Smart Kanokphon</t>
  </si>
  <si>
    <t>476REI</t>
  </si>
  <si>
    <t>Jirasak Boranatong</t>
  </si>
  <si>
    <t>1OH55I</t>
  </si>
  <si>
    <t>Charinthip Kaikook Nipatpong</t>
  </si>
  <si>
    <t>PZ35C4</t>
  </si>
  <si>
    <t>Savezone</t>
  </si>
  <si>
    <t>OX827R</t>
  </si>
  <si>
    <t>Nattapol Sapa</t>
  </si>
  <si>
    <t>XS9V10</t>
  </si>
  <si>
    <t>Jay PakTho</t>
  </si>
  <si>
    <t>8Y8L3O</t>
  </si>
  <si>
    <t>Ton Bao</t>
  </si>
  <si>
    <t>66D8OY</t>
  </si>
  <si>
    <t>นาย พงศกร</t>
  </si>
  <si>
    <t>V654UM</t>
  </si>
  <si>
    <t>Tanwarat Klomklieng</t>
  </si>
  <si>
    <t>YHU418</t>
  </si>
  <si>
    <t>Phubet Kaewta</t>
  </si>
  <si>
    <t>5SD20M</t>
  </si>
  <si>
    <t>Aom D PT</t>
  </si>
  <si>
    <t>EC820N</t>
  </si>
  <si>
    <t>เมย์ 'ดำ</t>
  </si>
  <si>
    <t>8QHO87</t>
  </si>
  <si>
    <t>Jirasak Ball Somdang</t>
  </si>
  <si>
    <t>4ZRJ32</t>
  </si>
  <si>
    <t>Thapakorn Thapna</t>
  </si>
  <si>
    <t>SD965E</t>
  </si>
  <si>
    <t>Siwakorn Sukwun</t>
  </si>
  <si>
    <t>P3OY13</t>
  </si>
  <si>
    <t>Watcharin Rueanngam</t>
  </si>
  <si>
    <t>E1B0V9</t>
  </si>
  <si>
    <t>Teerapat Boonpitak</t>
  </si>
  <si>
    <t>0N1RD4</t>
  </si>
  <si>
    <t>Fuxx Por</t>
  </si>
  <si>
    <t>TN1D26</t>
  </si>
  <si>
    <t>คฑาวุธ สังข์ทอง</t>
  </si>
  <si>
    <t>OG97Y3</t>
  </si>
  <si>
    <t>TSUNAMI</t>
  </si>
  <si>
    <t>U7OU48</t>
  </si>
  <si>
    <t>โย่วว โย่วววว</t>
  </si>
  <si>
    <t>95D9VF</t>
  </si>
  <si>
    <t>Thiwakon Th-td</t>
  </si>
  <si>
    <t>L0T2F3</t>
  </si>
  <si>
    <t>Pornchail Phumrueang</t>
  </si>
  <si>
    <t>H3B23I</t>
  </si>
  <si>
    <t>Perapat Sukprasert</t>
  </si>
  <si>
    <t>L0OX54</t>
  </si>
  <si>
    <t>Santichai Tom</t>
  </si>
  <si>
    <t>8NAZ63</t>
  </si>
  <si>
    <t>TAwan Kaewsuwan</t>
  </si>
  <si>
    <t>CK35V6</t>
  </si>
  <si>
    <t>Man Witthaya</t>
  </si>
  <si>
    <t>7O56BS</t>
  </si>
  <si>
    <t>Phuriphat Chaiphet</t>
  </si>
  <si>
    <t>5ZX0W3</t>
  </si>
  <si>
    <t>สอง ตัวบาท</t>
  </si>
  <si>
    <t>5A0W6Z</t>
  </si>
  <si>
    <t>Schat Ten</t>
  </si>
  <si>
    <t>NSY346</t>
  </si>
  <si>
    <t>Pakkapol Phala</t>
  </si>
  <si>
    <t>2XRI62</t>
  </si>
  <si>
    <t>Siwanon Kittipunnapa</t>
  </si>
  <si>
    <t>9GI46X</t>
  </si>
  <si>
    <t>ต้น ออกันทา</t>
  </si>
  <si>
    <t>4B64FA</t>
  </si>
  <si>
    <t>แมวว</t>
  </si>
  <si>
    <t>1UH42X</t>
  </si>
  <si>
    <t>เจ้า บาส</t>
  </si>
  <si>
    <t>XV1D62</t>
  </si>
  <si>
    <t>Pai Pattharapong</t>
  </si>
  <si>
    <t>V2X28F</t>
  </si>
  <si>
    <t>Teeraphol Phithankron</t>
  </si>
  <si>
    <t>176BJX</t>
  </si>
  <si>
    <t>ก็เหมือนลม ถึงจะมองไม่เห็น แต่ก็รู้สึกได้</t>
  </si>
  <si>
    <t>1DZD03</t>
  </si>
  <si>
    <t>Anu Sorn</t>
  </si>
  <si>
    <t>DISLOW</t>
  </si>
  <si>
    <t>แอดไม่ได้</t>
  </si>
  <si>
    <t>Nuttapob Nawanapakul</t>
  </si>
  <si>
    <t>Z55CI0</t>
  </si>
  <si>
    <t>Anucha Keanjaturad</t>
  </si>
  <si>
    <t>JL304Y</t>
  </si>
  <si>
    <t>Kaewummarin Kongsuk</t>
  </si>
  <si>
    <t>J99W8T</t>
  </si>
  <si>
    <t>Pipat Teantuptim</t>
  </si>
  <si>
    <t>GE1K85</t>
  </si>
  <si>
    <t>Pongpatt Chantanapho</t>
  </si>
  <si>
    <t>0OG3N8</t>
  </si>
  <si>
    <t>Arawan Thoatankham</t>
  </si>
  <si>
    <t>JX99F9</t>
  </si>
  <si>
    <t>Jui Na Ja</t>
  </si>
  <si>
    <t>HFL131</t>
  </si>
  <si>
    <t>Chakatphon Vatsuntron</t>
  </si>
  <si>
    <t>R783PN</t>
  </si>
  <si>
    <t>Saran Khamla</t>
  </si>
  <si>
    <t>GX8A47</t>
  </si>
  <si>
    <t>Sorawit Kawklang</t>
  </si>
  <si>
    <t>27G5XS</t>
  </si>
  <si>
    <t>Max Sittirat</t>
  </si>
  <si>
    <t>V68A7E</t>
  </si>
  <si>
    <t>อนุสรณ์ พิเชฐกร</t>
  </si>
  <si>
    <t>JX81X8</t>
  </si>
  <si>
    <t>Ton MiMx</t>
  </si>
  <si>
    <t>T4Y62N</t>
  </si>
  <si>
    <t>Owen Tanakorn</t>
  </si>
  <si>
    <t>MX116I</t>
  </si>
  <si>
    <t>Sahapol S. Scaletta</t>
  </si>
  <si>
    <t>ZFA132</t>
  </si>
  <si>
    <t>Natthapong Chaiyasit</t>
  </si>
  <si>
    <t>V39S9K</t>
  </si>
  <si>
    <t>Napadol Kongsomboon</t>
  </si>
  <si>
    <t>11Z7FX</t>
  </si>
  <si>
    <t>Siwakorn Phetsuriyawong</t>
  </si>
  <si>
    <t>04N9ER</t>
  </si>
  <si>
    <t>Thanakorn Wongsawang</t>
  </si>
  <si>
    <t>16VBQ5</t>
  </si>
  <si>
    <t>Ponpet Kaewwongsa</t>
  </si>
  <si>
    <t>R69V3J</t>
  </si>
  <si>
    <t>Itthidech Sawangchaeng</t>
  </si>
  <si>
    <t>3L0IB9</t>
  </si>
  <si>
    <t>Doszon Forza</t>
  </si>
  <si>
    <t>W2N02B</t>
  </si>
  <si>
    <t>Albion Altenl</t>
  </si>
  <si>
    <t>3FPT10</t>
  </si>
  <si>
    <t>สันติสุข เอนก</t>
  </si>
  <si>
    <t>828RSK</t>
  </si>
  <si>
    <t>TeLapit Winpara</t>
  </si>
  <si>
    <t>6JU51Y</t>
  </si>
  <si>
    <t>Preecha Bunkam</t>
  </si>
  <si>
    <t>96YVA1</t>
  </si>
  <si>
    <t>Weerachai Saengrach</t>
  </si>
  <si>
    <t>17W4YZ</t>
  </si>
  <si>
    <t>Suwicha Koetnoi</t>
  </si>
  <si>
    <t>1F22RA</t>
  </si>
  <si>
    <t>จตุรพิช พานเหนือ</t>
  </si>
  <si>
    <t>24XUV3</t>
  </si>
  <si>
    <t>Got Jakkrit</t>
  </si>
  <si>
    <t>39YOF2</t>
  </si>
  <si>
    <t>Chinnakorn Choklom</t>
  </si>
  <si>
    <t>9G38XY</t>
  </si>
  <si>
    <t>Manutchai Plungarre</t>
  </si>
  <si>
    <t>C35F4T</t>
  </si>
  <si>
    <t>Patthadon Ketkowit</t>
  </si>
  <si>
    <t>TQ826U</t>
  </si>
  <si>
    <t>Namo Ok</t>
  </si>
  <si>
    <t>IO74W4</t>
  </si>
  <si>
    <t>Poppypound Kub</t>
  </si>
  <si>
    <t>BE73G1</t>
  </si>
  <si>
    <t>Eddy Ranmazii</t>
  </si>
  <si>
    <t>V6Q05K</t>
  </si>
  <si>
    <t>M Theerapong Wongbath</t>
  </si>
  <si>
    <t>IO41S4</t>
  </si>
  <si>
    <t>Pond Na Bangchang</t>
  </si>
  <si>
    <t>SR823E</t>
  </si>
  <si>
    <t>Nain Khuncha</t>
  </si>
  <si>
    <t>0ONR51</t>
  </si>
  <si>
    <t>ทวีป</t>
  </si>
  <si>
    <t>43WGQ4</t>
  </si>
  <si>
    <t>Anocha Boonnak</t>
  </si>
  <si>
    <t>642WRO</t>
  </si>
  <si>
    <t>บอล ซัง'ง</t>
  </si>
  <si>
    <t>S3X06X</t>
  </si>
  <si>
    <t>Phanu Wat</t>
  </si>
  <si>
    <t>MK1X91</t>
  </si>
  <si>
    <t>Heart SP</t>
  </si>
  <si>
    <t>7JGX39</t>
  </si>
  <si>
    <t>กรวุฒิ ผลอุดมทวีฟู</t>
  </si>
  <si>
    <t>I3M01J</t>
  </si>
  <si>
    <t>Thiphakon Pawaputanon</t>
  </si>
  <si>
    <t>Z8K7D5</t>
  </si>
  <si>
    <t>Arnupap Rachatumma</t>
  </si>
  <si>
    <t>6M2P70</t>
  </si>
  <si>
    <t>เกรียงไกร รอบเมือง</t>
  </si>
  <si>
    <t>1N2NF3</t>
  </si>
  <si>
    <t>Chonchanok Best Pisorom</t>
  </si>
  <si>
    <t>X60P8Z</t>
  </si>
  <si>
    <t>Tanaphon Promkhampa</t>
  </si>
  <si>
    <t>PK645K</t>
  </si>
  <si>
    <t>Tap Sutee WanQwen</t>
  </si>
  <si>
    <t>9E54JP</t>
  </si>
  <si>
    <t>Settawut Fy</t>
  </si>
  <si>
    <t>157WTL</t>
  </si>
  <si>
    <t>Phanupong Tle</t>
  </si>
  <si>
    <t>TV4P78</t>
  </si>
  <si>
    <t>Tummarut Asuchiwa</t>
  </si>
  <si>
    <t>618SFK</t>
  </si>
  <si>
    <t>Wittawatchai Boonnak</t>
  </si>
  <si>
    <t>679LHQ</t>
  </si>
  <si>
    <t>Kiattisak Artsanthia</t>
  </si>
  <si>
    <t>U6RE79</t>
  </si>
  <si>
    <t>Worachot Mooljino</t>
  </si>
  <si>
    <t>XW335Y</t>
  </si>
  <si>
    <t>Zee Nithikorn</t>
  </si>
  <si>
    <t>5GMS13</t>
  </si>
  <si>
    <t>ธนโชติ นันทะเพ็ชร</t>
  </si>
  <si>
    <t>QJ267A</t>
  </si>
  <si>
    <t>Tsea Phoenix</t>
  </si>
  <si>
    <t>D1N6E4</t>
  </si>
  <si>
    <t>Phuwakorn Thongnuepad</t>
  </si>
  <si>
    <t>8C68SE</t>
  </si>
  <si>
    <t>Pang Thanawat</t>
  </si>
  <si>
    <t>3B6G2H</t>
  </si>
  <si>
    <t>Wiraphat Faungsuk</t>
  </si>
  <si>
    <t>SE174Q</t>
  </si>
  <si>
    <t>Cha Nont</t>
  </si>
  <si>
    <t>J98X1U</t>
  </si>
  <si>
    <t>Beam Nadtachai</t>
  </si>
  <si>
    <t>5E19YF</t>
  </si>
  <si>
    <t>Surasak Bubphalo</t>
  </si>
  <si>
    <t>49M5JU</t>
  </si>
  <si>
    <t>Theerapan Klajit</t>
  </si>
  <si>
    <t>A8JT38</t>
  </si>
  <si>
    <t>Khomkrit Khamkhong</t>
  </si>
  <si>
    <t>KG2J54</t>
  </si>
  <si>
    <t>Nakkarin'n Laksansut't</t>
  </si>
  <si>
    <t>83BWF0</t>
  </si>
  <si>
    <t>Knab Itim</t>
  </si>
  <si>
    <t>3AM2X0</t>
  </si>
  <si>
    <t>กำ กวนตีน</t>
  </si>
  <si>
    <t>58C1EO</t>
  </si>
  <si>
    <t>Zunny Goon</t>
  </si>
  <si>
    <t>ชื่อซ้ำ</t>
  </si>
  <si>
    <t>Chudmongkon Pinadpai</t>
  </si>
  <si>
    <t>VQP260</t>
  </si>
  <si>
    <t>Ford</t>
  </si>
  <si>
    <t>0J2J7P</t>
  </si>
  <si>
    <t>Sarawut Inanan</t>
  </si>
  <si>
    <t>4D75SV</t>
  </si>
  <si>
    <t>โบ๊ทจัง ซังคนอ่าน</t>
  </si>
  <si>
    <t>UUG127</t>
  </si>
  <si>
    <t>Kitti Thammakan</t>
  </si>
  <si>
    <t>0L76OJ</t>
  </si>
  <si>
    <t>Pee Peerapon</t>
  </si>
  <si>
    <t>6NVD48</t>
  </si>
  <si>
    <t>Jarun Ton</t>
  </si>
  <si>
    <t>Z899UV</t>
  </si>
  <si>
    <t>B'Narathon Darawan</t>
  </si>
  <si>
    <t>T7RM98</t>
  </si>
  <si>
    <t>Aot Woramet</t>
  </si>
  <si>
    <t>L6HB28</t>
  </si>
  <si>
    <t>อับดุล ลาฮีม</t>
  </si>
  <si>
    <t>I7KV65</t>
  </si>
  <si>
    <t>ขนมเปียกปูน นนนนนนนนนน</t>
  </si>
  <si>
    <t>9O06GX</t>
  </si>
  <si>
    <t>Ball Wanchai Suksee</t>
  </si>
  <si>
    <t>RA15V3</t>
  </si>
  <si>
    <t>Aunch DS</t>
  </si>
  <si>
    <t>O6I7V8</t>
  </si>
  <si>
    <t>Charatphan Rucheerawet</t>
  </si>
  <si>
    <t>9WIR22</t>
  </si>
  <si>
    <t>Fluke Burakorn</t>
  </si>
  <si>
    <t>HV4A40</t>
  </si>
  <si>
    <t>Cheatsada Khuhajit</t>
  </si>
  <si>
    <t>L09YQ3</t>
  </si>
  <si>
    <t>Niruch Duangkham</t>
  </si>
  <si>
    <t>6P5QW1</t>
  </si>
  <si>
    <t>Flook Songkran Sanduandee</t>
  </si>
  <si>
    <t>2Q18DN</t>
  </si>
  <si>
    <t>Paramet Suwan</t>
  </si>
  <si>
    <t>8S2X8C</t>
  </si>
  <si>
    <t>Ronnakorn Pongpis</t>
  </si>
  <si>
    <t>66WE0S</t>
  </si>
  <si>
    <t>Sarayut Boonnoi</t>
  </si>
  <si>
    <t>KM6K94</t>
  </si>
  <si>
    <t>S'name Khem'marat</t>
  </si>
  <si>
    <t>F61I2S</t>
  </si>
  <si>
    <t>Pungpond</t>
  </si>
  <si>
    <t>94Q2FW</t>
  </si>
  <si>
    <t>Pronprom Siriprom</t>
  </si>
  <si>
    <t>74V4RJ</t>
  </si>
  <si>
    <t>Atiwat Aiamthod</t>
  </si>
  <si>
    <t>4TK97X</t>
  </si>
  <si>
    <t>Amornthep Keawkamol</t>
  </si>
  <si>
    <t>82HNN2</t>
  </si>
  <si>
    <t>Pasit Jeamrattanasakul</t>
  </si>
  <si>
    <t>O1QB70</t>
  </si>
  <si>
    <t>Ronin Mat</t>
  </si>
  <si>
    <t>2BH29T</t>
  </si>
  <si>
    <t>Kattawut Lertsiri</t>
  </si>
  <si>
    <t>L03TU1</t>
  </si>
  <si>
    <t>Thakorn Chankaew</t>
  </si>
  <si>
    <t>LY76E9</t>
  </si>
  <si>
    <t>Pakorn Kawlod</t>
  </si>
  <si>
    <t>S4W39O</t>
  </si>
  <si>
    <t>Sarut Dasee</t>
  </si>
  <si>
    <t>7G2W2S</t>
  </si>
  <si>
    <t>Surat Churaksa</t>
  </si>
  <si>
    <t>1KP33N</t>
  </si>
  <si>
    <t>Dekthug Zerozeroseven</t>
  </si>
  <si>
    <t>5U90LX</t>
  </si>
  <si>
    <t>Ball Wanchai</t>
  </si>
  <si>
    <t>3T1H6G</t>
  </si>
  <si>
    <t>Worawit Wattana</t>
  </si>
  <si>
    <t>3MN0T5</t>
  </si>
  <si>
    <t>Suphakit Daengsaart</t>
  </si>
  <si>
    <t>HS594L</t>
  </si>
  <si>
    <t>วิน เทจ</t>
  </si>
  <si>
    <t>X7BM29</t>
  </si>
  <si>
    <t>พงศภัค พงษ์สวัสดิ์</t>
  </si>
  <si>
    <t>QG936T</t>
  </si>
  <si>
    <t>Artty'y Teerapat</t>
  </si>
  <si>
    <t>2X8WT1</t>
  </si>
  <si>
    <t>ณัฐพร ขุนเอม</t>
  </si>
  <si>
    <t>3T75YE</t>
  </si>
  <si>
    <t>4 STEPS</t>
  </si>
  <si>
    <t>เทสอินเกมแล้ว</t>
  </si>
  <si>
    <t>สุ่มผู้โชคดีที่ทำตามกติกา 50 รางวัล</t>
  </si>
  <si>
    <t>สร้างบันเดิลไว้รอรายชื่อเพื่อแอดรางวัล</t>
  </si>
  <si>
    <t>ตอง เจ</t>
  </si>
  <si>
    <t>O6B16U</t>
  </si>
  <si>
    <t>Khomkrit Chaichanan</t>
  </si>
  <si>
    <t>W0Q71T</t>
  </si>
  <si>
    <t>Nuttanut Jongphattarasup</t>
  </si>
  <si>
    <t>QM094H</t>
  </si>
  <si>
    <t>Jakkapong Saensuk</t>
  </si>
  <si>
    <t>N7A1K6</t>
  </si>
  <si>
    <t>Bandages DX</t>
  </si>
  <si>
    <t>เจ้ากันต์</t>
  </si>
  <si>
    <t>OS8M53</t>
  </si>
  <si>
    <t>Rod Fishing</t>
  </si>
  <si>
    <t>Noy Arnan</t>
  </si>
  <si>
    <t>P2LR96</t>
  </si>
  <si>
    <t>Premium - 1 Days</t>
  </si>
  <si>
    <t>Nopadon Tano</t>
  </si>
  <si>
    <t>68EBO0</t>
  </si>
  <si>
    <t>Phiriya Chaimala</t>
  </si>
  <si>
    <t>B77KNO</t>
  </si>
  <si>
    <t>Jiranchai Pele</t>
  </si>
  <si>
    <t>L293IQ</t>
  </si>
  <si>
    <t>Jirapong Pormma</t>
  </si>
  <si>
    <t>LB66P5</t>
  </si>
  <si>
    <t>Master Code : WARZINWZA</t>
  </si>
  <si>
    <t>อาร์ต 'ซี่</t>
  </si>
  <si>
    <t>AHC135</t>
  </si>
  <si>
    <t>Puen Ishikawa</t>
  </si>
  <si>
    <t>H84P4L</t>
  </si>
  <si>
    <t>Jirayut Thammarak</t>
  </si>
  <si>
    <t>8IW65S</t>
  </si>
  <si>
    <t>Pain killers</t>
  </si>
  <si>
    <t>โอม ควย.</t>
  </si>
  <si>
    <t>DO90D8</t>
  </si>
  <si>
    <t>Jusmin Jm</t>
  </si>
  <si>
    <t>B127AE</t>
  </si>
  <si>
    <t>Fluk Obita</t>
  </si>
  <si>
    <t>S583YJ</t>
  </si>
  <si>
    <t>Blueprints Skin K Style NVG HOF</t>
  </si>
  <si>
    <t>Thana Korn</t>
  </si>
  <si>
    <t>IK109X</t>
  </si>
  <si>
    <t>ชยพัทธ์ หงษ์ทอง</t>
  </si>
  <si>
    <t>1VF79Z</t>
  </si>
  <si>
    <t>ณฐพล บุญประเสริฐ</t>
  </si>
  <si>
    <t>R94BE1</t>
  </si>
  <si>
    <t>Master Code : FBWARZZA</t>
  </si>
  <si>
    <t>โอ้ งาย</t>
  </si>
  <si>
    <t>18QZ5Z</t>
  </si>
  <si>
    <t>Natthaphong Pnk</t>
  </si>
  <si>
    <t>Z921SI</t>
  </si>
  <si>
    <t>Chattra Wut</t>
  </si>
  <si>
    <t>YS5Z49</t>
  </si>
  <si>
    <t>Kob Srikanok</t>
  </si>
  <si>
    <t>M2R2P9</t>
  </si>
  <si>
    <t>IBA Sand</t>
  </si>
  <si>
    <t>NonDek Twothousandsix</t>
  </si>
  <si>
    <t>7Z78TE</t>
  </si>
  <si>
    <t>K. Style Helmet</t>
  </si>
  <si>
    <t>Supakorn Thongnangrong</t>
  </si>
  <si>
    <t>289JOY</t>
  </si>
  <si>
    <t>ฟิล์ม เมกา</t>
  </si>
  <si>
    <t>G40C8O</t>
  </si>
  <si>
    <t>Blueprints Skin ALICE Rucksack HOF</t>
  </si>
  <si>
    <t>อย่าคิด เยอะ.</t>
  </si>
  <si>
    <t>32LP4V</t>
  </si>
  <si>
    <t>N Ew Bie</t>
  </si>
  <si>
    <t>KW4F50</t>
  </si>
  <si>
    <t>ศาสตราจารย์ ดัมเบิลดอร์</t>
  </si>
  <si>
    <t>NE11L3</t>
  </si>
  <si>
    <t>Master Code : THEHOFWARZTH</t>
  </si>
  <si>
    <t>Jeff Xyen</t>
  </si>
  <si>
    <t>D1P08G</t>
  </si>
  <si>
    <t>นฤนาท ปริวัฒนศักดิ์</t>
  </si>
  <si>
    <t>KVN756</t>
  </si>
  <si>
    <t>Panakorn Sanguansuksakul</t>
  </si>
  <si>
    <t>TS613W</t>
  </si>
  <si>
    <t>FN P90 S</t>
  </si>
  <si>
    <t>WarZ TH: Limited Edition</t>
  </si>
  <si>
    <t>P90 50 rounds</t>
  </si>
  <si>
    <t>Veronica Doyle</t>
  </si>
  <si>
    <t>1R9G5P</t>
  </si>
  <si>
    <t>Blueprints Skin Custom Guerilla HOF</t>
  </si>
  <si>
    <t>Boom Thanawat</t>
  </si>
  <si>
    <t>T205PJ</t>
  </si>
  <si>
    <t>Sakda Muensaen</t>
  </si>
  <si>
    <t>D8W77P</t>
  </si>
  <si>
    <t>ณัฐพล สมัครสโมสร</t>
  </si>
  <si>
    <t>M1M88I</t>
  </si>
  <si>
    <t>วุ่น วายย.</t>
  </si>
  <si>
    <t>QT3L99</t>
  </si>
  <si>
    <t>Boonlerd Podee</t>
  </si>
  <si>
    <t>TA039T</t>
  </si>
  <si>
    <t>Kriangkrai Jindaprasert</t>
  </si>
  <si>
    <t>47DX7L</t>
  </si>
  <si>
    <t>Chaiwat Thuiait</t>
  </si>
  <si>
    <t>548RTE</t>
  </si>
  <si>
    <t>Teeraphat Sawangsri</t>
  </si>
  <si>
    <t>339OFZ</t>
  </si>
  <si>
    <t>Diw Witthayakon</t>
  </si>
  <si>
    <t>13C4PU</t>
  </si>
  <si>
    <t>Yannaphzt Srichxna</t>
  </si>
  <si>
    <t>I52WW8</t>
  </si>
  <si>
    <t>Pakphoom Job</t>
  </si>
  <si>
    <t>RD961A</t>
  </si>
  <si>
    <t>BBunsri Kawichai</t>
  </si>
  <si>
    <t>13KVZ2</t>
  </si>
  <si>
    <t>Jame TeeraPong</t>
  </si>
  <si>
    <t>5F8UK8</t>
  </si>
  <si>
    <t>Akarach Buarach</t>
  </si>
  <si>
    <t>WL65W2</t>
  </si>
  <si>
    <t>Theepakorn Suwanphinta</t>
  </si>
  <si>
    <t>JN440J</t>
  </si>
  <si>
    <t>Aon Aon</t>
  </si>
  <si>
    <t>B4Y6F7</t>
  </si>
  <si>
    <t>Mon Bunkum</t>
  </si>
  <si>
    <t>DE669Y</t>
  </si>
  <si>
    <t>Oak Burin</t>
  </si>
  <si>
    <t>2J38NQ</t>
  </si>
  <si>
    <t>Mook Siwakron</t>
  </si>
  <si>
    <t>42E1SE</t>
  </si>
  <si>
    <t>Chalotorn Ploysupa</t>
  </si>
  <si>
    <t>5AN7E3</t>
  </si>
  <si>
    <t>Teerawat Singthong</t>
  </si>
  <si>
    <t>9LLL75</t>
  </si>
  <si>
    <t>พีท วุฒิชัย</t>
  </si>
  <si>
    <t>R327DK</t>
  </si>
  <si>
    <t>Nack NewLife</t>
  </si>
  <si>
    <t>9VYF46</t>
  </si>
  <si>
    <t>รางวัลสำหรับสุ่มผู้โชคดี 60 คน</t>
  </si>
  <si>
    <t>Thitigorn Sundee</t>
  </si>
  <si>
    <t>7VP38I</t>
  </si>
  <si>
    <t>Ford Pitikorn</t>
  </si>
  <si>
    <t>S8P9O5</t>
  </si>
  <si>
    <t>Nattapong Lamsombat</t>
  </si>
  <si>
    <t>9TK4S7</t>
  </si>
  <si>
    <t>G36</t>
  </si>
  <si>
    <t>G36 C-Mag</t>
  </si>
  <si>
    <t>Phuttinan Phoonboon</t>
  </si>
  <si>
    <t>H9ZK52</t>
  </si>
  <si>
    <t>Surayut Phuttakhun HongTae</t>
  </si>
  <si>
    <t>9VDR59</t>
  </si>
  <si>
    <t>Chayaporn Suksawang</t>
  </si>
  <si>
    <t>R4T14Q</t>
  </si>
  <si>
    <t>Chaiwat Khunnoi</t>
  </si>
  <si>
    <t>7O2TQ2</t>
  </si>
  <si>
    <t>FU SE</t>
  </si>
  <si>
    <t>3X0FE5</t>
  </si>
  <si>
    <t>สาม 'ศูนย์</t>
  </si>
  <si>
    <t>2IG76W</t>
  </si>
  <si>
    <t>Fiw Tphat</t>
  </si>
  <si>
    <t>VL2F50</t>
  </si>
  <si>
    <t>สุทธิพจน์ มีหมืนพล</t>
  </si>
  <si>
    <t>WU0065</t>
  </si>
  <si>
    <t>Jirawat Plogojowitz</t>
  </si>
  <si>
    <t>7XI37H</t>
  </si>
  <si>
    <t>กฤตนัน อธิชาต</t>
  </si>
  <si>
    <t>1Q87JN</t>
  </si>
  <si>
    <t>Conan Edogawa</t>
  </si>
  <si>
    <t>I70KK9</t>
  </si>
  <si>
    <t>Aphiwat Rung-uthai</t>
  </si>
  <si>
    <t>4T9Q3W</t>
  </si>
  <si>
    <t>Sky Zefiros</t>
  </si>
  <si>
    <t>GHE269</t>
  </si>
  <si>
    <t>ปฎิษาปณ์พงศ์ สมัยเสนีย์</t>
  </si>
  <si>
    <t>Q7DA05</t>
  </si>
  <si>
    <t>Worawut Noibol</t>
  </si>
  <si>
    <t>L49UN6</t>
  </si>
  <si>
    <t>Sotha Laeng</t>
  </si>
  <si>
    <t>7UC1T7</t>
  </si>
  <si>
    <t>Krunakorn Kawsuk</t>
  </si>
  <si>
    <t>F8U4Q3</t>
  </si>
  <si>
    <t>Wichapas Boonpoei</t>
  </si>
  <si>
    <t>C124JJ</t>
  </si>
  <si>
    <t>Tanapat Saengow</t>
  </si>
  <si>
    <t>79FCX9</t>
  </si>
  <si>
    <t>ณัฐกานนต์ จิตรีสะอาด</t>
  </si>
  <si>
    <t>6N0MO4</t>
  </si>
  <si>
    <t>Putthiphong Thongsangworn</t>
  </si>
  <si>
    <t>9QP83A</t>
  </si>
  <si>
    <t>อธิปัตย์ ณัฐ อรรคนิมาตย์</t>
  </si>
  <si>
    <t>29R2YM</t>
  </si>
  <si>
    <t>Jirakit Wechapan</t>
  </si>
  <si>
    <t>4D24ER</t>
  </si>
  <si>
    <t>ธีรวัสส์ ฉิมจารย์</t>
  </si>
  <si>
    <t>X4E67C</t>
  </si>
  <si>
    <t>Phu Siripong</t>
  </si>
  <si>
    <t>D53T2I</t>
  </si>
  <si>
    <t>Wasu Srisawai</t>
  </si>
  <si>
    <t>456VPC</t>
  </si>
  <si>
    <t>Thanathorn Ssjr</t>
  </si>
  <si>
    <t>TH016Z</t>
  </si>
  <si>
    <t>Pao Boontem</t>
  </si>
  <si>
    <t>JDC754</t>
  </si>
  <si>
    <t>Thanawat Pinpho</t>
  </si>
  <si>
    <t>F459IW</t>
  </si>
  <si>
    <t>Leo Psv</t>
  </si>
  <si>
    <t>077BOP</t>
  </si>
  <si>
    <t>Thiraphat Khampiang</t>
  </si>
  <si>
    <t>09U3JM</t>
  </si>
  <si>
    <t>ตั้ม ป่าววว</t>
  </si>
  <si>
    <t>799URZ</t>
  </si>
  <si>
    <t>Ppxck Pack</t>
  </si>
  <si>
    <t>Y67Q6K</t>
  </si>
  <si>
    <t>HK Ponlawatz</t>
  </si>
  <si>
    <t>DUN540</t>
  </si>
  <si>
    <t>Tanakit Kaewkot</t>
  </si>
  <si>
    <t>1LH1I7</t>
  </si>
  <si>
    <t>Tanasak Teerasong</t>
  </si>
  <si>
    <t>X30RS4</t>
  </si>
  <si>
    <t>Siwanat Thammat</t>
  </si>
  <si>
    <t>IQ3T54</t>
  </si>
  <si>
    <t>Asok Sisahnga</t>
  </si>
  <si>
    <t>59BC3J</t>
  </si>
  <si>
    <t>เข้าร่วมทุกคน</t>
  </si>
  <si>
    <t>Aom Nontagorn</t>
  </si>
  <si>
    <t>4MQ1G0</t>
  </si>
  <si>
    <t>Natthaphon Kunmon</t>
  </si>
  <si>
    <t>A8NJ33</t>
  </si>
  <si>
    <t>ณัฐพนธ์ แซ่ลี้</t>
  </si>
  <si>
    <t>E1JF41</t>
  </si>
  <si>
    <t>Fluke Montee</t>
  </si>
  <si>
    <t>N0Q6C3</t>
  </si>
  <si>
    <t>Gu Nueng</t>
  </si>
  <si>
    <t>J9V9W6</t>
  </si>
  <si>
    <t>ทศพล อำพันทอง</t>
  </si>
  <si>
    <t>4J4L3H</t>
  </si>
  <si>
    <t>Kitsada Klatfueang</t>
  </si>
  <si>
    <t>M1CK37</t>
  </si>
  <si>
    <t>Montri Onwiset</t>
  </si>
  <si>
    <t>N1BY26</t>
  </si>
  <si>
    <t>Teerapat Rungratpisanchai</t>
  </si>
  <si>
    <t>0Z9PA7</t>
  </si>
  <si>
    <t>ลอร์ หลุยส์ ยิ้มหวาน</t>
  </si>
  <si>
    <t>EK123D</t>
  </si>
  <si>
    <t>NE W Da-y</t>
  </si>
  <si>
    <t>9N40EE</t>
  </si>
  <si>
    <t>Jakkarin Permchob</t>
  </si>
  <si>
    <t>A856BI</t>
  </si>
  <si>
    <t>Wisawa Singfai</t>
  </si>
  <si>
    <t>R081NZ</t>
  </si>
  <si>
    <t>Cee Jay</t>
  </si>
  <si>
    <t>9ON8C2</t>
  </si>
  <si>
    <t>ก๊อล์ฟ' ก๊อล์ฟ</t>
  </si>
  <si>
    <t>T5I33K</t>
  </si>
  <si>
    <t>Bas Thiraphat</t>
  </si>
  <si>
    <t>8Q8Y5J</t>
  </si>
  <si>
    <t>Thitimethi Limaphirak</t>
  </si>
  <si>
    <t>33DM3K</t>
  </si>
  <si>
    <t>กู้ทุกอย่าง ยกเว้นระเบิด</t>
  </si>
  <si>
    <t>N4WH92</t>
  </si>
  <si>
    <t>ผิดที่ ใจไม่จำ.</t>
  </si>
  <si>
    <t>E765TM</t>
  </si>
  <si>
    <t>Thanasak Haranrach</t>
  </si>
  <si>
    <t>QN6N33</t>
  </si>
  <si>
    <t>Natthaphon Nuannooplong</t>
  </si>
  <si>
    <t>TJ738D</t>
  </si>
  <si>
    <t>ปรีชา สมสวัสดิ์</t>
  </si>
  <si>
    <t>04FQA0</t>
  </si>
  <si>
    <t>Thanayut Sukcharoen</t>
  </si>
  <si>
    <t>4V5WB6</t>
  </si>
  <si>
    <t>Tan Phatcharaphong</t>
  </si>
  <si>
    <t>F57CK6</t>
  </si>
  <si>
    <t>Decha Wonganu</t>
  </si>
  <si>
    <t>9WBY67</t>
  </si>
  <si>
    <t>Jay Piyabuđ</t>
  </si>
  <si>
    <t>U3WG69</t>
  </si>
  <si>
    <t>Sakawat Pasuk</t>
  </si>
  <si>
    <t>L6V98M</t>
  </si>
  <si>
    <t>Atiphat Phookrongta</t>
  </si>
  <si>
    <t>29H8SF</t>
  </si>
  <si>
    <t>Meyou Tsk</t>
  </si>
  <si>
    <t>7HC41B</t>
  </si>
  <si>
    <t>Ruj Buntham</t>
  </si>
  <si>
    <t>NW4W65</t>
  </si>
  <si>
    <t>Teerapong</t>
  </si>
  <si>
    <t>J9T44E</t>
  </si>
  <si>
    <t>ศิริโชค พันธ์คำ</t>
  </si>
  <si>
    <t>9LW88H</t>
  </si>
  <si>
    <t>Kiw Pittawat</t>
  </si>
  <si>
    <t>104XYP</t>
  </si>
  <si>
    <t>Kittitad NoiKaew</t>
  </si>
  <si>
    <t>99PW7B</t>
  </si>
  <si>
    <t>Ghostdek Ux</t>
  </si>
  <si>
    <t>UG671Z</t>
  </si>
  <si>
    <t>Theeraphat Chaiya</t>
  </si>
  <si>
    <t>J70U5A</t>
  </si>
  <si>
    <t>ฟลุ๊ค ฟักเงี๊ยว</t>
  </si>
  <si>
    <t>33WIL9</t>
  </si>
  <si>
    <t>Cholly Chon</t>
  </si>
  <si>
    <t>UV943L</t>
  </si>
  <si>
    <t>Natkharin Natkharin</t>
  </si>
  <si>
    <t>AI88M1</t>
  </si>
  <si>
    <t>Sirichai Suangtho</t>
  </si>
  <si>
    <t>HKH402</t>
  </si>
  <si>
    <t>Champ</t>
  </si>
  <si>
    <t>76F0IF</t>
  </si>
  <si>
    <t>Apichat Srimuang</t>
  </si>
  <si>
    <t>V8I1P8</t>
  </si>
  <si>
    <t>Panudach Chaothonglang</t>
  </si>
  <si>
    <t>5K1WZ2</t>
  </si>
  <si>
    <t>Nuengz Nueng Nuengz</t>
  </si>
  <si>
    <t>UB92J8</t>
  </si>
  <si>
    <t>ออแลน ชอบสีฟ้า เลี้ยงปลาเจ็ดตัว จำชื่อไม่ได้</t>
  </si>
  <si>
    <t>YET681</t>
  </si>
  <si>
    <t>Je Cool Cool</t>
  </si>
  <si>
    <t>N2ZL68</t>
  </si>
  <si>
    <t>Monalisa Gig</t>
  </si>
  <si>
    <t>M06Y2O</t>
  </si>
  <si>
    <t>Tamagotchi</t>
  </si>
  <si>
    <t>D353FL</t>
  </si>
  <si>
    <t>Darin Phungtippimarnchai</t>
  </si>
  <si>
    <t>E7J7W6</t>
  </si>
  <si>
    <t>SuChart SuPhakam</t>
  </si>
  <si>
    <t>518XCK</t>
  </si>
  <si>
    <t>Beer Supote</t>
  </si>
  <si>
    <t>190RIH</t>
  </si>
  <si>
    <t>Natthakit Sodchaem</t>
  </si>
  <si>
    <t>0MRI80</t>
  </si>
  <si>
    <t>Sarawut Wisetsut</t>
  </si>
  <si>
    <t>Y312ET</t>
  </si>
  <si>
    <t>ทำดีได้ดี ทำชั่วได้ชั่ว</t>
  </si>
  <si>
    <t>0M1M0E</t>
  </si>
  <si>
    <t>Warin Sripo</t>
  </si>
  <si>
    <t>88HSN1</t>
  </si>
  <si>
    <t>Art Jirateep</t>
  </si>
  <si>
    <t>O13N7C</t>
  </si>
  <si>
    <t>Phanuwit Yangyoo</t>
  </si>
  <si>
    <t>W24CW1</t>
  </si>
  <si>
    <t>Punkung</t>
  </si>
  <si>
    <t>Z356DD</t>
  </si>
  <si>
    <t>Thanawat Yangnok</t>
  </si>
  <si>
    <t>S33W6I</t>
  </si>
  <si>
    <t>Tanapol Thongsuk</t>
  </si>
  <si>
    <t>C5Y3O7</t>
  </si>
  <si>
    <t>Phumpitak'Coa Phusi</t>
  </si>
  <si>
    <t>OMC823</t>
  </si>
  <si>
    <t>Nakarin Meesaeng</t>
  </si>
  <si>
    <t>T0S31W</t>
  </si>
  <si>
    <t>แบงค์น้อย ร้อยเกิน.</t>
  </si>
  <si>
    <t>0Q19AP</t>
  </si>
  <si>
    <t>ชีวิตยังคง สวยงาม</t>
  </si>
  <si>
    <t>AFK932</t>
  </si>
  <si>
    <t>อ้าวว' บาสส</t>
  </si>
  <si>
    <t>48XBO2</t>
  </si>
  <si>
    <t>Suchakhi Teahui</t>
  </si>
  <si>
    <t>852TBP</t>
  </si>
  <si>
    <t>Pongsit Kaonputsa</t>
  </si>
  <si>
    <t>F5WH16</t>
  </si>
  <si>
    <t>Kittiphat Imjaraun</t>
  </si>
  <si>
    <t>2Z25ZD</t>
  </si>
  <si>
    <t>Suphasek Ianthaisong</t>
  </si>
  <si>
    <t>40NEW9</t>
  </si>
  <si>
    <t>วรวิทย์ พวงปทุม</t>
  </si>
  <si>
    <t>8TDP08</t>
  </si>
  <si>
    <t>Peeratach Butto</t>
  </si>
  <si>
    <t>HR369E</t>
  </si>
  <si>
    <t>สิทธิเขต สืบสายทอง</t>
  </si>
  <si>
    <t>34M4GM</t>
  </si>
  <si>
    <t>Jame Hunter</t>
  </si>
  <si>
    <t>XCIXZA</t>
  </si>
  <si>
    <t>Chetsadakorn Chayajinda</t>
  </si>
  <si>
    <t>H2Z7S1</t>
  </si>
  <si>
    <t>นิติพล กางชา</t>
  </si>
  <si>
    <t>44ZOO4</t>
  </si>
  <si>
    <t>Pongsatorn Jiping</t>
  </si>
  <si>
    <t>YT3T82</t>
  </si>
  <si>
    <t>Jirayut Kaewkheow</t>
  </si>
  <si>
    <t>O0W5G8</t>
  </si>
  <si>
    <t>Khanathip Saartlong</t>
  </si>
  <si>
    <t>Y4P8F1</t>
  </si>
  <si>
    <t>Thiraphat Charoennao</t>
  </si>
  <si>
    <t>B2H0A9</t>
  </si>
  <si>
    <t>Nell Jakkaphat</t>
  </si>
  <si>
    <t>Q153XD</t>
  </si>
  <si>
    <t>Pongsakorn Thiangtong</t>
  </si>
  <si>
    <t>D614BX</t>
  </si>
  <si>
    <t>มือปืน พ่อลูกสอง</t>
  </si>
  <si>
    <t>Z79P1W</t>
  </si>
  <si>
    <t>ก็อย่างที่เห็น ผมแม่งเหี้ยทุกเรื่อง</t>
  </si>
  <si>
    <t>1C78BU</t>
  </si>
  <si>
    <t>อิทธิกร ชลวานิช</t>
  </si>
  <si>
    <t>73F2CM</t>
  </si>
  <si>
    <t>Wanchalerm EiEi</t>
  </si>
  <si>
    <t>5RX807</t>
  </si>
  <si>
    <t>ถนัดกิจ เขียววัย</t>
  </si>
  <si>
    <t>X7D67Z</t>
  </si>
  <si>
    <t>WënPhanuwat</t>
  </si>
  <si>
    <t>5WE99G</t>
  </si>
  <si>
    <t>Watcharakorn Jtpn</t>
  </si>
  <si>
    <t>5Y6Z3S</t>
  </si>
  <si>
    <t>กฤษณพล ขันเปี้ย</t>
  </si>
  <si>
    <t>8QM08L</t>
  </si>
  <si>
    <t>Chanachai Sritongon</t>
  </si>
  <si>
    <t>8M2N6I</t>
  </si>
  <si>
    <t>BE NZ</t>
  </si>
  <si>
    <t>5SL49D</t>
  </si>
  <si>
    <t>Cxllme Shimon</t>
  </si>
  <si>
    <t>986GWN</t>
  </si>
  <si>
    <t>Danunai Fluke</t>
  </si>
  <si>
    <t>43ZN8H</t>
  </si>
  <si>
    <t>ชื่อ' น๊อต</t>
  </si>
  <si>
    <t>6EAH23</t>
  </si>
  <si>
    <t>โชว์ลาบ ให้จ๊าบดู</t>
  </si>
  <si>
    <t>BT259P</t>
  </si>
  <si>
    <t>อัษฎาวุธ สิงห์ลอ</t>
  </si>
  <si>
    <t>A049AE</t>
  </si>
  <si>
    <t>Pornnapa Buasee</t>
  </si>
  <si>
    <t>U6R72Z</t>
  </si>
  <si>
    <t>Chalee Thaphrik</t>
  </si>
  <si>
    <t>6VRR61</t>
  </si>
  <si>
    <t>Jaraspong Seeraraum</t>
  </si>
  <si>
    <t>K400DR</t>
  </si>
  <si>
    <t>มาซา มุ เนะคุง</t>
  </si>
  <si>
    <t>X39OL8</t>
  </si>
  <si>
    <t>Due Chayanon</t>
  </si>
  <si>
    <t>V6A89V</t>
  </si>
  <si>
    <t>Chot Thanachot</t>
  </si>
  <si>
    <t>Q16R0U</t>
  </si>
  <si>
    <t>เก็ท สองเเชท</t>
  </si>
  <si>
    <t>761ZEX</t>
  </si>
  <si>
    <t>ปัง ปอนด์-</t>
  </si>
  <si>
    <t>64CT3S</t>
  </si>
  <si>
    <t>6VND48</t>
  </si>
  <si>
    <t>AP Ice</t>
  </si>
  <si>
    <t>7YKO72</t>
  </si>
  <si>
    <t>โอ 'เลี้ยวว.</t>
  </si>
  <si>
    <t>V197KF</t>
  </si>
  <si>
    <t>Surachai Osotpan</t>
  </si>
  <si>
    <t>NG29E5</t>
  </si>
  <si>
    <t>ผู้ให้กำเนิด ไม่ประเสริฐเท่า ผู้เลี้ยงดู</t>
  </si>
  <si>
    <t>C18W2T</t>
  </si>
  <si>
    <t>Gap Somyot</t>
  </si>
  <si>
    <t>69FXZ5</t>
  </si>
  <si>
    <t>บ็อบ ชลบุรี</t>
  </si>
  <si>
    <t>307MJT</t>
  </si>
  <si>
    <t>ชนกันต์ ราวินิจ</t>
  </si>
  <si>
    <t>P0Z2N6</t>
  </si>
  <si>
    <t>แทน โคราช.</t>
  </si>
  <si>
    <t>80LAE4</t>
  </si>
  <si>
    <t>Burapa Sungthong</t>
  </si>
  <si>
    <t>JE09T6</t>
  </si>
  <si>
    <t>Bank Sombat</t>
  </si>
  <si>
    <t>C72F7J</t>
  </si>
  <si>
    <t>อภิวัติ ฯ.</t>
  </si>
  <si>
    <t>6R0PG3</t>
  </si>
  <si>
    <t>ซือ ต้อม เด้อคับ</t>
  </si>
  <si>
    <t>D8M6S2</t>
  </si>
  <si>
    <t>วีรภัทร์ สฯ</t>
  </si>
  <si>
    <t>6VI1S5</t>
  </si>
  <si>
    <t>Nantawat Kultap</t>
  </si>
  <si>
    <t>H2S92K</t>
  </si>
  <si>
    <t>Kriangkai Prasut</t>
  </si>
  <si>
    <t>9FKQ82</t>
  </si>
  <si>
    <t>Werawut Pumjai</t>
  </si>
  <si>
    <t>7UL3K9</t>
  </si>
  <si>
    <t>เยี่ยม ยอด</t>
  </si>
  <si>
    <t>LR6I90</t>
  </si>
  <si>
    <t>เจษ' หลอง.</t>
  </si>
  <si>
    <t>L9D89Y</t>
  </si>
  <si>
    <t>Poom Min</t>
  </si>
  <si>
    <t>09J9FE</t>
  </si>
  <si>
    <t>Arm Akkarawut</t>
  </si>
  <si>
    <t>M0C27V</t>
  </si>
  <si>
    <t>แดฟฟี่ ดั๊ก</t>
  </si>
  <si>
    <t>9ZU64S</t>
  </si>
  <si>
    <t>Thanapat Singngam</t>
  </si>
  <si>
    <t>1AK3R1</t>
  </si>
  <si>
    <t>Phuthanet Toey</t>
  </si>
  <si>
    <t>D9MA82</t>
  </si>
  <si>
    <t>Jirayut</t>
  </si>
  <si>
    <t>P4J49T</t>
  </si>
  <si>
    <t>พอเถอะครับ' ผมขอ</t>
  </si>
  <si>
    <t>782LWO</t>
  </si>
  <si>
    <t>ฮากุ ปีศาจร็อก</t>
  </si>
  <si>
    <t>QV250W</t>
  </si>
  <si>
    <t>Sky Xcellion</t>
  </si>
  <si>
    <t>33XF8M</t>
  </si>
  <si>
    <t>Triphop Pond</t>
  </si>
  <si>
    <t>GP4N88</t>
  </si>
  <si>
    <t>โจ๊ก เกอร์</t>
  </si>
  <si>
    <t>D8V28Q</t>
  </si>
  <si>
    <t>Nin Ny Bell</t>
  </si>
  <si>
    <t>1E76CR</t>
  </si>
  <si>
    <t>Lupang Salvatore</t>
  </si>
  <si>
    <t>PU488C</t>
  </si>
  <si>
    <t>กอล์ฟ ระยอง</t>
  </si>
  <si>
    <t>4N98EH</t>
  </si>
  <si>
    <t>Thanakrit Loahaviriyanon</t>
  </si>
  <si>
    <t>NF703Q</t>
  </si>
  <si>
    <t>Thewin Wamaphutthaa</t>
  </si>
  <si>
    <t>1IP29A</t>
  </si>
  <si>
    <t>ปัง' ปอน'ด์</t>
  </si>
  <si>
    <t>1WE2T8</t>
  </si>
  <si>
    <t>ชัชนันท์ ทองเปลว</t>
  </si>
  <si>
    <t>U6I29Z</t>
  </si>
  <si>
    <t>Sarawut Fungsakun</t>
  </si>
  <si>
    <t>O4Q6L8</t>
  </si>
  <si>
    <t>Theerasak Kaewkhampan</t>
  </si>
  <si>
    <t>W65CJ9</t>
  </si>
  <si>
    <t>Teez Likit</t>
  </si>
  <si>
    <t>EE80K3</t>
  </si>
  <si>
    <t>Jakkapong Srichote</t>
  </si>
  <si>
    <t>VEH196</t>
  </si>
  <si>
    <t>Pongsakorn Putubtim</t>
  </si>
  <si>
    <t>LP60G0</t>
  </si>
  <si>
    <t>Kronya Blocki</t>
  </si>
  <si>
    <t>L49R9S</t>
  </si>
  <si>
    <t>Aphrodisiac John</t>
  </si>
  <si>
    <t>TB965O</t>
  </si>
  <si>
    <t>ภาณุพงษ์' ฯ.</t>
  </si>
  <si>
    <t>OQN096</t>
  </si>
  <si>
    <t>Jajah Juthathip</t>
  </si>
  <si>
    <t>AS8Z84</t>
  </si>
  <si>
    <t>Na Warawut</t>
  </si>
  <si>
    <t>3KZK70</t>
  </si>
  <si>
    <t>7G6AJ4</t>
  </si>
  <si>
    <t>Pisit Janpang</t>
  </si>
  <si>
    <t>XWB588</t>
  </si>
  <si>
    <t>Ratthasima Nunla</t>
  </si>
  <si>
    <t>834JTY</t>
  </si>
  <si>
    <t>Bank Dsm</t>
  </si>
  <si>
    <t>35RUJ7</t>
  </si>
  <si>
    <t>Wanon Kochpraca</t>
  </si>
  <si>
    <t>E99N1D</t>
  </si>
  <si>
    <t>Parn Sittichai</t>
  </si>
  <si>
    <t>B952RA</t>
  </si>
  <si>
    <t>เว่น' เย้</t>
  </si>
  <si>
    <t>859QVQ</t>
  </si>
  <si>
    <t>Sanhanat Kaewjinda</t>
  </si>
  <si>
    <t>DC3Y56</t>
  </si>
  <si>
    <t>ชินวัตร อินทร์เขียว</t>
  </si>
  <si>
    <t>L6A6P8</t>
  </si>
  <si>
    <t>Axl Pete</t>
  </si>
  <si>
    <t>WS76C1</t>
  </si>
  <si>
    <t>Buay Tummanoon</t>
  </si>
  <si>
    <t>69LI4L</t>
  </si>
  <si>
    <t>Theerapat N'Wavekung Kittayakhajornsakul</t>
  </si>
  <si>
    <t>J2O5F7</t>
  </si>
  <si>
    <t>อิมรอน ดำสำราญ</t>
  </si>
  <si>
    <t>6C2LD0</t>
  </si>
  <si>
    <t>สิทธิชัยษ์ ทานอุทิศ</t>
  </si>
  <si>
    <t>8J99BQ</t>
  </si>
  <si>
    <t>Bunglin Tpann</t>
  </si>
  <si>
    <t>I205TU</t>
  </si>
  <si>
    <t>Kittisak Khanthong</t>
  </si>
  <si>
    <t>60IJ0I</t>
  </si>
  <si>
    <t>Apichat Junyu</t>
  </si>
  <si>
    <t>F9UK06</t>
  </si>
  <si>
    <t>Tier SC</t>
  </si>
  <si>
    <t>2OK86O</t>
  </si>
  <si>
    <t>รัชภูมิ จันทกลัด</t>
  </si>
  <si>
    <t>429PFH</t>
  </si>
  <si>
    <t>Arnon Rakdech</t>
  </si>
  <si>
    <t>2Z80CW</t>
  </si>
  <si>
    <t>Apichai Dnop Chantharobon</t>
  </si>
  <si>
    <t>1FQ9D6</t>
  </si>
  <si>
    <t>PongSit Rodjuy</t>
  </si>
  <si>
    <t>M95S4N</t>
  </si>
  <si>
    <t>Theerapønğ</t>
  </si>
  <si>
    <t>MB6C34</t>
  </si>
  <si>
    <t>Thanakorn Muenjan</t>
  </si>
  <si>
    <t>S02TU3</t>
  </si>
  <si>
    <t>Tetae Na</t>
  </si>
  <si>
    <t>VE19Y6</t>
  </si>
  <si>
    <t>Gfgf Gfgf</t>
  </si>
  <si>
    <t>LA28Q6</t>
  </si>
  <si>
    <t>Nuttapon (daddymudmee) Chomchuen</t>
  </si>
  <si>
    <t>92LTJ5</t>
  </si>
  <si>
    <t>Sky Kaninchen</t>
  </si>
  <si>
    <t>80IJ7D</t>
  </si>
  <si>
    <t>โช อาปาเช่</t>
  </si>
  <si>
    <t>2KX6P5</t>
  </si>
  <si>
    <t>Wichit</t>
  </si>
  <si>
    <t>9X08FN</t>
  </si>
  <si>
    <t>オレキ・ ハッタロ</t>
  </si>
  <si>
    <t>FHU500</t>
  </si>
  <si>
    <t>Tee Lildx</t>
  </si>
  <si>
    <t>0NJP63</t>
  </si>
  <si>
    <t>Man Phakin</t>
  </si>
  <si>
    <t>81ZPP9</t>
  </si>
  <si>
    <t>ณฐกร สีหานาท</t>
  </si>
  <si>
    <t>I12B8A</t>
  </si>
  <si>
    <t>Adison Thonglaaiad</t>
  </si>
  <si>
    <t>J04Z3L</t>
  </si>
  <si>
    <t>Phattharakit Beer</t>
  </si>
  <si>
    <t>X80J9H</t>
  </si>
  <si>
    <t>Be Il</t>
  </si>
  <si>
    <t>0YW4A3</t>
  </si>
  <si>
    <t>BE EM</t>
  </si>
  <si>
    <t>9M73TI</t>
  </si>
  <si>
    <t>โบ๊ท ซูกัส</t>
  </si>
  <si>
    <t>MQL525</t>
  </si>
  <si>
    <t>ฮัลโหล' การ์ตูน</t>
  </si>
  <si>
    <t>P6R88H</t>
  </si>
  <si>
    <t>กูน๊อต กระเเทกลอย</t>
  </si>
  <si>
    <t>5N5KH4</t>
  </si>
  <si>
    <t>Jirawat Saenprasert</t>
  </si>
  <si>
    <t>0484QR</t>
  </si>
  <si>
    <t>Krittaprot Thiboon</t>
  </si>
  <si>
    <t>4N23UP</t>
  </si>
  <si>
    <t>Suwannaphum Pongsathanon</t>
  </si>
  <si>
    <t>TPN209</t>
  </si>
  <si>
    <t>Chatchai Singsan</t>
  </si>
  <si>
    <t>HF3E99</t>
  </si>
  <si>
    <t>Werapol Pimsan</t>
  </si>
  <si>
    <t>A6I24O</t>
  </si>
  <si>
    <t>Taweechok Inthaphong</t>
  </si>
  <si>
    <t>V9NE11</t>
  </si>
  <si>
    <t>L Scofield</t>
  </si>
  <si>
    <t>F4FB85</t>
  </si>
  <si>
    <t>Ar'Non Thaksin</t>
  </si>
  <si>
    <t>H1BQ78</t>
  </si>
  <si>
    <t>Thanakit Juangsumretkarn</t>
  </si>
  <si>
    <t>7YKA94</t>
  </si>
  <si>
    <t>Phu Warin</t>
  </si>
  <si>
    <t>1H1RS4</t>
  </si>
  <si>
    <t>ปีปี' โป้</t>
  </si>
  <si>
    <t>C9KJ63</t>
  </si>
  <si>
    <t>はい はい はい</t>
  </si>
  <si>
    <t>2IN9B4</t>
  </si>
  <si>
    <t>Chinnakrit Choochart</t>
  </si>
  <si>
    <t>3J0T8G</t>
  </si>
  <si>
    <t>เบีย ร์.</t>
  </si>
  <si>
    <t>V337ZA</t>
  </si>
  <si>
    <t>Puriz Mhaysom</t>
  </si>
  <si>
    <t>2B29FP</t>
  </si>
  <si>
    <t>Kim Jongsoo</t>
  </si>
  <si>
    <t>594DYA</t>
  </si>
  <si>
    <t>Tonsak Shoti</t>
  </si>
  <si>
    <t>R7ZB48</t>
  </si>
  <si>
    <t>ณัฐพง ษ์</t>
  </si>
  <si>
    <t>U96A8P</t>
  </si>
  <si>
    <t>แป๊ป ซี่.</t>
  </si>
  <si>
    <t>ZZ3A12</t>
  </si>
  <si>
    <t>Natthawut Aumkhruea</t>
  </si>
  <si>
    <t>KH015G</t>
  </si>
  <si>
    <t>โจ จิ</t>
  </si>
  <si>
    <t>7H00TH</t>
  </si>
  <si>
    <t>Kn Bank</t>
  </si>
  <si>
    <t>9HJ61X</t>
  </si>
  <si>
    <t>Peerawut Tornsena</t>
  </si>
  <si>
    <t>S804IM</t>
  </si>
  <si>
    <t>ง๊องแง๊ง กับ เง๊อะง๊ะ</t>
  </si>
  <si>
    <t>0TI28J</t>
  </si>
  <si>
    <t>โก๋ ปิ๊</t>
  </si>
  <si>
    <t>6Q5I0J</t>
  </si>
  <si>
    <t>Arnon Simak</t>
  </si>
  <si>
    <t>341XMY</t>
  </si>
  <si>
    <t>Gab Narubadin</t>
  </si>
  <si>
    <t>0TS8C9</t>
  </si>
  <si>
    <t>เพียว ลาดหญ้าฯ.</t>
  </si>
  <si>
    <t>Y316AI</t>
  </si>
  <si>
    <t>Bake Thapakorn</t>
  </si>
  <si>
    <t>4WQ1W5</t>
  </si>
  <si>
    <t>Aing Aing</t>
  </si>
  <si>
    <t>50F1OG</t>
  </si>
  <si>
    <t>Worason Somsak</t>
  </si>
  <si>
    <t>88G1EY</t>
  </si>
  <si>
    <t>Noppawan Intanai</t>
  </si>
  <si>
    <t>I4KH88</t>
  </si>
  <si>
    <t>Mos Natchaphon</t>
  </si>
  <si>
    <t>23YF2H</t>
  </si>
  <si>
    <t>Mon Varamate</t>
  </si>
  <si>
    <t>9YAJ23</t>
  </si>
  <si>
    <t>Dee Jee</t>
  </si>
  <si>
    <t>C6O2A7</t>
  </si>
  <si>
    <t>Tar Santi</t>
  </si>
  <si>
    <t>D6YN24</t>
  </si>
  <si>
    <t>Jiw Tanapat</t>
  </si>
  <si>
    <t>T5L49B</t>
  </si>
  <si>
    <t>รอตรวจสอบ</t>
  </si>
  <si>
    <t>โร เจอร์</t>
  </si>
  <si>
    <t>🟡 ติดต่อแก้ข้อมูล</t>
  </si>
  <si>
    <t>ภัทราวุธ สุยสุทธิ์</t>
  </si>
  <si>
    <t>UID:pokza1999</t>
  </si>
  <si>
    <t>UID : JCD754</t>
  </si>
  <si>
    <t>Jack Eyy</t>
  </si>
  <si>
    <t>UID: opzxdoo7</t>
  </si>
  <si>
    <t>นภัส เจริญเล็กอุทัย</t>
  </si>
  <si>
    <t>UiD: jumbo123</t>
  </si>
  <si>
    <t>Pruke Boyd</t>
  </si>
  <si>
    <t>UID: Chi1234</t>
  </si>
  <si>
    <t>Arthit Na</t>
  </si>
  <si>
    <t>deedp123</t>
  </si>
  <si>
    <t>Nawin Lungmon</t>
  </si>
  <si>
    <t>Nawin3263</t>
  </si>
  <si>
    <t>Prakan Bualoy</t>
  </si>
  <si>
    <t>UID: JIW12147</t>
  </si>
  <si>
    <t>โรงอิฐแพรทอง รุ่งเรือง</t>
  </si>
  <si>
    <t>UID. MosToa100</t>
  </si>
  <si>
    <t>Chaithawat Amy</t>
  </si>
  <si>
    <t>UID: boywera00</t>
  </si>
  <si>
    <t>Field Tanawat</t>
  </si>
  <si>
    <t>UID : fieldviper</t>
  </si>
  <si>
    <t>Tharatorn Sonsombat</t>
  </si>
  <si>
    <t>AID : Denbaza123</t>
  </si>
  <si>
    <t>Pakapon Pachakool</t>
  </si>
  <si>
    <t>BENZ8252</t>
  </si>
  <si>
    <t>เต้ แสนดี</t>
  </si>
  <si>
    <t>UID:paoza0833</t>
  </si>
  <si>
    <t>เหงา กาย ไม่เท่าเหงาจาย</t>
  </si>
  <si>
    <t>พร้อมลุยuid yeekung</t>
  </si>
  <si>
    <t>Parinya Nualsri</t>
  </si>
  <si>
    <t>UID:ballbsmt</t>
  </si>
  <si>
    <t>ทะ เท็น</t>
  </si>
  <si>
    <t>UID: thanik2006</t>
  </si>
  <si>
    <t>Akkhara Pan</t>
  </si>
  <si>
    <t>UID akkharapan</t>
  </si>
  <si>
    <t>อดิศักดิ์ 'ฯ</t>
  </si>
  <si>
    <t>tonqwe1144</t>
  </si>
  <si>
    <t>Sutakorn Banchongchuai</t>
  </si>
  <si>
    <t>Thitiwut Thakamma</t>
  </si>
  <si>
    <t>UiD: zxcvbe000</t>
  </si>
  <si>
    <t>Waratep</t>
  </si>
  <si>
    <t>UID : waratep</t>
  </si>
  <si>
    <t>UID:oomizxc</t>
  </si>
  <si>
    <t>Danuphol Ngoa Butda</t>
  </si>
  <si>
    <t>flukfah2025</t>
  </si>
  <si>
    <t>นัท. ประตูโขง</t>
  </si>
  <si>
    <t>UID:Nut115084</t>
  </si>
  <si>
    <t>Mon Thanaphon</t>
  </si>
  <si>
    <t>Patipon Kaiyasid</t>
  </si>
  <si>
    <t>UID:atpk2604</t>
  </si>
  <si>
    <t>UID :WU0065</t>
  </si>
  <si>
    <t>N'New Phanuwat</t>
  </si>
  <si>
    <t>AID : 43TA0C คนแรก</t>
  </si>
  <si>
    <t>UID หาจากไหนครับ</t>
  </si>
  <si>
    <t>โชค เอ็มซี คลาดสิก</t>
  </si>
  <si>
    <t>UID shokchok55</t>
  </si>
  <si>
    <t>Anuphon Planuam</t>
  </si>
  <si>
    <t>UID: Aunghot22</t>
  </si>
  <si>
    <t>Meta Sit</t>
  </si>
  <si>
    <t>พัทธนันท์ 'ทท</t>
  </si>
  <si>
    <t>626KAI</t>
  </si>
  <si>
    <t>สุ่มผู้โชคดีจำนวน 50 รางวัล</t>
  </si>
  <si>
    <t>Pongsakon Kaensakunsuk</t>
  </si>
  <si>
    <t>8E2G4J</t>
  </si>
  <si>
    <t>Santi Sukklin</t>
  </si>
  <si>
    <t>605EFL</t>
  </si>
  <si>
    <t>จะตามหาเธอ ขอที่อยู่ด้วยคับ</t>
  </si>
  <si>
    <t>Z0G94B</t>
  </si>
  <si>
    <t>Bait Premium</t>
  </si>
  <si>
    <t>Bom Sirawit</t>
  </si>
  <si>
    <t>93OZ7O</t>
  </si>
  <si>
    <t>Military Ruck</t>
  </si>
  <si>
    <t>チャ イタ</t>
  </si>
  <si>
    <t>K2D34B</t>
  </si>
  <si>
    <t>Suphachot Sukdee</t>
  </si>
  <si>
    <t>34MN4K</t>
  </si>
  <si>
    <t>ต้อม คนบาป</t>
  </si>
  <si>
    <t>II188J</t>
  </si>
  <si>
    <t>Chayanon Wongdowthai</t>
  </si>
  <si>
    <t>YHN673</t>
  </si>
  <si>
    <t>Gia</t>
  </si>
  <si>
    <t>5V0F1Z</t>
  </si>
  <si>
    <t>Ronnakon Jantanil</t>
  </si>
  <si>
    <t>GB8E66</t>
  </si>
  <si>
    <t>Yongyut Sancharoen</t>
  </si>
  <si>
    <t>K2P08N</t>
  </si>
  <si>
    <t>Surattithon Paepuang</t>
  </si>
  <si>
    <t>U0HM21</t>
  </si>
  <si>
    <t>Thanawat Chitsanao</t>
  </si>
  <si>
    <t>LR63W4</t>
  </si>
  <si>
    <t>Worapat Sooksombat</t>
  </si>
  <si>
    <t>7REK06</t>
  </si>
  <si>
    <t>Natchaphon Sansern</t>
  </si>
  <si>
    <t>EH2N83</t>
  </si>
  <si>
    <t>Pattanai Sirikaenchai</t>
  </si>
  <si>
    <t>U2R73N</t>
  </si>
  <si>
    <t>อาร์ม เกอร์</t>
  </si>
  <si>
    <t>B96B4T</t>
  </si>
  <si>
    <t>Sanō Na</t>
  </si>
  <si>
    <t>096BEE</t>
  </si>
  <si>
    <t>Mood Jones</t>
  </si>
  <si>
    <t>9JJ6N7</t>
  </si>
  <si>
    <t>บ๊วย สมชาย</t>
  </si>
  <si>
    <t>LY9A10</t>
  </si>
  <si>
    <t>Sert Naom</t>
  </si>
  <si>
    <t>0NUM33</t>
  </si>
  <si>
    <t>Tin Tin Worapon</t>
  </si>
  <si>
    <t>E35ES7</t>
  </si>
  <si>
    <t>Ratthapong Q TK</t>
  </si>
  <si>
    <t>0I77GG</t>
  </si>
  <si>
    <t>Jo'Jo Wachchara</t>
  </si>
  <si>
    <t>QH568N</t>
  </si>
  <si>
    <t>Ao Ousawat</t>
  </si>
  <si>
    <t>8RI49F</t>
  </si>
  <si>
    <t>บอล เอ๋อ</t>
  </si>
  <si>
    <t>SAOSEE</t>
  </si>
  <si>
    <t>อภิชาติ เสื้อจันอัด</t>
  </si>
  <si>
    <t>1T81RZ</t>
  </si>
  <si>
    <t>Pattayakorn Kerdpol</t>
  </si>
  <si>
    <t>3UP93D</t>
  </si>
  <si>
    <t>Chin Chinnakrit</t>
  </si>
  <si>
    <t>B2G43L</t>
  </si>
  <si>
    <t>Rac MN</t>
  </si>
  <si>
    <t>R80GS2</t>
  </si>
  <si>
    <t>Woraprat Yotsuer</t>
  </si>
  <si>
    <t>0AR07H</t>
  </si>
  <si>
    <t>Narongrit Puttum</t>
  </si>
  <si>
    <t>FIT194</t>
  </si>
  <si>
    <t>Άννα Γαλάνη</t>
  </si>
  <si>
    <t>71Y0RF</t>
  </si>
  <si>
    <t>เดี๋ยว เปิด</t>
  </si>
  <si>
    <t>29FQH3</t>
  </si>
  <si>
    <t>Pream Nopparat</t>
  </si>
  <si>
    <t>51G2TE</t>
  </si>
  <si>
    <t>Suwiwat Fakthong</t>
  </si>
  <si>
    <t>7H1A2Z</t>
  </si>
  <si>
    <t>Punnawit Ekoranwong</t>
  </si>
  <si>
    <t>6F6M0H</t>
  </si>
  <si>
    <t>ของรางวัลกิจกรรม จำนวน 50 คน</t>
  </si>
  <si>
    <t>FN M249</t>
  </si>
  <si>
    <t>Dxno Dxw</t>
  </si>
  <si>
    <t>E10GO5</t>
  </si>
  <si>
    <t>B77KN0</t>
  </si>
  <si>
    <t>ณัฐพล 'ล</t>
  </si>
  <si>
    <t>8QR84T</t>
  </si>
  <si>
    <t>Nobi Ta</t>
  </si>
  <si>
    <t>869ZKN</t>
  </si>
  <si>
    <t>Chinnakrit Inthasit</t>
  </si>
  <si>
    <t>18EZ9H</t>
  </si>
  <si>
    <t>ชนะพล ธีราวิทย์</t>
  </si>
  <si>
    <t>0R3II4</t>
  </si>
  <si>
    <t>โจ' สวัตต์</t>
  </si>
  <si>
    <t>12E1RG</t>
  </si>
  <si>
    <t>เอิร์ท' ครับ</t>
  </si>
  <si>
    <t>5E2HG4</t>
  </si>
  <si>
    <t>Tan Kritsada</t>
  </si>
  <si>
    <t>S01S7A</t>
  </si>
  <si>
    <t>ทีโอ เอ</t>
  </si>
  <si>
    <t>5XG6Y1</t>
  </si>
  <si>
    <t>Teerayud New Truck</t>
  </si>
  <si>
    <t>KING11</t>
  </si>
  <si>
    <t>Phongsathorn Go</t>
  </si>
  <si>
    <t>206HBB</t>
  </si>
  <si>
    <t>Saharat Duangnimit</t>
  </si>
  <si>
    <t>6L1G5O</t>
  </si>
  <si>
    <t>Wongsakon Wongmanee</t>
  </si>
  <si>
    <t>UY0M00</t>
  </si>
  <si>
    <t>ธีรโชติ สุนทราศรี</t>
  </si>
  <si>
    <t>27R1WE</t>
  </si>
  <si>
    <t>Chayatorn Chotiksatian</t>
  </si>
  <si>
    <t>43YVO1</t>
  </si>
  <si>
    <t>รอแก้ไขข้อมูล</t>
  </si>
  <si>
    <t>Brightix Nattapon</t>
  </si>
  <si>
    <t>UID G78B7WB
 ชื่อตัวละคร Brightix</t>
  </si>
  <si>
    <t>ฮาร์ท ท.</t>
  </si>
  <si>
    <t>UID:Hearx
 ชื่อตัวละคร: เวฟ ลูกห รี่</t>
  </si>
  <si>
    <t>Uid :II188
 ชื่อตัวละคร Amy</t>
  </si>
  <si>
    <t>รางวัลสำหรับทุกคนที่เข้าร่วม</t>
  </si>
  <si>
    <t>FN P90</t>
  </si>
  <si>
    <t>43TA0C</t>
  </si>
  <si>
    <t>Medium Backpack</t>
  </si>
  <si>
    <t>Nitikorn Rodphan</t>
  </si>
  <si>
    <t>BUN437</t>
  </si>
  <si>
    <t>To Udomphong</t>
  </si>
  <si>
    <t>55LH2R</t>
  </si>
  <si>
    <t>Thapanaphong Raksungnoen</t>
  </si>
  <si>
    <t>0GOU09</t>
  </si>
  <si>
    <t>Kids Da</t>
  </si>
  <si>
    <t>39PP6E</t>
  </si>
  <si>
    <t>ปิติพงษ์ วงค์พยัคฆ์</t>
  </si>
  <si>
    <t>E6M88F</t>
  </si>
  <si>
    <t>Wichit Chinakerd</t>
  </si>
  <si>
    <t>Chakgreevat Petfu</t>
  </si>
  <si>
    <t>0J36RW</t>
  </si>
  <si>
    <t>Anocha Yoothong</t>
  </si>
  <si>
    <t>46OS7E</t>
  </si>
  <si>
    <t>Paisan Kim</t>
  </si>
  <si>
    <t>W9U01S</t>
  </si>
  <si>
    <t>GaoLao Himawari</t>
  </si>
  <si>
    <t>A230IK</t>
  </si>
  <si>
    <t>Atiwat Aottondee</t>
  </si>
  <si>
    <t>C996GK</t>
  </si>
  <si>
    <t>Jiraphat Bm</t>
  </si>
  <si>
    <t>TO43E0</t>
  </si>
  <si>
    <t>Frank Aidtikorn</t>
  </si>
  <si>
    <t>GE813Q</t>
  </si>
  <si>
    <t>รวีกรณ์ ศิริชยานันท์</t>
  </si>
  <si>
    <t>85XI6N</t>
  </si>
  <si>
    <t>Arnon Yajai</t>
  </si>
  <si>
    <t>NU744Y</t>
  </si>
  <si>
    <t>Nut Revolutionize</t>
  </si>
  <si>
    <t>RNK874</t>
  </si>
  <si>
    <t>จี-นิวส์ ซังงงงงง</t>
  </si>
  <si>
    <t>F29L7C</t>
  </si>
  <si>
    <t>Thanawat Deethongthong</t>
  </si>
  <si>
    <t>S1WE03</t>
  </si>
  <si>
    <t>ซง ก๊ง</t>
  </si>
  <si>
    <t>R5LI06</t>
  </si>
  <si>
    <t>Jo Jo</t>
  </si>
  <si>
    <t>IE331O</t>
  </si>
  <si>
    <t>ธนา กร</t>
  </si>
  <si>
    <t>T17O0J</t>
  </si>
  <si>
    <t>Thanaphon Wisorom</t>
  </si>
  <si>
    <t>U86S3D</t>
  </si>
  <si>
    <t>Nopphakhun Sonthisuwan</t>
  </si>
  <si>
    <t>X0XV27</t>
  </si>
  <si>
    <t>Jirayu Chotkaeo</t>
  </si>
  <si>
    <t>M9LH64</t>
  </si>
  <si>
    <t>Wattanachai Newhiq</t>
  </si>
  <si>
    <t>246IBF</t>
  </si>
  <si>
    <t>Sun Sooksun</t>
  </si>
  <si>
    <t>MD113K</t>
  </si>
  <si>
    <t>Ronnachai</t>
  </si>
  <si>
    <t>1G47XK</t>
  </si>
  <si>
    <t>Tor Tanawich</t>
  </si>
  <si>
    <t>KU44L5</t>
  </si>
  <si>
    <t>Wisarut ʚĭɞ</t>
  </si>
  <si>
    <t>Z679NP</t>
  </si>
  <si>
    <t>Sitthipon Saynui</t>
  </si>
  <si>
    <t>3TR7Y4</t>
  </si>
  <si>
    <t>Thivakorn Kaewampawa</t>
  </si>
  <si>
    <t>0TEI71</t>
  </si>
  <si>
    <t>บอส. เอ๋อ.</t>
  </si>
  <si>
    <t>6I81MQ</t>
  </si>
  <si>
    <t>ฟาร์ส กิตติพัช</t>
  </si>
  <si>
    <t>3JKI85</t>
  </si>
  <si>
    <t>Ray Kaymind</t>
  </si>
  <si>
    <t>816TDX</t>
  </si>
  <si>
    <t>Tatiya Sriroek</t>
  </si>
  <si>
    <t>J12B1Z</t>
  </si>
  <si>
    <t>Jackie Jackie</t>
  </si>
  <si>
    <t>9F3R4Y</t>
  </si>
  <si>
    <t>Pheraphat Bunrad</t>
  </si>
  <si>
    <t>0X1C6J</t>
  </si>
  <si>
    <t>ฮันมะ บากิ</t>
  </si>
  <si>
    <t>127IXM</t>
  </si>
  <si>
    <t>Wanutchapron Raksatale</t>
  </si>
  <si>
    <t>M26MH7</t>
  </si>
  <si>
    <t>อภิศักดิ์ อ่อนพิมพ์</t>
  </si>
  <si>
    <t>U7BT68</t>
  </si>
  <si>
    <t>Komsan</t>
  </si>
  <si>
    <t>X3D5F0</t>
  </si>
  <si>
    <t>Kongtapchai Kongpaeng</t>
  </si>
  <si>
    <t>2SA1Q2</t>
  </si>
  <si>
    <t>Trairat Mitaphumiviboon</t>
  </si>
  <si>
    <t>7SY74C</t>
  </si>
  <si>
    <t>Kao Jetsadaporn</t>
  </si>
  <si>
    <t>0CX7M6</t>
  </si>
  <si>
    <t>ชื่อ' เคลียร์คับบบบ</t>
  </si>
  <si>
    <t>428VWZ</t>
  </si>
  <si>
    <t>Krid Sg</t>
  </si>
  <si>
    <t>30WC1O</t>
  </si>
  <si>
    <t>John Athiwat</t>
  </si>
  <si>
    <t>25U2BM</t>
  </si>
  <si>
    <t>Ngamphong Thinphaingam</t>
  </si>
  <si>
    <t>36JUP5</t>
  </si>
  <si>
    <t>Bendito HD</t>
  </si>
  <si>
    <t>7C86JN</t>
  </si>
  <si>
    <t>Natchayanon Ninsuphan</t>
  </si>
  <si>
    <t>2H70PA</t>
  </si>
  <si>
    <t>ชลธี นุกิจ</t>
  </si>
  <si>
    <t>N8VA00</t>
  </si>
  <si>
    <t>Yin Nutthapat</t>
  </si>
  <si>
    <t>52M1PL</t>
  </si>
  <si>
    <t>เอกน้อย เอก วงษ์สมบัติ</t>
  </si>
  <si>
    <t>W6JP50</t>
  </si>
  <si>
    <t>ปรีชา' ด.</t>
  </si>
  <si>
    <t>SI7Q75</t>
  </si>
  <si>
    <t>Wutthipat</t>
  </si>
  <si>
    <t>DH08X9</t>
  </si>
  <si>
    <t>Veeraphat Phanich</t>
  </si>
  <si>
    <t>6A07RK</t>
  </si>
  <si>
    <t>ต้น อยู่แล้ว</t>
  </si>
  <si>
    <t>CC5B33</t>
  </si>
  <si>
    <t>...</t>
  </si>
  <si>
    <t>53C0UO</t>
  </si>
  <si>
    <t>Songphol Tay</t>
  </si>
  <si>
    <t>45FM1E</t>
  </si>
  <si>
    <t>Agnessa Nastasich</t>
  </si>
  <si>
    <t>6LVD74</t>
  </si>
  <si>
    <t>Aphichot Nuphim</t>
  </si>
  <si>
    <t>A45YE2</t>
  </si>
  <si>
    <t>นอน' ดึก</t>
  </si>
  <si>
    <t>V70W8Y</t>
  </si>
  <si>
    <t>ดวงดาว เดียวดาย</t>
  </si>
  <si>
    <t>32HYH0</t>
  </si>
  <si>
    <t>Nupong Songnok</t>
  </si>
  <si>
    <t>NP92E1</t>
  </si>
  <si>
    <t>Big'big Cola</t>
  </si>
  <si>
    <t>Nitiphong Boonyim</t>
  </si>
  <si>
    <t>21M8AH</t>
  </si>
  <si>
    <t>Jaxky Outclass</t>
  </si>
  <si>
    <t>00U4TH</t>
  </si>
  <si>
    <t>Surawin Pholsiltri</t>
  </si>
  <si>
    <t>Ton Prae</t>
  </si>
  <si>
    <t>Y87X9I</t>
  </si>
  <si>
    <t>Phu Thareth</t>
  </si>
  <si>
    <t>4RT5H3</t>
  </si>
  <si>
    <t>Chalasuan Klinjan</t>
  </si>
  <si>
    <t>W473OE</t>
  </si>
  <si>
    <t>Kimmy Eiei</t>
  </si>
  <si>
    <t>9Z1D7P</t>
  </si>
  <si>
    <t>อาจารย์ เซนต์</t>
  </si>
  <si>
    <t>6C1RN1</t>
  </si>
  <si>
    <t>Surata Kasanuk</t>
  </si>
  <si>
    <t>04SNQ4</t>
  </si>
  <si>
    <t>Siwagorn Naknaen</t>
  </si>
  <si>
    <t>S71W6R</t>
  </si>
  <si>
    <t>Nat Nee</t>
  </si>
  <si>
    <t>M371SE</t>
  </si>
  <si>
    <t>จิรายุส บินทะลุบ้าน</t>
  </si>
  <si>
    <t>39ZVE8</t>
  </si>
  <si>
    <t>Vutikrai Srimala</t>
  </si>
  <si>
    <t>W79Z7V</t>
  </si>
  <si>
    <t>Mam Wilapad</t>
  </si>
  <si>
    <t>C8JU28</t>
  </si>
  <si>
    <t>Suriya Kompangthong</t>
  </si>
  <si>
    <t>5T75AN</t>
  </si>
  <si>
    <t>Bo Baker</t>
  </si>
  <si>
    <t>Q9N55S</t>
  </si>
  <si>
    <t>Panuwat Thongkhontha</t>
  </si>
  <si>
    <t>O760XJ</t>
  </si>
  <si>
    <t>Kaneki Ken</t>
  </si>
  <si>
    <t>D400MM</t>
  </si>
  <si>
    <t>Yutthakai Phantuan</t>
  </si>
  <si>
    <t>825EIV</t>
  </si>
  <si>
    <t>Peerapath Puntharee</t>
  </si>
  <si>
    <t>W2F8V6</t>
  </si>
  <si>
    <t>Phonpraphat StOpz</t>
  </si>
  <si>
    <t>15NDR9</t>
  </si>
  <si>
    <t>Ratthaphum Misakda</t>
  </si>
  <si>
    <t>258CNH</t>
  </si>
  <si>
    <t>Jirayu Kedsin</t>
  </si>
  <si>
    <t>0Q9XF5</t>
  </si>
  <si>
    <t>Aum Akkarin</t>
  </si>
  <si>
    <t>03IC7C</t>
  </si>
  <si>
    <t>Sai Nakab</t>
  </si>
  <si>
    <t>UQ61D1</t>
  </si>
  <si>
    <t>พัทธดนย์ ย์.</t>
  </si>
  <si>
    <t>1A88QH</t>
  </si>
  <si>
    <t>จุ่น สายนอ้ย</t>
  </si>
  <si>
    <t>C68V8Z</t>
  </si>
  <si>
    <t>Pakpum Chuangchoo</t>
  </si>
  <si>
    <t>61WNP6</t>
  </si>
  <si>
    <t>Ball ST</t>
  </si>
  <si>
    <t>46EF9V</t>
  </si>
  <si>
    <t>Nonthapat Wongla</t>
  </si>
  <si>
    <t>EQA208</t>
  </si>
  <si>
    <t>Winai Thaaot</t>
  </si>
  <si>
    <t>W2S5Z8</t>
  </si>
  <si>
    <t>Sutthipong Duanghengsap</t>
  </si>
  <si>
    <t>V42M7C</t>
  </si>
  <si>
    <t>Thamasak Sst</t>
  </si>
  <si>
    <t>N9XA20</t>
  </si>
  <si>
    <t>ชัชพงศ์ กงกุล</t>
  </si>
  <si>
    <t>57HS3J</t>
  </si>
  <si>
    <t>Phongsakorn Ice</t>
  </si>
  <si>
    <t>A5O69Z</t>
  </si>
  <si>
    <t>Thitikorn Chaknam</t>
  </si>
  <si>
    <t>B9L00M</t>
  </si>
  <si>
    <t>อ.เอก ก้าวร้าว</t>
  </si>
  <si>
    <t>0S8WV9</t>
  </si>
  <si>
    <t>Sun Tritsadee</t>
  </si>
  <si>
    <t>90L1CO</t>
  </si>
  <si>
    <t>Da Worawut</t>
  </si>
  <si>
    <t>20CPE5</t>
  </si>
  <si>
    <t>Grissakorn Khaoluan</t>
  </si>
  <si>
    <t>9Z8N6J</t>
  </si>
  <si>
    <t>Nat Chokthawee</t>
  </si>
  <si>
    <t>YM289G</t>
  </si>
  <si>
    <t>Marut Hut</t>
  </si>
  <si>
    <t>68AB7S</t>
  </si>
  <si>
    <t>Peerayut Amonputti</t>
  </si>
  <si>
    <t>E189QJ</t>
  </si>
  <si>
    <t>Supawit Sukmee</t>
  </si>
  <si>
    <t>OA3B86</t>
  </si>
  <si>
    <t>Ren SV</t>
  </si>
  <si>
    <t>4TX4B8</t>
  </si>
  <si>
    <t>Decia Well</t>
  </si>
  <si>
    <t>8LTZ41</t>
  </si>
  <si>
    <t>Bobby OneWin</t>
  </si>
  <si>
    <t>9BY7N6</t>
  </si>
  <si>
    <t>Terawat Junkami</t>
  </si>
  <si>
    <t>407APA</t>
  </si>
  <si>
    <t>PhuPhat Sbd</t>
  </si>
  <si>
    <t>728JGY</t>
  </si>
  <si>
    <t>Adison Jariya</t>
  </si>
  <si>
    <t>KEOV27</t>
  </si>
  <si>
    <t>Phuucoolkids</t>
  </si>
  <si>
    <t>H9RH96</t>
  </si>
  <si>
    <t>ทักษิณ อ่วมสำเนียง</t>
  </si>
  <si>
    <t>1Q6E0V</t>
  </si>
  <si>
    <t>สนธยา คำศรี</t>
  </si>
  <si>
    <t>83FCR9</t>
  </si>
  <si>
    <t>Supawat Kim</t>
  </si>
  <si>
    <t>Z441PY</t>
  </si>
  <si>
    <t>พบเจอเพื่อ' ลาจาก</t>
  </si>
  <si>
    <t>MK55P1</t>
  </si>
  <si>
    <t>Whatchara Promchai</t>
  </si>
  <si>
    <t>07N9DT</t>
  </si>
  <si>
    <t>Wanicha Junaya</t>
  </si>
  <si>
    <t>3AM04E</t>
  </si>
  <si>
    <t>นราธิป สุขวิชัย</t>
  </si>
  <si>
    <t>7B29GY</t>
  </si>
  <si>
    <t>Sutinan Peindee</t>
  </si>
  <si>
    <t>O738AC</t>
  </si>
  <si>
    <t>Capy Bara</t>
  </si>
  <si>
    <t>N2D91C</t>
  </si>
  <si>
    <t>MInt Ty</t>
  </si>
  <si>
    <t>N1IC94</t>
  </si>
  <si>
    <t>Nott Saranyu</t>
  </si>
  <si>
    <t>1F9ZT6</t>
  </si>
  <si>
    <t>Kung Wut</t>
  </si>
  <si>
    <t>608FGL</t>
  </si>
  <si>
    <t>Yue IwasakiIshijimamaru</t>
  </si>
  <si>
    <t>NGP770</t>
  </si>
  <si>
    <t>Got Sattawat</t>
  </si>
  <si>
    <t>50OPI9</t>
  </si>
  <si>
    <t>Puttipong Duangsuwan</t>
  </si>
  <si>
    <t>C00HH6</t>
  </si>
  <si>
    <t>Zeen Teearakan</t>
  </si>
  <si>
    <t>0M34CP</t>
  </si>
  <si>
    <t>Se Wg</t>
  </si>
  <si>
    <t>I4Z2A5</t>
  </si>
  <si>
    <t>บุญ วีย์.</t>
  </si>
  <si>
    <t>PFB613</t>
  </si>
  <si>
    <t>บุคคล นิรณาม</t>
  </si>
  <si>
    <t>5D6W3T</t>
  </si>
  <si>
    <t>Ponlawat Pobpan</t>
  </si>
  <si>
    <t>7B7J3S</t>
  </si>
  <si>
    <t>ฉบับ. ปรับปรุง</t>
  </si>
  <si>
    <t>5C2FG7</t>
  </si>
  <si>
    <t>Martin Reverse</t>
  </si>
  <si>
    <t>C3Y27K</t>
  </si>
  <si>
    <t>Latthaphon Nuanchom</t>
  </si>
  <si>
    <t>3QS0F3</t>
  </si>
  <si>
    <t>Mos Chanapon</t>
  </si>
  <si>
    <t>6E79EY</t>
  </si>
  <si>
    <t>Dang Sawat</t>
  </si>
  <si>
    <t>TVT696</t>
  </si>
  <si>
    <t>หลวงขุนเดช รักหมาตุ่ยติดดิน</t>
  </si>
  <si>
    <t>3C72FA</t>
  </si>
  <si>
    <t>สัญชัย เจริญวัย</t>
  </si>
  <si>
    <t>D63GK3</t>
  </si>
  <si>
    <t>Boonyarit KN</t>
  </si>
  <si>
    <t>94D0UB</t>
  </si>
  <si>
    <t>Bu Bu</t>
  </si>
  <si>
    <t>4T0QM6</t>
  </si>
  <si>
    <t>Suphawat Krachonchit</t>
  </si>
  <si>
    <t>SUO843</t>
  </si>
  <si>
    <t>มีน ไพรวัลย์</t>
  </si>
  <si>
    <t>967VNX</t>
  </si>
  <si>
    <t>Tae Adison</t>
  </si>
  <si>
    <t>C0A99W</t>
  </si>
  <si>
    <t>Eakkaluk Naresos</t>
  </si>
  <si>
    <t>76U2GP</t>
  </si>
  <si>
    <t>Phạm Lê Thành Tài</t>
  </si>
  <si>
    <t>NSU614</t>
  </si>
  <si>
    <t>Teerasak Srikaew</t>
  </si>
  <si>
    <t>WQS100</t>
  </si>
  <si>
    <t>พล พล</t>
  </si>
  <si>
    <t>E77EW1</t>
  </si>
  <si>
    <t>Viewwy Viewwy Viewwy</t>
  </si>
  <si>
    <t>68CDF6</t>
  </si>
  <si>
    <t>Thanakrit Aonareree</t>
  </si>
  <si>
    <t>6JM77I</t>
  </si>
  <si>
    <t>Ball Sarawut</t>
  </si>
  <si>
    <t>7TX51F</t>
  </si>
  <si>
    <t>คืออะไร งงงง</t>
  </si>
  <si>
    <t>G55MQ6</t>
  </si>
  <si>
    <t>Teeranai Kaewwang</t>
  </si>
  <si>
    <t>L16CL3</t>
  </si>
  <si>
    <t>พิชเยศ ฯ.</t>
  </si>
  <si>
    <t>9Y64VK</t>
  </si>
  <si>
    <t>ดิว ภานุพันธ์</t>
  </si>
  <si>
    <t>Min NoBi</t>
  </si>
  <si>
    <t>D25X8N</t>
  </si>
  <si>
    <t>Nappm Mark</t>
  </si>
  <si>
    <t>Z7AG77</t>
  </si>
  <si>
    <t>สันติสุข นวนจันทร์</t>
  </si>
  <si>
    <t>E9H8D7</t>
  </si>
  <si>
    <t>Sahapap Wongkum</t>
  </si>
  <si>
    <t>Z8G8D3</t>
  </si>
  <si>
    <t>Jirapat Lohawech</t>
  </si>
  <si>
    <t>7EI32O</t>
  </si>
  <si>
    <t>Prem Am-amphai</t>
  </si>
  <si>
    <t>I722NJ</t>
  </si>
  <si>
    <t>Pattiya Konkong</t>
  </si>
  <si>
    <t>33O1IO</t>
  </si>
  <si>
    <t>ลูฟี่ หลอนกัญชา</t>
  </si>
  <si>
    <t>I17KD7</t>
  </si>
  <si>
    <t>Zoey Zocute</t>
  </si>
  <si>
    <t>87WU0C</t>
  </si>
  <si>
    <t>Chonlatis Sailasi</t>
  </si>
  <si>
    <t>03LOW9</t>
  </si>
  <si>
    <t xml:space="preserve">B2IV99 </t>
  </si>
  <si>
    <t>Santiphap Khanarsa</t>
  </si>
  <si>
    <t xml:space="preserve">4U22MD </t>
  </si>
  <si>
    <t>โก บัง.</t>
  </si>
  <si>
    <t>R5AK63</t>
  </si>
  <si>
    <t xml:space="preserve">F57CK6
</t>
  </si>
  <si>
    <t>Kaminza Yothee</t>
  </si>
  <si>
    <t xml:space="preserve"> 6Z3I7U</t>
  </si>
  <si>
    <t>แซม ม.</t>
  </si>
  <si>
    <t xml:space="preserve">5XF4Q8
</t>
  </si>
  <si>
    <t>Nattawut Srisawat</t>
  </si>
  <si>
    <t>6LLT29</t>
  </si>
  <si>
    <t>Chanathip Sodok</t>
  </si>
  <si>
    <t>Q72PG1</t>
  </si>
  <si>
    <t>DiMon DMon</t>
  </si>
  <si>
    <t>M8D86R</t>
  </si>
  <si>
    <t>Tomm Tomm</t>
  </si>
  <si>
    <t>RP8N49</t>
  </si>
  <si>
    <t>จิรพัส จันทนะ</t>
  </si>
  <si>
    <t xml:space="preserve">6C8B7S </t>
  </si>
  <si>
    <t>Kanitin Nanglae</t>
  </si>
  <si>
    <t>PRL867</t>
  </si>
  <si>
    <t>Benz Benz</t>
  </si>
  <si>
    <t>C81Z5Q</t>
  </si>
  <si>
    <t>Rnan Sueprasurtsuk</t>
  </si>
  <si>
    <t>U227PX</t>
  </si>
  <si>
    <t>Aoom Ciripon</t>
  </si>
  <si>
    <t>1TV8P2</t>
  </si>
  <si>
    <t>อัสณุ มีนะ</t>
  </si>
  <si>
    <t xml:space="preserve">Uid moiung01
</t>
  </si>
  <si>
    <t xml:space="preserve">UID:postation77
</t>
  </si>
  <si>
    <t>UID : 1006556
 Like : Katana</t>
  </si>
  <si>
    <t>สุริยันต์ สอนงาม</t>
  </si>
  <si>
    <t xml:space="preserve">UID : pokza081
 </t>
  </si>
  <si>
    <t>Komsan Chaichana</t>
  </si>
  <si>
    <t>UID:komsanxi17</t>
  </si>
  <si>
    <t>UID: akkharapan</t>
  </si>
  <si>
    <t>Watthanapat Toolpeng</t>
  </si>
  <si>
    <t xml:space="preserve">UID Watthanapat17 </t>
  </si>
  <si>
    <t>KING ZERO</t>
  </si>
  <si>
    <t xml:space="preserve">
UID เอาที่ไหนครับ</t>
  </si>
  <si>
    <t>UID : Chi1234</t>
  </si>
  <si>
    <t>Sakura</t>
  </si>
  <si>
    <t>M4A1
 UID.awbzz1052</t>
  </si>
  <si>
    <t>ไม่รู้จัก จำ</t>
  </si>
  <si>
    <t>UID :arnon3020</t>
  </si>
  <si>
    <t>UID:deedp123</t>
  </si>
  <si>
    <t>ID:Bankpaza101
 Honeyเก็บ​เสียงสายฟาร์ม</t>
  </si>
  <si>
    <t>Code เดี่ยว จำนวน 100 โค้ด</t>
  </si>
  <si>
    <t>ระยะเวลา item code</t>
  </si>
  <si>
    <t>10 ก.ค. 69 เวลา 23.59 น.</t>
  </si>
  <si>
    <t>⚠️ หมายเหตุ :</t>
  </si>
  <si>
    <t>M4</t>
  </si>
  <si>
    <t>- item code มีอายุ 30 วัน</t>
  </si>
  <si>
    <t>- 30 Code / 1 Clan</t>
  </si>
  <si>
    <t>Item Code</t>
  </si>
  <si>
    <t>A3YXQBGTVJG0</t>
  </si>
  <si>
    <t>IQFVGX45H1ML</t>
  </si>
  <si>
    <t>LUV6ID78H9EU</t>
  </si>
  <si>
    <t>HT0IUMPZDQZD</t>
  </si>
  <si>
    <t>TEA2M7ZURWGX</t>
  </si>
  <si>
    <t>UZVBD4TC2XVA</t>
  </si>
  <si>
    <t>QON6LI5QG833</t>
  </si>
  <si>
    <t>YR1ZE4GKU9C5</t>
  </si>
  <si>
    <t>UXMBLLMEDOV5</t>
  </si>
  <si>
    <t>VAA8ZDBZWIZO</t>
  </si>
  <si>
    <t>E5VSZSC4RFWG</t>
  </si>
  <si>
    <t>3O0GNCZ1Z7VF</t>
  </si>
  <si>
    <t>B90BAT3JI9NT</t>
  </si>
  <si>
    <t>NG50AJUWKYJP</t>
  </si>
  <si>
    <t>MBSBNCB9GEHB</t>
  </si>
  <si>
    <t>NLNWCEATKISR</t>
  </si>
  <si>
    <t>6FQZ7ZJFZP85</t>
  </si>
  <si>
    <t>L7PDW4F2XEJ5</t>
  </si>
  <si>
    <t>BNQE11AYKPFT</t>
  </si>
  <si>
    <t>4BMA9KIHDBRJ</t>
  </si>
  <si>
    <t>VNSEI9VPHZCH</t>
  </si>
  <si>
    <t>DE82JYFU4ECB</t>
  </si>
  <si>
    <t>POICGK1WAURN</t>
  </si>
  <si>
    <t>CCXJTW4HGQ9P</t>
  </si>
  <si>
    <t>EEOMTCEFHMWD</t>
  </si>
  <si>
    <t>KL3IPMKHQEZU</t>
  </si>
  <si>
    <t>OR0ICZXMTCQO</t>
  </si>
  <si>
    <t>XPQQF1PWCVUK</t>
  </si>
  <si>
    <t>O7ILLK6LBWUZ</t>
  </si>
  <si>
    <t>9WRNDGNVAKJF</t>
  </si>
  <si>
    <t>APH9IJKFKHQP</t>
  </si>
  <si>
    <t>JUUWJC0YLGUL</t>
  </si>
  <si>
    <t>TCI7U79ONWNQ</t>
  </si>
  <si>
    <t>PKTGWTQQWBUJ</t>
  </si>
  <si>
    <t>9HDOTBB7WMHE</t>
  </si>
  <si>
    <t>GGUDAYQFY2NA</t>
  </si>
  <si>
    <t>OUO60JLHPB6L</t>
  </si>
  <si>
    <t>F78ELCHDSEV8</t>
  </si>
  <si>
    <t>FSPVD7LHIAL1</t>
  </si>
  <si>
    <t>1LADIIUMOQM3</t>
  </si>
  <si>
    <t>BEZIKFWD5RSP</t>
  </si>
  <si>
    <t>IO1FFF0KIYAU</t>
  </si>
  <si>
    <t>GPXIGUPZLMI3</t>
  </si>
  <si>
    <t>5WU6MD7UZVHM</t>
  </si>
  <si>
    <t>FICSM7V2YWC3</t>
  </si>
  <si>
    <t>QMXTQF3QBPON</t>
  </si>
  <si>
    <t>858PZIPCAZSP</t>
  </si>
  <si>
    <t>X3NP2CYLY97K</t>
  </si>
  <si>
    <t>VYYOGGEVGUPI</t>
  </si>
  <si>
    <t>J8WAA8A4VWYD</t>
  </si>
  <si>
    <t>ASX12PDTJNFZ</t>
  </si>
  <si>
    <t>PMZL6BLAIDHM</t>
  </si>
  <si>
    <t>0WEGWKMOD2GX</t>
  </si>
  <si>
    <t>XNOSOCZ2R1GQ</t>
  </si>
  <si>
    <t>BLOQE4PM6KTI</t>
  </si>
  <si>
    <t>XG1OWVDR2OLD</t>
  </si>
  <si>
    <t>1WDQRLVAKWWC</t>
  </si>
  <si>
    <t>JWYXZTHO0ZH2</t>
  </si>
  <si>
    <t>D7DSTKORZ1JF</t>
  </si>
  <si>
    <t>NDVVTA1TI39O</t>
  </si>
  <si>
    <t>HA0V8V76PRD4</t>
  </si>
  <si>
    <t>XXDMTDITJGHG</t>
  </si>
  <si>
    <t>UYZJWDJDHYD2</t>
  </si>
  <si>
    <t>OD4ECEQBWKZJ</t>
  </si>
  <si>
    <t>91LPQ2GKQ7QF</t>
  </si>
  <si>
    <t>3P9COY4SPUMK</t>
  </si>
  <si>
    <t>RNX8FX43JM4M</t>
  </si>
  <si>
    <t>QK1V3FTREJIZ</t>
  </si>
  <si>
    <t>PNCASDDFIATM</t>
  </si>
  <si>
    <t>X32JSRPNRRLD</t>
  </si>
  <si>
    <t>BN44VFVJT4BL</t>
  </si>
  <si>
    <t>XGUBDEGZW09P</t>
  </si>
  <si>
    <t>HFESJOSEZ0VS</t>
  </si>
  <si>
    <t>TOFKBGMLYFXT</t>
  </si>
  <si>
    <t>BDDM7DXKR8FY</t>
  </si>
  <si>
    <t>614R9NYBRJ1Z</t>
  </si>
  <si>
    <t>AVCWEU4OFUES</t>
  </si>
  <si>
    <t>9IT8A76OWKI4</t>
  </si>
  <si>
    <t>XJQPTJVDHICQ</t>
  </si>
  <si>
    <t>8OTHN5IRR4VG</t>
  </si>
  <si>
    <t>4G2K57ZKXWKK</t>
  </si>
  <si>
    <t>YRRC0AOL403S</t>
  </si>
  <si>
    <t>72I9OKUYE9DJ</t>
  </si>
  <si>
    <t>HNQHJ1HJMTTN</t>
  </si>
  <si>
    <t>NCDEBLYEDHHR</t>
  </si>
  <si>
    <t>XVJBG1MYUEEV</t>
  </si>
  <si>
    <t>0OJA38HKVWLK</t>
  </si>
  <si>
    <t>SVF37NPSQGDW</t>
  </si>
  <si>
    <t>PN4DIXAZJWNJ</t>
  </si>
  <si>
    <t>XOXIOLARMJUE</t>
  </si>
  <si>
    <t>SSSFKEIIIMXZ</t>
  </si>
  <si>
    <t>CPAFIYWRYVVQ</t>
  </si>
  <si>
    <t>9QLWDH8UCWLF</t>
  </si>
  <si>
    <t>BCXELITBIGMJ</t>
  </si>
  <si>
    <t>MJUX34B1VPML</t>
  </si>
  <si>
    <t>3GUP60JRTPLK</t>
  </si>
  <si>
    <t>JBODH9SIUZ7X</t>
  </si>
  <si>
    <t>WXRYC3EEHDD7</t>
  </si>
  <si>
    <t>LDWNZD4SX11K</t>
  </si>
  <si>
    <t>UPOYLLTN7M2M</t>
  </si>
  <si>
    <t>Set นี้ไว้เทส</t>
  </si>
  <si>
    <t>VY3QCENP49MV</t>
  </si>
  <si>
    <t>Q6DTRSMORGRT</t>
  </si>
  <si>
    <t>UOQPGPVFRDKY</t>
  </si>
  <si>
    <t>SLFHLC1BZF7G</t>
  </si>
  <si>
    <t>V8OMSAVS2R2C</t>
  </si>
  <si>
    <t>ใช้ไปแล้ว</t>
  </si>
  <si>
    <t xml:space="preserve">ภารกิจค้นหาเสบียงลับ </t>
  </si>
  <si>
    <t>17 มิ.ย. 69 เวลา 12.00 น.</t>
  </si>
  <si>
    <t>24 มิ.ย. 69 เวลา 23.59 น.</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</si>
</sst>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41E]#,##0.00"/>
    <numFmt numFmtId="165" formatCode="d mmm yy"/>
    <numFmt numFmtId="166" formatCode="d mmm"/>
    <numFmt numFmtId="167" formatCode="d&quot; &quot;mmm"/>
    <numFmt numFmtId="168" formatCode="d&quot; &quot;mmmyyyy"/>
    <numFmt numFmtId="169" formatCode="d mmm yyyy"/>
    <numFmt numFmtId="170" formatCode="d mmmyyyy"/>
  </numFmts>
  <fonts count="48">
    <font>
      <sz val="10.0"/>
      <color rgb="FF000000"/>
      <name val="Arial"/>
      <scheme val="minor"/>
    </font>
    <font>
      <color theme="1"/>
      <name val="Arial"/>
    </font>
    <font>
      <color theme="1"/>
      <name val="Arial"/>
      <scheme val="minor"/>
    </font>
    <font>
      <u/>
      <color rgb="FF0000FF"/>
    </font>
    <font>
      <b/>
      <sz val="15.0"/>
      <color rgb="FFFFFFFF"/>
      <name val="Mali"/>
    </font>
    <font>
      <sz val="11.0"/>
      <color theme="1"/>
      <name val="Mali"/>
    </font>
    <font>
      <b/>
      <color rgb="FFFFFFFF"/>
      <name val="Arial"/>
    </font>
    <font>
      <b/>
      <sz val="11.0"/>
      <color rgb="FFFF0000"/>
      <name val="Mali"/>
    </font>
    <font>
      <b/>
      <sz val="11.0"/>
      <color rgb="FFFFFFFF"/>
      <name val="Mali"/>
    </font>
    <font>
      <color rgb="FF000000"/>
      <name val="Arial"/>
    </font>
    <font>
      <color theme="1"/>
      <name val="Calibri"/>
    </font>
    <font>
      <u/>
      <color rgb="FF0000FF"/>
      <name val="Mali"/>
    </font>
    <font>
      <color theme="1"/>
      <name val="Mali"/>
    </font>
    <font>
      <u/>
      <color rgb="FF0000FF"/>
    </font>
    <font>
      <sz val="11.0"/>
      <color rgb="FF000000"/>
      <name val="Arial"/>
    </font>
    <font>
      <u/>
      <color rgb="FF0000FF"/>
    </font>
    <font>
      <sz val="11.0"/>
      <color theme="1"/>
      <name val="Arial"/>
    </font>
    <font>
      <sz val="11.0"/>
      <color theme="1"/>
      <name val="Calibri"/>
    </font>
    <font>
      <b/>
      <sz val="11.0"/>
      <color theme="1"/>
      <name val="Mali"/>
    </font>
    <font>
      <b/>
      <sz val="23.0"/>
      <color theme="1"/>
      <name val="Anuphan"/>
    </font>
    <font>
      <b/>
      <sz val="11.0"/>
      <color rgb="FFFFFFFF"/>
      <name val="Anuphan"/>
    </font>
    <font>
      <b/>
      <sz val="13.0"/>
      <color rgb="FFFFFFFF"/>
      <name val="Arial"/>
    </font>
    <font>
      <sz val="11.0"/>
      <color theme="1"/>
      <name val="Anuphan"/>
    </font>
    <font>
      <b/>
      <sz val="11.0"/>
      <color theme="1"/>
      <name val="Anuphan"/>
    </font>
    <font>
      <b/>
      <sz val="12.0"/>
      <color rgb="FFFFFFFF"/>
      <name val="Arial"/>
    </font>
    <font>
      <b/>
      <sz val="11.0"/>
      <color rgb="FF000000"/>
      <name val="Anuphan"/>
    </font>
    <font>
      <sz val="11.0"/>
      <color rgb="FFFFFFFF"/>
      <name val="Calibri"/>
    </font>
    <font>
      <color rgb="FFEFEFEF"/>
      <name val="Arial"/>
    </font>
    <font>
      <u/>
      <color rgb="FF1155CC"/>
      <name val="Calibri"/>
    </font>
    <font>
      <b/>
      <sz val="12.0"/>
      <color theme="1"/>
      <name val="Calibri"/>
    </font>
    <font>
      <b/>
      <sz val="15.0"/>
      <color rgb="FFFFFFFF"/>
      <name val="Arial"/>
    </font>
    <font>
      <u/>
      <color rgb="FF0000FF"/>
      <name val="Calibri"/>
    </font>
    <font>
      <b/>
      <u/>
      <sz val="11.0"/>
      <color rgb="FF0000FF"/>
      <name val="Anuphan"/>
    </font>
    <font>
      <b/>
      <sz val="14.0"/>
      <color rgb="FFFFFFFF"/>
      <name val="Arial"/>
    </font>
    <font>
      <sz val="9.0"/>
      <color theme="1"/>
      <name val="Arial"/>
    </font>
    <font>
      <b/>
      <color theme="1"/>
      <name val="Arial"/>
    </font>
    <font>
      <u/>
      <color rgb="FF1155CC"/>
      <name val="Calibri"/>
    </font>
    <font>
      <sz val="11.0"/>
      <color rgb="FF000000"/>
      <name val="Tahoma"/>
    </font>
    <font>
      <b/>
      <color rgb="FF000000"/>
      <name val="Arial"/>
    </font>
    <font>
      <b/>
      <sz val="21.0"/>
      <color rgb="FFFFFFFF"/>
      <name val="Arial"/>
    </font>
    <font>
      <color rgb="FFD9D9D9"/>
      <name val="Arial"/>
    </font>
    <font>
      <b/>
      <sz val="19.0"/>
      <color rgb="FFFFFFFF"/>
      <name val="Arial"/>
    </font>
    <font>
      <b/>
      <sz val="11.0"/>
      <color rgb="FF9900FF"/>
      <name val="Anuphan"/>
    </font>
    <font>
      <b/>
      <sz val="11.0"/>
      <color rgb="FF0000FF"/>
      <name val="Anuphan"/>
    </font>
    <font>
      <b/>
      <sz val="11.0"/>
      <color rgb="FF38761D"/>
      <name val="Anuphan"/>
    </font>
    <font>
      <b/>
      <sz val="11.0"/>
      <color rgb="FFFF00FF"/>
      <name val="Anuphan"/>
    </font>
    <font/>
    <font>
      <color rgb="FFFFFFFF"/>
      <name val="Arial"/>
    </font>
  </fonts>
  <fills count="23">
    <fill>
      <patternFill patternType="none"/>
    </fill>
    <fill>
      <patternFill patternType="lightGray"/>
    </fill>
    <fill>
      <patternFill patternType="solid">
        <fgColor rgb="FF20124D"/>
        <bgColor rgb="FF20124D"/>
      </patternFill>
    </fill>
    <fill>
      <patternFill patternType="solid">
        <fgColor rgb="FFFF0000"/>
        <bgColor rgb="FFFF0000"/>
      </patternFill>
    </fill>
    <fill>
      <patternFill patternType="solid">
        <fgColor rgb="FFD9D2E9"/>
        <bgColor rgb="FFD9D2E9"/>
      </patternFill>
    </fill>
    <fill>
      <patternFill patternType="solid">
        <fgColor rgb="FFFFF2CC"/>
        <bgColor rgb="FFFFF2CC"/>
      </patternFill>
    </fill>
    <fill>
      <patternFill patternType="solid">
        <fgColor rgb="FF022B6F"/>
        <bgColor rgb="FF022B6F"/>
      </patternFill>
    </fill>
    <fill>
      <patternFill patternType="solid">
        <fgColor rgb="FFD9EAD3"/>
        <bgColor rgb="FFD9EAD3"/>
      </patternFill>
    </fill>
    <fill>
      <patternFill patternType="solid">
        <fgColor rgb="FF000000"/>
        <bgColor rgb="FF000000"/>
      </patternFill>
    </fill>
    <fill>
      <patternFill patternType="solid">
        <fgColor rgb="FF351C75"/>
        <bgColor rgb="FF351C75"/>
      </patternFill>
    </fill>
    <fill>
      <patternFill patternType="solid">
        <fgColor rgb="FFFFFFFF"/>
        <bgColor rgb="FFFFFFFF"/>
      </patternFill>
    </fill>
    <fill>
      <patternFill patternType="solid">
        <fgColor rgb="FFF1C232"/>
        <bgColor rgb="FFF1C232"/>
      </patternFill>
    </fill>
    <fill>
      <patternFill patternType="solid">
        <fgColor rgb="FFFFFF00"/>
        <bgColor rgb="FFFFFF00"/>
      </patternFill>
    </fill>
    <fill>
      <patternFill patternType="solid">
        <fgColor rgb="FF134F5C"/>
        <bgColor rgb="FF134F5C"/>
      </patternFill>
    </fill>
    <fill>
      <patternFill patternType="solid">
        <fgColor rgb="FF002060"/>
        <bgColor rgb="FF002060"/>
      </patternFill>
    </fill>
    <fill>
      <patternFill patternType="solid">
        <fgColor rgb="FF00FFFF"/>
        <bgColor rgb="FF00FFFF"/>
      </patternFill>
    </fill>
    <fill>
      <patternFill patternType="solid">
        <fgColor rgb="FFEAFAF1"/>
        <bgColor rgb="FFEAFAF1"/>
      </patternFill>
    </fill>
    <fill>
      <patternFill patternType="solid">
        <fgColor rgb="FFFDEDEC"/>
        <bgColor rgb="FFFDEDEC"/>
      </patternFill>
    </fill>
    <fill>
      <patternFill patternType="solid">
        <fgColor rgb="FF00FF00"/>
        <bgColor rgb="FF00FF00"/>
      </patternFill>
    </fill>
    <fill>
      <patternFill patternType="solid">
        <fgColor rgb="FFF2F3F4"/>
        <bgColor rgb="FFF2F3F4"/>
      </patternFill>
    </fill>
    <fill>
      <patternFill patternType="solid">
        <fgColor rgb="FFF4CCCC"/>
        <bgColor rgb="FFF4CCCC"/>
      </patternFill>
    </fill>
    <fill>
      <patternFill patternType="solid">
        <fgColor rgb="FFFFF3E0"/>
        <bgColor rgb="FFFFF3E0"/>
      </patternFill>
    </fill>
    <fill>
      <patternFill patternType="solid">
        <fgColor rgb="FFFF9900"/>
        <bgColor rgb="FFFF9900"/>
      </patternFill>
    </fill>
  </fills>
  <borders count="18">
    <border/>
    <border>
      <left style="medium">
        <color rgb="FF000000"/>
      </left>
      <top style="medium">
        <color rgb="FF000000"/>
      </top>
    </border>
    <border>
      <top style="medium">
        <color rgb="FF000000"/>
      </top>
    </border>
    <border>
      <right style="medium">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488E4E"/>
      </left>
      <right style="thin">
        <color rgb="FF488E4E"/>
      </right>
      <top style="hair">
        <color rgb="FF488E4E"/>
      </top>
      <bottom style="hair">
        <color rgb="FF488E4E"/>
      </bottom>
    </border>
    <border>
      <right style="medium">
        <color rgb="FF000000"/>
      </right>
    </border>
    <border>
      <left style="thin">
        <color rgb="FF000000"/>
      </left>
      <right style="thin">
        <color rgb="FF000000"/>
      </right>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205">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2" numFmtId="0" xfId="0" applyFont="1"/>
    <xf borderId="0" fillId="0" fontId="2" numFmtId="49" xfId="0" applyFont="1" applyNumberFormat="1"/>
    <xf borderId="0" fillId="0" fontId="3" numFmtId="0" xfId="0" applyFont="1"/>
    <xf borderId="0" fillId="0" fontId="2" numFmtId="49" xfId="0" applyFont="1" applyNumberFormat="1"/>
    <xf borderId="0" fillId="0" fontId="2" numFmtId="3" xfId="0" applyFont="1" applyNumberFormat="1"/>
    <xf borderId="0" fillId="0" fontId="2" numFmtId="164" xfId="0" applyFont="1" applyNumberFormat="1"/>
    <xf borderId="0" fillId="0" fontId="1" numFmtId="0" xfId="0" applyAlignment="1" applyFont="1">
      <alignment vertical="bottom"/>
    </xf>
    <xf borderId="0" fillId="2" fontId="4" numFmtId="0" xfId="0" applyAlignment="1" applyFill="1" applyFont="1">
      <alignment horizontal="center" vertical="center"/>
    </xf>
    <xf borderId="0" fillId="0" fontId="5" numFmtId="0" xfId="0" applyAlignment="1" applyFont="1">
      <alignment vertical="bottom"/>
    </xf>
    <xf borderId="0" fillId="3" fontId="6" numFmtId="0" xfId="0" applyAlignment="1" applyFill="1" applyFont="1">
      <alignment horizontal="center" readingOrder="0" vertical="center"/>
    </xf>
    <xf borderId="0" fillId="0" fontId="7" numFmtId="0" xfId="0" applyAlignment="1" applyFont="1">
      <alignment readingOrder="0" vertical="bottom"/>
    </xf>
    <xf borderId="0" fillId="0" fontId="7" numFmtId="0" xfId="0" applyAlignment="1" applyFont="1">
      <alignment vertical="bottom"/>
    </xf>
    <xf borderId="1" fillId="4" fontId="5" numFmtId="0" xfId="0" applyAlignment="1" applyBorder="1" applyFill="1" applyFont="1">
      <alignment horizontal="center" vertical="bottom"/>
    </xf>
    <xf borderId="2" fillId="4" fontId="5" numFmtId="0" xfId="0" applyAlignment="1" applyBorder="1" applyFont="1">
      <alignment horizontal="center" vertical="bottom"/>
    </xf>
    <xf borderId="3" fillId="4" fontId="5" numFmtId="0" xfId="0" applyAlignment="1" applyBorder="1" applyFont="1">
      <alignment horizontal="center" vertical="bottom"/>
    </xf>
    <xf borderId="2" fillId="5" fontId="5" numFmtId="0" xfId="0" applyAlignment="1" applyBorder="1" applyFill="1" applyFont="1">
      <alignment horizontal="center" vertical="bottom"/>
    </xf>
    <xf borderId="4" fillId="6" fontId="8" numFmtId="0" xfId="0" applyAlignment="1" applyBorder="1" applyFill="1" applyFont="1">
      <alignment horizontal="center" vertical="center"/>
    </xf>
    <xf borderId="4" fillId="6" fontId="8" numFmtId="0" xfId="0" applyAlignment="1" applyBorder="1" applyFont="1">
      <alignment horizontal="center" readingOrder="0" vertical="center"/>
    </xf>
    <xf borderId="5" fillId="6" fontId="8" numFmtId="0" xfId="0" applyAlignment="1" applyBorder="1" applyFont="1">
      <alignment horizontal="center" vertical="center"/>
    </xf>
    <xf borderId="6" fillId="6" fontId="8" numFmtId="0" xfId="0" applyAlignment="1" applyBorder="1" applyFont="1">
      <alignment horizontal="center" vertical="center"/>
    </xf>
    <xf borderId="0" fillId="0" fontId="5" numFmtId="0" xfId="0" applyAlignment="1" applyFont="1">
      <alignment horizontal="center" readingOrder="0" vertical="bottom"/>
    </xf>
    <xf borderId="0" fillId="7" fontId="9" numFmtId="0" xfId="0" applyAlignment="1" applyFill="1" applyFont="1">
      <alignment horizontal="center" readingOrder="0" vertical="bottom"/>
    </xf>
    <xf borderId="7" fillId="0" fontId="10" numFmtId="165" xfId="0" applyAlignment="1" applyBorder="1" applyFont="1" applyNumberFormat="1">
      <alignment horizontal="center" readingOrder="0"/>
    </xf>
    <xf borderId="7" fillId="7" fontId="10" numFmtId="165" xfId="0" applyAlignment="1" applyBorder="1" applyFont="1" applyNumberFormat="1">
      <alignment horizontal="center" readingOrder="0"/>
    </xf>
    <xf borderId="0" fillId="0" fontId="11" numFmtId="0" xfId="0" applyAlignment="1" applyFont="1">
      <alignment horizontal="center" readingOrder="0" vertical="bottom"/>
    </xf>
    <xf borderId="0" fillId="0" fontId="5" numFmtId="0" xfId="0" applyAlignment="1" applyFont="1">
      <alignment horizontal="center" vertical="bottom"/>
    </xf>
    <xf borderId="8" fillId="0" fontId="12" numFmtId="0" xfId="0" applyAlignment="1" applyBorder="1" applyFont="1">
      <alignment horizontal="center" vertical="bottom"/>
    </xf>
    <xf borderId="0" fillId="0" fontId="13" numFmtId="0" xfId="0" applyAlignment="1" applyFont="1">
      <alignment horizontal="center" readingOrder="0"/>
    </xf>
    <xf borderId="0" fillId="7" fontId="14" numFmtId="0" xfId="0" applyAlignment="1" applyFont="1">
      <alignment horizontal="center" readingOrder="0" vertical="bottom"/>
    </xf>
    <xf borderId="0" fillId="0" fontId="15" numFmtId="0" xfId="0" applyAlignment="1" applyFont="1">
      <alignment horizontal="center" readingOrder="0"/>
    </xf>
    <xf borderId="0" fillId="5" fontId="16" numFmtId="0" xfId="0" applyAlignment="1" applyFont="1">
      <alignment horizontal="center" readingOrder="0" vertical="bottom"/>
    </xf>
    <xf borderId="0" fillId="5" fontId="1" numFmtId="0" xfId="0" applyAlignment="1" applyFont="1">
      <alignment horizontal="center" readingOrder="0" vertical="bottom"/>
    </xf>
    <xf borderId="0" fillId="7" fontId="1" numFmtId="0" xfId="0" applyAlignment="1" applyFont="1">
      <alignment horizontal="center" readingOrder="0" vertical="bottom"/>
    </xf>
    <xf borderId="0" fillId="7" fontId="16" numFmtId="0" xfId="0" applyAlignment="1" applyFont="1">
      <alignment horizontal="center" readingOrder="0" vertical="bottom"/>
    </xf>
    <xf borderId="0" fillId="0" fontId="16" numFmtId="0" xfId="0" applyAlignment="1" applyFont="1">
      <alignment horizontal="center" readingOrder="0" vertical="bottom"/>
    </xf>
    <xf borderId="8" fillId="0" fontId="1" numFmtId="0" xfId="0" applyAlignment="1" applyBorder="1" applyFont="1">
      <alignment horizontal="center" vertical="bottom"/>
    </xf>
    <xf borderId="0" fillId="0" fontId="2" numFmtId="0" xfId="0" applyAlignment="1" applyFont="1">
      <alignment horizontal="center" readingOrder="0" vertical="bottom"/>
    </xf>
    <xf borderId="0" fillId="0" fontId="1" numFmtId="0" xfId="0" applyAlignment="1" applyFont="1">
      <alignment horizontal="center" readingOrder="0" vertical="bottom"/>
    </xf>
    <xf borderId="0" fillId="0" fontId="16" numFmtId="0" xfId="0" applyAlignment="1" applyFont="1">
      <alignment horizontal="center" vertical="bottom"/>
    </xf>
    <xf borderId="0" fillId="0" fontId="17" numFmtId="165" xfId="0" applyAlignment="1" applyFont="1" applyNumberFormat="1">
      <alignment horizontal="center" vertical="bottom"/>
    </xf>
    <xf borderId="0" fillId="0" fontId="18" numFmtId="166" xfId="0" applyAlignment="1" applyFont="1" applyNumberFormat="1">
      <alignment horizontal="center" vertical="bottom"/>
    </xf>
    <xf borderId="0" fillId="0" fontId="12" numFmtId="0" xfId="0" applyAlignment="1" applyFont="1">
      <alignment horizontal="center" vertical="bottom"/>
    </xf>
    <xf borderId="0" fillId="0" fontId="1" numFmtId="165" xfId="0" applyAlignment="1" applyFont="1" applyNumberFormat="1">
      <alignment vertical="bottom"/>
    </xf>
    <xf borderId="0" fillId="0" fontId="5" numFmtId="166" xfId="0" applyAlignment="1" applyFont="1" applyNumberFormat="1">
      <alignment horizontal="center" vertical="bottom"/>
    </xf>
    <xf borderId="8" fillId="0" fontId="1" numFmtId="0" xfId="0" applyAlignment="1" applyBorder="1" applyFont="1">
      <alignment vertical="bottom"/>
    </xf>
    <xf borderId="0" fillId="0" fontId="5" numFmtId="165" xfId="0" applyAlignment="1" applyFont="1" applyNumberFormat="1">
      <alignment horizontal="center" vertical="bottom"/>
    </xf>
    <xf borderId="0" fillId="0" fontId="5" numFmtId="167" xfId="0" applyAlignment="1" applyFont="1" applyNumberFormat="1">
      <alignment horizontal="center" vertical="bottom"/>
    </xf>
    <xf borderId="0" fillId="0" fontId="1" numFmtId="0" xfId="0" applyAlignment="1" applyFont="1">
      <alignment horizontal="center" vertical="bottom"/>
    </xf>
    <xf borderId="0" fillId="0" fontId="10" numFmtId="0" xfId="0" applyAlignment="1" applyFont="1">
      <alignment horizontal="center" vertical="bottom"/>
    </xf>
    <xf borderId="0" fillId="0" fontId="1" numFmtId="167" xfId="0" applyAlignment="1" applyFont="1" applyNumberFormat="1">
      <alignment vertical="bottom"/>
    </xf>
    <xf borderId="0" fillId="0" fontId="1" numFmtId="168" xfId="0" applyAlignment="1" applyFont="1" applyNumberFormat="1">
      <alignment vertical="bottom"/>
    </xf>
    <xf borderId="0" fillId="0" fontId="16" numFmtId="0" xfId="0" applyAlignment="1" applyFont="1">
      <alignment vertical="bottom"/>
    </xf>
    <xf borderId="0" fillId="0" fontId="1" numFmtId="169" xfId="0" applyAlignment="1" applyFont="1" applyNumberFormat="1">
      <alignment vertical="bottom"/>
    </xf>
    <xf borderId="0" fillId="0" fontId="1" numFmtId="170" xfId="0" applyAlignment="1" applyFont="1" applyNumberFormat="1">
      <alignment vertical="bottom"/>
    </xf>
    <xf borderId="0" fillId="0" fontId="1" numFmtId="166" xfId="0" applyAlignment="1" applyFont="1" applyNumberFormat="1">
      <alignment vertical="bottom"/>
    </xf>
    <xf borderId="0" fillId="4" fontId="19" numFmtId="0" xfId="0" applyAlignment="1" applyFont="1">
      <alignment horizontal="center"/>
    </xf>
    <xf borderId="0" fillId="8" fontId="1" numFmtId="0" xfId="0" applyAlignment="1" applyFill="1" applyFont="1">
      <alignment vertical="bottom"/>
    </xf>
    <xf borderId="0" fillId="8" fontId="20" numFmtId="0" xfId="0" applyAlignment="1" applyFont="1">
      <alignment horizontal="center" vertical="bottom"/>
    </xf>
    <xf borderId="9" fillId="0" fontId="1" numFmtId="0" xfId="0" applyAlignment="1" applyBorder="1" applyFont="1">
      <alignment vertical="bottom"/>
    </xf>
    <xf borderId="0" fillId="9" fontId="20" numFmtId="0" xfId="0" applyAlignment="1" applyFill="1" applyFont="1">
      <alignment horizontal="center" vertical="bottom"/>
    </xf>
    <xf borderId="0" fillId="2" fontId="20" numFmtId="0" xfId="0" applyAlignment="1" applyFont="1">
      <alignment horizontal="center" vertical="bottom"/>
    </xf>
    <xf borderId="0" fillId="9" fontId="21" numFmtId="0" xfId="0" applyAlignment="1" applyFont="1">
      <alignment horizontal="center" vertical="center"/>
    </xf>
    <xf borderId="0" fillId="0" fontId="22" numFmtId="0" xfId="0" applyAlignment="1" applyFont="1">
      <alignment horizontal="center" vertical="bottom"/>
    </xf>
    <xf borderId="0" fillId="0" fontId="23" numFmtId="0" xfId="0" applyAlignment="1" applyFont="1">
      <alignment horizontal="center" vertical="bottom"/>
    </xf>
    <xf borderId="0" fillId="10" fontId="22" numFmtId="0" xfId="0" applyAlignment="1" applyFill="1" applyFont="1">
      <alignment horizontal="center" vertical="bottom"/>
    </xf>
    <xf borderId="4" fillId="11" fontId="1" numFmtId="0" xfId="0" applyAlignment="1" applyBorder="1" applyFill="1" applyFont="1">
      <alignment horizontal="center" vertical="center"/>
    </xf>
    <xf borderId="0" fillId="9" fontId="24" numFmtId="0" xfId="0" applyAlignment="1" applyFont="1">
      <alignment horizontal="center" vertical="center"/>
    </xf>
    <xf borderId="0" fillId="12" fontId="25" numFmtId="0" xfId="0" applyAlignment="1" applyFill="1" applyFont="1">
      <alignment horizontal="center" readingOrder="0" vertical="center"/>
    </xf>
    <xf borderId="0" fillId="9" fontId="6" numFmtId="0" xfId="0" applyAlignment="1" applyFont="1">
      <alignment horizontal="center" readingOrder="0" vertical="bottom"/>
    </xf>
    <xf borderId="0" fillId="0" fontId="1" numFmtId="0" xfId="0" applyAlignment="1" applyFont="1">
      <alignment horizontal="center" readingOrder="0" vertical="center"/>
    </xf>
    <xf borderId="0" fillId="13" fontId="20" numFmtId="0" xfId="0" applyAlignment="1" applyFill="1" applyFont="1">
      <alignment horizontal="center" vertical="bottom"/>
    </xf>
    <xf borderId="4" fillId="5" fontId="1" numFmtId="0" xfId="0" applyAlignment="1" applyBorder="1" applyFont="1">
      <alignment horizontal="right" vertical="center"/>
    </xf>
    <xf borderId="0" fillId="0" fontId="5" numFmtId="0" xfId="0" applyAlignment="1" applyFont="1">
      <alignment horizontal="center"/>
    </xf>
    <xf borderId="0" fillId="3" fontId="6" numFmtId="0" xfId="0" applyAlignment="1" applyFont="1">
      <alignment vertical="center"/>
    </xf>
    <xf borderId="4" fillId="2" fontId="26" numFmtId="0" xfId="0" applyAlignment="1" applyBorder="1" applyFont="1">
      <alignment horizontal="center" vertical="center"/>
    </xf>
    <xf borderId="4" fillId="2" fontId="26" numFmtId="0" xfId="0" applyAlignment="1" applyBorder="1" applyFont="1">
      <alignment horizontal="center" shrinkToFit="0" vertical="center" wrapText="0"/>
    </xf>
    <xf borderId="4" fillId="14" fontId="26" numFmtId="0" xfId="0" applyAlignment="1" applyBorder="1" applyFill="1" applyFont="1">
      <alignment horizontal="center" shrinkToFit="0" vertical="center" wrapText="0"/>
    </xf>
    <xf borderId="0" fillId="2" fontId="26" numFmtId="0" xfId="0" applyAlignment="1" applyFont="1">
      <alignment horizontal="center" vertical="center"/>
    </xf>
    <xf borderId="0" fillId="0" fontId="27" numFmtId="0" xfId="0" applyAlignment="1" applyFont="1">
      <alignment horizontal="right" vertical="center"/>
    </xf>
    <xf borderId="4" fillId="0" fontId="1" numFmtId="0" xfId="0" applyAlignment="1" applyBorder="1" applyFont="1">
      <alignment horizontal="center"/>
    </xf>
    <xf borderId="4" fillId="0" fontId="10" numFmtId="0" xfId="0" applyAlignment="1" applyBorder="1" applyFont="1">
      <alignment horizontal="center"/>
    </xf>
    <xf borderId="4" fillId="5" fontId="10" numFmtId="0" xfId="0" applyAlignment="1" applyBorder="1" applyFont="1">
      <alignment vertical="center"/>
    </xf>
    <xf borderId="4" fillId="5" fontId="1" numFmtId="0" xfId="0" applyAlignment="1" applyBorder="1" applyFont="1">
      <alignment vertical="center"/>
    </xf>
    <xf borderId="4" fillId="5" fontId="10" numFmtId="0" xfId="0" applyAlignment="1" applyBorder="1" applyFont="1">
      <alignment horizontal="center" vertical="center"/>
    </xf>
    <xf borderId="4" fillId="0" fontId="10" numFmtId="164" xfId="0" applyAlignment="1" applyBorder="1" applyFont="1" applyNumberFormat="1">
      <alignment horizontal="center"/>
    </xf>
    <xf borderId="4" fillId="0" fontId="28" numFmtId="0" xfId="0" applyAlignment="1" applyBorder="1" applyFont="1">
      <alignment horizontal="left" shrinkToFit="0" wrapText="0"/>
    </xf>
    <xf borderId="0" fillId="0" fontId="1" numFmtId="0" xfId="0" applyAlignment="1" applyFont="1">
      <alignment vertical="center"/>
    </xf>
    <xf borderId="0" fillId="9" fontId="24" numFmtId="0" xfId="0" applyAlignment="1" applyFont="1">
      <alignment horizontal="center" readingOrder="0" vertical="center"/>
    </xf>
    <xf borderId="0" fillId="10" fontId="1" numFmtId="0" xfId="0" applyAlignment="1" applyFont="1">
      <alignment vertical="bottom"/>
    </xf>
    <xf borderId="0" fillId="4" fontId="19" numFmtId="0" xfId="0" applyAlignment="1" applyFont="1">
      <alignment horizontal="center" readingOrder="0"/>
    </xf>
    <xf borderId="7" fillId="0" fontId="29" numFmtId="165" xfId="0" applyAlignment="1" applyBorder="1" applyFont="1" applyNumberFormat="1">
      <alignment horizontal="center" readingOrder="0"/>
    </xf>
    <xf borderId="0" fillId="9" fontId="21" numFmtId="0" xfId="0" applyAlignment="1" applyFont="1">
      <alignment horizontal="center" readingOrder="0" vertical="center"/>
    </xf>
    <xf borderId="0" fillId="0" fontId="2" numFmtId="0" xfId="0" applyAlignment="1" applyFont="1">
      <alignment horizontal="center"/>
    </xf>
    <xf borderId="4" fillId="11" fontId="1" numFmtId="0" xfId="0" applyAlignment="1" applyBorder="1" applyFont="1">
      <alignment horizontal="center" vertical="bottom"/>
    </xf>
    <xf borderId="4" fillId="5" fontId="1" numFmtId="0" xfId="0" applyAlignment="1" applyBorder="1" applyFont="1">
      <alignment readingOrder="0" vertical="bottom"/>
    </xf>
    <xf borderId="4" fillId="2" fontId="26" numFmtId="0" xfId="0" applyAlignment="1" applyBorder="1" applyFont="1">
      <alignment horizontal="center" vertical="bottom"/>
    </xf>
    <xf borderId="4" fillId="14" fontId="26" numFmtId="0" xfId="0" applyAlignment="1" applyBorder="1" applyFont="1">
      <alignment horizontal="center" vertical="bottom"/>
    </xf>
    <xf borderId="0" fillId="2" fontId="26" numFmtId="0" xfId="0" applyAlignment="1" applyFont="1">
      <alignment horizontal="center" vertical="bottom"/>
    </xf>
    <xf borderId="0" fillId="0" fontId="2" numFmtId="0" xfId="0" applyAlignment="1" applyFont="1">
      <alignment readingOrder="0"/>
    </xf>
    <xf borderId="4" fillId="5" fontId="10" numFmtId="0" xfId="0" applyAlignment="1" applyBorder="1" applyFont="1">
      <alignment horizontal="center"/>
    </xf>
    <xf borderId="4" fillId="5" fontId="1" numFmtId="0" xfId="0" applyBorder="1" applyFont="1"/>
    <xf borderId="0" fillId="0" fontId="1" numFmtId="0" xfId="0" applyAlignment="1" applyFont="1">
      <alignment readingOrder="0" vertical="bottom"/>
    </xf>
    <xf borderId="0" fillId="0" fontId="20" numFmtId="0" xfId="0" applyAlignment="1" applyFont="1">
      <alignment horizontal="center" vertical="bottom"/>
    </xf>
    <xf quotePrefix="1" borderId="0" fillId="0" fontId="1" numFmtId="0" xfId="0" applyAlignment="1" applyFont="1">
      <alignment horizontal="left" readingOrder="0" vertical="bottom"/>
    </xf>
    <xf borderId="0" fillId="2" fontId="30" numFmtId="0" xfId="0" applyAlignment="1" applyFont="1">
      <alignment horizontal="center" readingOrder="0" vertical="center"/>
    </xf>
    <xf borderId="4" fillId="0" fontId="1" numFmtId="0" xfId="0" applyBorder="1" applyFont="1"/>
    <xf borderId="4" fillId="5" fontId="10" numFmtId="0" xfId="0" applyAlignment="1" applyBorder="1" applyFont="1">
      <alignment horizontal="left"/>
    </xf>
    <xf borderId="4" fillId="0" fontId="10" numFmtId="164" xfId="0" applyAlignment="1" applyBorder="1" applyFont="1" applyNumberFormat="1">
      <alignment horizontal="center"/>
    </xf>
    <xf borderId="4" fillId="0" fontId="31" numFmtId="0" xfId="0" applyAlignment="1" applyBorder="1" applyFont="1">
      <alignment shrinkToFit="0" wrapText="0"/>
    </xf>
    <xf borderId="4" fillId="5" fontId="1" numFmtId="0" xfId="0" applyAlignment="1" applyBorder="1" applyFont="1">
      <alignment horizontal="left"/>
    </xf>
    <xf borderId="0" fillId="0" fontId="32" numFmtId="0" xfId="0" applyAlignment="1" applyFont="1">
      <alignment horizontal="center" readingOrder="0" vertical="bottom"/>
    </xf>
    <xf borderId="0" fillId="15" fontId="1" numFmtId="0" xfId="0" applyAlignment="1" applyFill="1" applyFont="1">
      <alignment vertical="bottom"/>
    </xf>
    <xf borderId="0" fillId="9" fontId="33" numFmtId="0" xfId="0" applyAlignment="1" applyFont="1">
      <alignment horizontal="center" vertical="center"/>
    </xf>
    <xf borderId="0" fillId="16" fontId="34" numFmtId="0" xfId="0" applyAlignment="1" applyFill="1" applyFont="1">
      <alignment horizontal="left" readingOrder="0" shrinkToFit="0" wrapText="0"/>
    </xf>
    <xf borderId="0" fillId="0" fontId="5" numFmtId="0" xfId="0" applyAlignment="1" applyFont="1">
      <alignment horizontal="center" readingOrder="0"/>
    </xf>
    <xf borderId="4" fillId="5" fontId="1" numFmtId="0" xfId="0" applyAlignment="1" applyBorder="1" applyFont="1">
      <alignment horizontal="right" vertical="bottom"/>
    </xf>
    <xf borderId="0" fillId="17" fontId="34" numFmtId="0" xfId="0" applyAlignment="1" applyFill="1" applyFont="1">
      <alignment horizontal="left" readingOrder="0" shrinkToFit="0" wrapText="0"/>
    </xf>
    <xf borderId="0" fillId="18" fontId="35" numFmtId="0" xfId="0" applyAlignment="1" applyFill="1" applyFont="1">
      <alignment vertical="bottom"/>
    </xf>
    <xf borderId="4" fillId="2" fontId="26" numFmtId="0" xfId="0" applyAlignment="1" applyBorder="1" applyFont="1">
      <alignment horizontal="center"/>
    </xf>
    <xf borderId="4" fillId="2" fontId="26" numFmtId="0" xfId="0" applyAlignment="1" applyBorder="1" applyFont="1">
      <alignment horizontal="center" shrinkToFit="0" wrapText="0"/>
    </xf>
    <xf borderId="4" fillId="14" fontId="26" numFmtId="0" xfId="0" applyAlignment="1" applyBorder="1" applyFont="1">
      <alignment horizontal="center" shrinkToFit="0" wrapText="0"/>
    </xf>
    <xf borderId="0" fillId="2" fontId="26" numFmtId="0" xfId="0" applyAlignment="1" applyFont="1">
      <alignment horizontal="center"/>
    </xf>
    <xf borderId="0" fillId="19" fontId="34" numFmtId="0" xfId="0" applyAlignment="1" applyFill="1" applyFont="1">
      <alignment horizontal="left" readingOrder="0" shrinkToFit="0" wrapText="0"/>
    </xf>
    <xf borderId="0" fillId="0" fontId="27" numFmtId="0" xfId="0" applyAlignment="1" applyFont="1">
      <alignment horizontal="right" vertical="bottom"/>
    </xf>
    <xf borderId="0" fillId="20" fontId="22" numFmtId="0" xfId="0" applyAlignment="1" applyFill="1" applyFont="1">
      <alignment horizontal="center" vertical="bottom"/>
    </xf>
    <xf borderId="0" fillId="20" fontId="1" numFmtId="0" xfId="0" applyAlignment="1" applyFont="1">
      <alignment horizontal="center" vertical="bottom"/>
    </xf>
    <xf borderId="0" fillId="20" fontId="34" numFmtId="0" xfId="0" applyAlignment="1" applyFont="1">
      <alignment horizontal="left" readingOrder="0" shrinkToFit="0" wrapText="0"/>
    </xf>
    <xf borderId="0" fillId="20" fontId="5" numFmtId="0" xfId="0" applyAlignment="1" applyFont="1">
      <alignment horizontal="center"/>
    </xf>
    <xf borderId="0" fillId="20" fontId="5" numFmtId="0" xfId="0" applyAlignment="1" applyFont="1">
      <alignment horizontal="center" readingOrder="0"/>
    </xf>
    <xf borderId="0" fillId="20" fontId="1" numFmtId="0" xfId="0" applyAlignment="1" applyFont="1">
      <alignment vertical="bottom"/>
    </xf>
    <xf borderId="0" fillId="20" fontId="1" numFmtId="0" xfId="0" applyAlignment="1" applyFont="1">
      <alignment readingOrder="0" vertical="bottom"/>
    </xf>
    <xf borderId="0" fillId="20" fontId="2" numFmtId="0" xfId="0" applyFont="1"/>
    <xf borderId="0" fillId="9" fontId="30" numFmtId="0" xfId="0" applyAlignment="1" applyFont="1">
      <alignment horizontal="center"/>
    </xf>
    <xf borderId="4" fillId="0" fontId="1" numFmtId="0" xfId="0" applyAlignment="1" applyBorder="1" applyFont="1">
      <alignment horizontal="center" vertical="bottom"/>
    </xf>
    <xf borderId="4" fillId="0" fontId="10" numFmtId="0" xfId="0" applyAlignment="1" applyBorder="1" applyFont="1">
      <alignment horizontal="center" vertical="bottom"/>
    </xf>
    <xf borderId="4" fillId="5" fontId="10" numFmtId="0" xfId="0" applyBorder="1" applyFont="1"/>
    <xf borderId="4" fillId="0" fontId="10" numFmtId="0" xfId="0" applyAlignment="1" applyBorder="1" applyFont="1">
      <alignment horizontal="center" vertical="bottom"/>
    </xf>
    <xf borderId="4" fillId="5" fontId="10" numFmtId="0" xfId="0" applyAlignment="1" applyBorder="1" applyFont="1">
      <alignment horizontal="center" vertical="bottom"/>
    </xf>
    <xf borderId="4" fillId="0" fontId="10" numFmtId="164" xfId="0" applyAlignment="1" applyBorder="1" applyFont="1" applyNumberFormat="1">
      <alignment horizontal="center" vertical="bottom"/>
    </xf>
    <xf borderId="4" fillId="0" fontId="36" numFmtId="0" xfId="0" applyAlignment="1" applyBorder="1" applyFont="1">
      <alignment shrinkToFit="0" vertical="bottom" wrapText="0"/>
    </xf>
    <xf borderId="0" fillId="0" fontId="37" numFmtId="0" xfId="0" applyAlignment="1" applyFont="1">
      <alignment horizontal="left" readingOrder="0" shrinkToFit="0" vertical="bottom" wrapText="0"/>
    </xf>
    <xf borderId="0" fillId="0" fontId="1" numFmtId="0" xfId="0" applyAlignment="1" applyFont="1">
      <alignment shrinkToFit="0" wrapText="1"/>
    </xf>
    <xf borderId="0" fillId="0" fontId="1" numFmtId="164" xfId="0" applyAlignment="1" applyFont="1" applyNumberFormat="1">
      <alignment vertical="bottom"/>
    </xf>
    <xf borderId="0" fillId="0" fontId="1" numFmtId="0" xfId="0" applyAlignment="1" applyFont="1">
      <alignment vertical="bottom"/>
    </xf>
    <xf borderId="4" fillId="11" fontId="1" numFmtId="0" xfId="0" applyAlignment="1" applyBorder="1" applyFont="1">
      <alignment horizontal="center" readingOrder="0" vertical="center"/>
    </xf>
    <xf borderId="4" fillId="5" fontId="1" numFmtId="0" xfId="0" applyAlignment="1" applyBorder="1" applyFont="1">
      <alignment horizontal="right" readingOrder="0" vertical="center"/>
    </xf>
    <xf borderId="0" fillId="18" fontId="38" numFmtId="0" xfId="0" applyAlignment="1" applyFont="1">
      <alignment readingOrder="0" vertical="center"/>
    </xf>
    <xf borderId="0" fillId="20" fontId="37" numFmtId="0" xfId="0" applyAlignment="1" applyFont="1">
      <alignment horizontal="left" readingOrder="0" shrinkToFit="0" vertical="bottom" wrapText="0"/>
    </xf>
    <xf borderId="0" fillId="0" fontId="1" numFmtId="0" xfId="0" applyAlignment="1" applyFont="1">
      <alignment horizontal="center" readingOrder="0" vertical="bottom"/>
    </xf>
    <xf borderId="0" fillId="20" fontId="1" numFmtId="0" xfId="0" applyAlignment="1" applyFont="1">
      <alignment horizontal="center" readingOrder="0" vertical="bottom"/>
    </xf>
    <xf quotePrefix="1" borderId="0" fillId="0" fontId="37" numFmtId="0" xfId="0" applyAlignment="1" applyFont="1">
      <alignment horizontal="left" readingOrder="0" shrinkToFit="0" vertical="bottom" wrapText="0"/>
    </xf>
    <xf borderId="0" fillId="0" fontId="37" numFmtId="0" xfId="0" applyAlignment="1" applyFont="1">
      <alignment horizontal="left" readingOrder="0" vertical="top"/>
    </xf>
    <xf borderId="0" fillId="21" fontId="1" numFmtId="0" xfId="0" applyAlignment="1" applyFill="1" applyFont="1">
      <alignment horizontal="center" readingOrder="0" vertical="bottom"/>
    </xf>
    <xf borderId="0" fillId="21" fontId="37" numFmtId="0" xfId="0" applyAlignment="1" applyFont="1">
      <alignment horizontal="left" readingOrder="0" shrinkToFit="0" vertical="bottom" wrapText="0"/>
    </xf>
    <xf borderId="0" fillId="21" fontId="1" numFmtId="0" xfId="0" applyAlignment="1" applyFont="1">
      <alignment vertical="bottom"/>
    </xf>
    <xf borderId="0" fillId="21" fontId="37" numFmtId="0" xfId="0" applyAlignment="1" applyFont="1">
      <alignment horizontal="left" readingOrder="0" vertical="top"/>
    </xf>
    <xf borderId="0" fillId="21" fontId="37" numFmtId="0" xfId="0" applyAlignment="1" applyFont="1">
      <alignment vertical="top"/>
    </xf>
    <xf borderId="0" fillId="9" fontId="39" numFmtId="0" xfId="0" applyAlignment="1" applyFont="1">
      <alignment horizontal="center" vertical="center"/>
    </xf>
    <xf borderId="0" fillId="9" fontId="30" numFmtId="0" xfId="0" applyAlignment="1" applyFont="1">
      <alignment horizontal="center" vertical="center"/>
    </xf>
    <xf borderId="4" fillId="14" fontId="26" numFmtId="0" xfId="0" applyAlignment="1" applyBorder="1" applyFont="1">
      <alignment horizontal="center"/>
    </xf>
    <xf borderId="0" fillId="0" fontId="40" numFmtId="0" xfId="0" applyAlignment="1" applyFont="1">
      <alignment horizontal="right" vertical="bottom"/>
    </xf>
    <xf borderId="0" fillId="14" fontId="41" numFmtId="0" xfId="0" applyAlignment="1" applyFont="1">
      <alignment horizontal="center" readingOrder="0" vertical="center"/>
    </xf>
    <xf borderId="0" fillId="21" fontId="5" numFmtId="0" xfId="0" applyAlignment="1" applyFont="1">
      <alignment horizontal="center" readingOrder="0"/>
    </xf>
    <xf borderId="0" fillId="9" fontId="33" numFmtId="0" xfId="0" applyAlignment="1" applyFont="1">
      <alignment horizontal="center" readingOrder="0" vertical="center"/>
    </xf>
    <xf borderId="0" fillId="3" fontId="37" numFmtId="0" xfId="0" applyAlignment="1" applyFont="1">
      <alignment horizontal="left" readingOrder="0" shrinkToFit="0" vertical="bottom" wrapText="0"/>
    </xf>
    <xf borderId="0" fillId="22" fontId="37" numFmtId="0" xfId="0" applyAlignment="1" applyFill="1" applyFont="1">
      <alignment horizontal="left" readingOrder="0" shrinkToFit="0" vertical="bottom" wrapText="0"/>
    </xf>
    <xf borderId="0" fillId="21" fontId="22" numFmtId="0" xfId="0" applyAlignment="1" applyFont="1">
      <alignment horizontal="center" vertical="bottom"/>
    </xf>
    <xf borderId="0" fillId="21" fontId="5" numFmtId="0" xfId="0" applyAlignment="1" applyFont="1">
      <alignment horizontal="center"/>
    </xf>
    <xf quotePrefix="1" borderId="0" fillId="21" fontId="37" numFmtId="0" xfId="0" applyAlignment="1" applyFont="1">
      <alignment horizontal="left" readingOrder="0" shrinkToFit="0" vertical="bottom" wrapText="0"/>
    </xf>
    <xf borderId="0" fillId="9" fontId="41" numFmtId="0" xfId="0" applyAlignment="1" applyFont="1">
      <alignment horizontal="center" readingOrder="0" vertical="center"/>
    </xf>
    <xf borderId="4" fillId="11" fontId="35" numFmtId="0" xfId="0" applyAlignment="1" applyBorder="1" applyFont="1">
      <alignment horizontal="center" vertical="bottom"/>
    </xf>
    <xf borderId="0" fillId="0" fontId="41" numFmtId="0" xfId="0" applyAlignment="1" applyFont="1">
      <alignment horizontal="center" readingOrder="0" vertical="center"/>
    </xf>
    <xf borderId="0" fillId="0" fontId="35" numFmtId="0" xfId="0" applyAlignment="1" applyFont="1">
      <alignment horizontal="left" readingOrder="0" vertical="bottom"/>
    </xf>
    <xf borderId="4" fillId="5" fontId="1" numFmtId="0" xfId="0" applyAlignment="1" applyBorder="1" applyFont="1">
      <alignment horizontal="center" vertical="bottom"/>
    </xf>
    <xf borderId="0" fillId="18" fontId="38" numFmtId="0" xfId="0" applyAlignment="1" applyFont="1">
      <alignment readingOrder="0" vertical="bottom"/>
    </xf>
    <xf borderId="0" fillId="13" fontId="20" numFmtId="0" xfId="0" applyAlignment="1" applyFont="1">
      <alignment horizontal="center" readingOrder="0" vertical="bottom"/>
    </xf>
    <xf borderId="0" fillId="0" fontId="42" numFmtId="0" xfId="0" applyAlignment="1" applyFont="1">
      <alignment horizontal="center" vertical="bottom"/>
    </xf>
    <xf borderId="10" fillId="0" fontId="42" numFmtId="0" xfId="0" applyAlignment="1" applyBorder="1" applyFont="1">
      <alignment horizontal="center" vertical="bottom"/>
    </xf>
    <xf borderId="10" fillId="0" fontId="1" numFmtId="0" xfId="0" applyAlignment="1" applyBorder="1" applyFont="1">
      <alignment horizontal="center" readingOrder="0" vertical="bottom"/>
    </xf>
    <xf borderId="10" fillId="0" fontId="1" numFmtId="0" xfId="0" applyAlignment="1" applyBorder="1" applyFont="1">
      <alignment vertical="bottom"/>
    </xf>
    <xf borderId="0" fillId="0" fontId="43" numFmtId="0" xfId="0" applyAlignment="1" applyFont="1">
      <alignment horizontal="center" vertical="bottom"/>
    </xf>
    <xf borderId="10" fillId="0" fontId="43" numFmtId="0" xfId="0" applyAlignment="1" applyBorder="1" applyFont="1">
      <alignment horizontal="center" vertical="bottom"/>
    </xf>
    <xf borderId="0" fillId="0" fontId="44" numFmtId="0" xfId="0" applyAlignment="1" applyFont="1">
      <alignment horizontal="center" vertical="bottom"/>
    </xf>
    <xf borderId="10" fillId="0" fontId="44" numFmtId="0" xfId="0" applyAlignment="1" applyBorder="1" applyFont="1">
      <alignment horizontal="center" vertical="bottom"/>
    </xf>
    <xf borderId="0" fillId="0" fontId="45" numFmtId="0" xfId="0" applyAlignment="1" applyFont="1">
      <alignment horizontal="center" vertical="bottom"/>
    </xf>
    <xf borderId="11" fillId="15" fontId="1" numFmtId="0" xfId="0" applyAlignment="1" applyBorder="1" applyFont="1">
      <alignment horizontal="center" readingOrder="0" vertical="center"/>
    </xf>
    <xf borderId="12" fillId="15" fontId="1" numFmtId="0" xfId="0" applyAlignment="1" applyBorder="1" applyFont="1">
      <alignment horizontal="center" readingOrder="0" vertical="bottom"/>
    </xf>
    <xf borderId="13" fillId="15" fontId="1" numFmtId="0" xfId="0" applyAlignment="1" applyBorder="1" applyFont="1">
      <alignment vertical="bottom"/>
    </xf>
    <xf borderId="14" fillId="0" fontId="46" numFmtId="0" xfId="0" applyBorder="1" applyFont="1"/>
    <xf borderId="0" fillId="15" fontId="2" numFmtId="0" xfId="0" applyAlignment="1" applyFont="1">
      <alignment horizontal="center" readingOrder="0"/>
    </xf>
    <xf borderId="15" fillId="15" fontId="1" numFmtId="0" xfId="0" applyAlignment="1" applyBorder="1" applyFont="1">
      <alignment vertical="bottom"/>
    </xf>
    <xf borderId="0" fillId="15" fontId="1" numFmtId="0" xfId="0" applyAlignment="1" applyFont="1">
      <alignment horizontal="center" readingOrder="0" vertical="bottom"/>
    </xf>
    <xf borderId="16" fillId="0" fontId="46" numFmtId="0" xfId="0" applyBorder="1" applyFont="1"/>
    <xf borderId="10" fillId="3" fontId="47" numFmtId="0" xfId="0" applyAlignment="1" applyBorder="1" applyFont="1">
      <alignment horizontal="center" readingOrder="0" vertical="bottom"/>
    </xf>
    <xf borderId="17" fillId="3" fontId="47" numFmtId="0" xfId="0" applyAlignment="1" applyBorder="1" applyFont="1">
      <alignment readingOrder="0" vertical="bottom"/>
    </xf>
    <xf borderId="0" fillId="9" fontId="30" numFmtId="0" xfId="0" applyAlignment="1" applyFont="1">
      <alignment horizontal="center" vertical="bottom"/>
    </xf>
    <xf borderId="4" fillId="2" fontId="26" numFmtId="0" xfId="0" applyAlignment="1" applyBorder="1" applyFont="1">
      <alignment horizontal="center" readingOrder="0" vertical="bottom"/>
    </xf>
    <xf borderId="4" fillId="14" fontId="26" numFmtId="0" xfId="0" applyAlignment="1" applyBorder="1" applyFont="1">
      <alignment horizontal="center" shrinkToFit="0" vertical="bottom" wrapText="0"/>
    </xf>
    <xf borderId="4" fillId="2" fontId="26" numFmtId="0" xfId="0" applyAlignment="1" applyBorder="1" applyFont="1">
      <alignment horizontal="center" shrinkToFit="0" vertical="bottom" wrapText="0"/>
    </xf>
    <xf borderId="4" fillId="5" fontId="10" numFmtId="0" xfId="0" applyAlignment="1" applyBorder="1" applyFont="1">
      <alignment vertical="bottom"/>
    </xf>
    <xf borderId="4" fillId="5" fontId="1" numFmtId="0" xfId="0" applyAlignment="1" applyBorder="1" applyFont="1">
      <alignment vertical="bottom"/>
    </xf>
    <xf borderId="0" fillId="0" fontId="1"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dn.exe.in.th/marketing/WarzTH_LE/Item%20Dict/beret_cover.png" TargetMode="External"/><Relationship Id="rId190" Type="http://schemas.openxmlformats.org/officeDocument/2006/relationships/hyperlink" Target="https://cdn.exe.in.th/marketing/WarzTH_LE/Item%20Dict/riot_shield.png" TargetMode="External"/><Relationship Id="rId42" Type="http://schemas.openxmlformats.org/officeDocument/2006/relationships/hyperlink" Target="https://cdn.exe.in.th/marketing/WarzTH_LE/Item%20Dict/bizon.png" TargetMode="External"/><Relationship Id="rId41" Type="http://schemas.openxmlformats.org/officeDocument/2006/relationships/hyperlink" Target="https://cdn.exe.in.th/marketing/WarzTH_LE/Item%20Dict/binoculars.png" TargetMode="External"/><Relationship Id="rId44" Type="http://schemas.openxmlformats.org/officeDocument/2006/relationships/hyperlink" Target="https://cdn.exe.in.th/marketing/WarzTH_LE/Item%20Dict/black_mask.png" TargetMode="External"/><Relationship Id="rId194" Type="http://schemas.openxmlformats.org/officeDocument/2006/relationships/hyperlink" Target="https://cdn.exe.in.th/marketing/WarzTH_LE/Item%20Dict/ruger.png" TargetMode="External"/><Relationship Id="rId43" Type="http://schemas.openxmlformats.org/officeDocument/2006/relationships/hyperlink" Target="https://cdn.exe.in.th/marketing/WarzTH_LE/Item%20Dict/bizon_ammo.png" TargetMode="External"/><Relationship Id="rId193" Type="http://schemas.openxmlformats.org/officeDocument/2006/relationships/hyperlink" Target="https://cdn.exe.in.th/marketing/WarzTH_LE/Item%20Dict/rpk_74.png" TargetMode="External"/><Relationship Id="rId46" Type="http://schemas.openxmlformats.org/officeDocument/2006/relationships/hyperlink" Target="https://cdn.exe.in.th/marketing/WarzTH_LE/Item%20Dict/blaser_r93.png" TargetMode="External"/><Relationship Id="rId192" Type="http://schemas.openxmlformats.org/officeDocument/2006/relationships/hyperlink" Target="https://cdn.exe.in.th/marketing/WarzTH_LE/Item%20Dict/rod_fishing_01.png" TargetMode="External"/><Relationship Id="rId45" Type="http://schemas.openxmlformats.org/officeDocument/2006/relationships/hyperlink" Target="https://cdn.exe.in.th/marketing/WarzTH_LE/Item%20Dict/blackwater_long_rang.png" TargetMode="External"/><Relationship Id="rId191" Type="http://schemas.openxmlformats.org/officeDocument/2006/relationships/hyperlink" Target="https://cdn.exe.in.th/marketing/WarzTH_LE/Item%20Dict/character_female02.png" TargetMode="External"/><Relationship Id="rId48" Type="http://schemas.openxmlformats.org/officeDocument/2006/relationships/hyperlink" Target="https://cdn.exe.in.th/marketing/WarzTH_LE/Item%20Dict/boonie.png" TargetMode="External"/><Relationship Id="rId187" Type="http://schemas.openxmlformats.org/officeDocument/2006/relationships/hyperlink" Target="https://cdn.exe.in.th/marketing/WarzTH_LE/Item%20Dict/reflex_sight.png" TargetMode="External"/><Relationship Id="rId47" Type="http://schemas.openxmlformats.org/officeDocument/2006/relationships/hyperlink" Target="https://cdn.exe.in.th/marketing/WarzTH_LE/Item%20Dict/wood_shield_barricade.png" TargetMode="External"/><Relationship Id="rId186" Type="http://schemas.openxmlformats.org/officeDocument/2006/relationships/hyperlink" Target="https://cdn.exe.in.th/marketing/WarzTH_LE/Item%20Dict/reddot_sp.png" TargetMode="External"/><Relationship Id="rId185" Type="http://schemas.openxmlformats.org/officeDocument/2006/relationships/hyperlink" Target="https://cdn.exe.in.th/marketing/WarzTH_LE/Item%20Dict/male_character.png" TargetMode="External"/><Relationship Id="rId49" Type="http://schemas.openxmlformats.org/officeDocument/2006/relationships/hyperlink" Target="https://cdn.exe.in.th/marketing/WarzTH_LE/Item%20Dict/boonie_desert.png" TargetMode="External"/><Relationship Id="rId184" Type="http://schemas.openxmlformats.org/officeDocument/2006/relationships/hyperlink" Target="https://cdn.exe.in.th/marketing/WarzTH_LE/Item%20Dict/range_finder.png" TargetMode="External"/><Relationship Id="rId189" Type="http://schemas.openxmlformats.org/officeDocument/2006/relationships/hyperlink" Target="https://cdn.exe.in.th/marketing/WarzTH_LE/Item%20Dict/rifle_laser.png" TargetMode="External"/><Relationship Id="rId188" Type="http://schemas.openxmlformats.org/officeDocument/2006/relationships/hyperlink" Target="https://cdn.exe.in.th/marketing/WarzTH_LE/Item%20Dict/rifle_flashlight.png" TargetMode="External"/><Relationship Id="rId31" Type="http://schemas.openxmlformats.org/officeDocument/2006/relationships/hyperlink" Target="https://cdn.exe.in.th/marketing/WarzTH_LE/Item%20Dict/b93r.png" TargetMode="External"/><Relationship Id="rId30" Type="http://schemas.openxmlformats.org/officeDocument/2006/relationships/hyperlink" Target="https://cdn.exe.in.th/marketing/WarzTH_LE/Item%20Dict/b92.png" TargetMode="External"/><Relationship Id="rId33" Type="http://schemas.openxmlformats.org/officeDocument/2006/relationships/hyperlink" Target="https://cdn.exe.in.th/marketing/WarzTH_LE/Item%20Dict/bag_of_chips.png" TargetMode="External"/><Relationship Id="rId183" Type="http://schemas.openxmlformats.org/officeDocument/2006/relationships/hyperlink" Target="https://cdn.exe.in.th/marketing/WarzTH_LE/Item%20Dict/ra_h23.png" TargetMode="External"/><Relationship Id="rId32" Type="http://schemas.openxmlformats.org/officeDocument/2006/relationships/hyperlink" Target="https://cdn.exe.in.th/marketing/WarzTH_LE/Item%20Dict/mre.png" TargetMode="External"/><Relationship Id="rId182" Type="http://schemas.openxmlformats.org/officeDocument/2006/relationships/hyperlink" Target="https://cdn.exe.in.th/marketing/WarzTH_LE/Item%20Dict/pso_1.png" TargetMode="External"/><Relationship Id="rId35" Type="http://schemas.openxmlformats.org/officeDocument/2006/relationships/hyperlink" Target="https://cdn.exe.in.th/marketing/WarzTH_LE/Item%20Dict/bait_lv2.png" TargetMode="External"/><Relationship Id="rId181" Type="http://schemas.openxmlformats.org/officeDocument/2006/relationships/hyperlink" Target="https://cdn.exe.in.th/marketing/WarzTH_LE/Item%20Dict/7Days.png" TargetMode="External"/><Relationship Id="rId34" Type="http://schemas.openxmlformats.org/officeDocument/2006/relationships/hyperlink" Target="https://cdn.exe.in.th/marketing/WarzTH_LE/Item%20Dict/bait_lv1.png" TargetMode="External"/><Relationship Id="rId180" Type="http://schemas.openxmlformats.org/officeDocument/2006/relationships/hyperlink" Target="https://cdn.exe.in.th/marketing/WarzTH_LE/Item%20Dict/3Days.png" TargetMode="External"/><Relationship Id="rId37" Type="http://schemas.openxmlformats.org/officeDocument/2006/relationships/hyperlink" Target="https://cdn.exe.in.th/marketing/WarzTH_LE/Item%20Dict/bandages_dx.png" TargetMode="External"/><Relationship Id="rId176" Type="http://schemas.openxmlformats.org/officeDocument/2006/relationships/hyperlink" Target="https://cdn.exe.in.th/marketing/WarzTH_LE/Item%20Dict/power_drill.png" TargetMode="External"/><Relationship Id="rId36" Type="http://schemas.openxmlformats.org/officeDocument/2006/relationships/hyperlink" Target="https://cdn.exe.in.th/marketing/WarzTH_LE/Item%20Dict/bandages.png" TargetMode="External"/><Relationship Id="rId175" Type="http://schemas.openxmlformats.org/officeDocument/2006/relationships/hyperlink" Target="https://cdn.exe.in.th/marketing/WarzTH_LE/Item%20Dict/police_baton.png" TargetMode="External"/><Relationship Id="rId39" Type="http://schemas.openxmlformats.org/officeDocument/2006/relationships/hyperlink" Target="https://cdn.exe.in.th/marketing/WarzTH_LE/Item%20Dict/bat.png" TargetMode="External"/><Relationship Id="rId174" Type="http://schemas.openxmlformats.org/officeDocument/2006/relationships/hyperlink" Target="https://cdn.exe.in.th/marketing/WarzTH_LE/Item%20Dict/pitchfork.png" TargetMode="External"/><Relationship Id="rId38" Type="http://schemas.openxmlformats.org/officeDocument/2006/relationships/hyperlink" Target="https://cdn.exe.in.th/marketing/WarzTH_LE/Item%20Dict/barb_wire_barricade.png" TargetMode="External"/><Relationship Id="rId173" Type="http://schemas.openxmlformats.org/officeDocument/2006/relationships/hyperlink" Target="https://cdn.exe.in.th/marketing/WarzTH_LE/Item%20Dict/pistol_silencer.png" TargetMode="External"/><Relationship Id="rId179" Type="http://schemas.openxmlformats.org/officeDocument/2006/relationships/hyperlink" Target="https://cdn.exe.in.th/marketing/WarzTH_LE/Item%20Dict/30Days.png" TargetMode="External"/><Relationship Id="rId178" Type="http://schemas.openxmlformats.org/officeDocument/2006/relationships/hyperlink" Target="https://cdn.exe.in.th/marketing/WarzTH_LE/Item%20Dict/1Days.png" TargetMode="External"/><Relationship Id="rId177" Type="http://schemas.openxmlformats.org/officeDocument/2006/relationships/hyperlink" Target="https://cdn.exe.in.th/marketing/WarzTH_LE/Item%20Dict/15Days.png" TargetMode="External"/><Relationship Id="rId20" Type="http://schemas.openxmlformats.org/officeDocument/2006/relationships/hyperlink" Target="https://cdn.exe.in.th/marketing/WarzTH_LE/Item%20Dict/akm.png" TargetMode="External"/><Relationship Id="rId22" Type="http://schemas.openxmlformats.org/officeDocument/2006/relationships/hyperlink" Target="https://cdn.exe.in.th/marketing/WarzTH_LE/Item%20Dict/alice_rucksack.png" TargetMode="External"/><Relationship Id="rId21" Type="http://schemas.openxmlformats.org/officeDocument/2006/relationships/hyperlink" Target="https://cdn.exe.in.th/marketing/WarzTH_LE/Item%20Dict/aks_74u.png" TargetMode="External"/><Relationship Id="rId24" Type="http://schemas.openxmlformats.org/officeDocument/2006/relationships/hyperlink" Target="https://cdn.exe.in.th/marketing/WarzTH_LE/Item%20Dict/anitibiotics.png" TargetMode="External"/><Relationship Id="rId23" Type="http://schemas.openxmlformats.org/officeDocument/2006/relationships/hyperlink" Target="https://cdn.exe.in.th/marketing/WarzTH_LE/Item%20Dict/anaconda_mag.png" TargetMode="External"/><Relationship Id="rId26" Type="http://schemas.openxmlformats.org/officeDocument/2006/relationships/hyperlink" Target="https://cdn.exe.in.th/marketing/WarzTH_LE/Item%20Dict/asian_male.png" TargetMode="External"/><Relationship Id="rId25" Type="http://schemas.openxmlformats.org/officeDocument/2006/relationships/hyperlink" Target="https://cdn.exe.in.th/marketing/WarzTH_LE/Item%20Dict/arrow_explo.png" TargetMode="External"/><Relationship Id="rId28" Type="http://schemas.openxmlformats.org/officeDocument/2006/relationships/hyperlink" Target="https://cdn.exe.in.th/marketing/WarzTH_LE/Item%20Dict/.338_ammo.png" TargetMode="External"/><Relationship Id="rId27" Type="http://schemas.openxmlformats.org/officeDocument/2006/relationships/hyperlink" Target="https://cdn.exe.in.th/marketing/WarzTH_LE/Item%20Dict/average_joe.png" TargetMode="External"/><Relationship Id="rId29" Type="http://schemas.openxmlformats.org/officeDocument/2006/relationships/hyperlink" Target="https://cdn.exe.in.th/marketing/WarzTH_LE/Item%20Dict/aw_magnum.png" TargetMode="External"/><Relationship Id="rId11" Type="http://schemas.openxmlformats.org/officeDocument/2006/relationships/hyperlink" Target="https://cdn.exe.in.th/marketing/WarzTH_LE/Item%20Dict/5.7_fn_m240_mag.png" TargetMode="External"/><Relationship Id="rId10" Type="http://schemas.openxmlformats.org/officeDocument/2006/relationships/hyperlink" Target="https://cdn.exe.in.th/marketing/WarzTH_LE/Item%20Dict/5.45AK_drum.png" TargetMode="External"/><Relationship Id="rId13" Type="http://schemas.openxmlformats.org/officeDocument/2006/relationships/hyperlink" Target="https://cdn.exe.in.th/marketing/WarzTH_LE/Item%20Dict/9mm_mag.png" TargetMode="External"/><Relationship Id="rId12" Type="http://schemas.openxmlformats.org/officeDocument/2006/relationships/hyperlink" Target="https://cdn.exe.in.th/marketing/WarzTH_LE/Item%20Dict/7.62AKM_mag.png" TargetMode="External"/><Relationship Id="rId15" Type="http://schemas.openxmlformats.org/officeDocument/2006/relationships/hyperlink" Target="https://cdn.exe.in.th/marketing/WarzTH_LE/Item%20Dict/aa_12.png" TargetMode="External"/><Relationship Id="rId198" Type="http://schemas.openxmlformats.org/officeDocument/2006/relationships/hyperlink" Target="https://cdn.exe.in.th/marketing/WarzTH_LE/Item%20Dict/santa_sack.png" TargetMode="External"/><Relationship Id="rId14" Type="http://schemas.openxmlformats.org/officeDocument/2006/relationships/hyperlink" Target="https://cdn.exe.in.th/marketing/WarzTH_LE/Item%20Dict/9x19_para_mag.png" TargetMode="External"/><Relationship Id="rId197" Type="http://schemas.openxmlformats.org/officeDocument/2006/relationships/hyperlink" Target="https://cdn.exe.in.th/marketing/WarzTH_LE/Item%20Dict/santa_lil_helper.png" TargetMode="External"/><Relationship Id="rId17" Type="http://schemas.openxmlformats.org/officeDocument/2006/relationships/hyperlink" Target="https://cdn.exe.in.th/marketing/WarzTH_LE/Item%20Dict/acog.png" TargetMode="External"/><Relationship Id="rId196" Type="http://schemas.openxmlformats.org/officeDocument/2006/relationships/hyperlink" Target="https://cdn.exe.in.th/marketing/WarzTH_LE/Item%20Dict/saiga_10_ammo.png" TargetMode="External"/><Relationship Id="rId16" Type="http://schemas.openxmlformats.org/officeDocument/2006/relationships/hyperlink" Target="https://cdn.exe.in.th/marketing/WarzTH_LE/Item%20Dict/aa_12_drum.png" TargetMode="External"/><Relationship Id="rId195" Type="http://schemas.openxmlformats.org/officeDocument/2006/relationships/hyperlink" Target="https://cdn.exe.in.th/marketing/WarzTH_LE/Item%20Dict/saiga.png" TargetMode="External"/><Relationship Id="rId19" Type="http://schemas.openxmlformats.org/officeDocument/2006/relationships/hyperlink" Target="https://cdn.exe.in.th/marketing/WarzTH_LE/Item%20Dict/ak_74m.png" TargetMode="External"/><Relationship Id="rId18" Type="http://schemas.openxmlformats.org/officeDocument/2006/relationships/hyperlink" Target="https://cdn.exe.in.th/marketing/WarzTH_LE/Item%20Dict/air_horn.png" TargetMode="External"/><Relationship Id="rId199" Type="http://schemas.openxmlformats.org/officeDocument/2006/relationships/hyperlink" Target="https://cdn.exe.in.th/marketing/WarzTH_LE/Item%20Dict/item_drop_scrap_r93.png" TargetMode="External"/><Relationship Id="rId84" Type="http://schemas.openxmlformats.org/officeDocument/2006/relationships/hyperlink" Target="https://cdn.exe.in.th/marketing/WarzTH_LE/Item%20Dict/evo-3.png" TargetMode="External"/><Relationship Id="rId83" Type="http://schemas.openxmlformats.org/officeDocument/2006/relationships/hyperlink" Target="https://cdn.exe.in.th/marketing/WarzTH_LE/Item%20Dict/energy_drink.png" TargetMode="External"/><Relationship Id="rId86" Type="http://schemas.openxmlformats.org/officeDocument/2006/relationships/hyperlink" Target="https://cdn.exe.in.th/marketing/WarzTH_LE/Item%20Dict/ex_military.png" TargetMode="External"/><Relationship Id="rId85" Type="http://schemas.openxmlformats.org/officeDocument/2006/relationships/hyperlink" Target="https://cdn.exe.in.th/marketing/WarzTH_LE/Item%20Dict/ex_cage_fighter.png" TargetMode="External"/><Relationship Id="rId88" Type="http://schemas.openxmlformats.org/officeDocument/2006/relationships/hyperlink" Target="https://cdn.exe.in.th/marketing/WarzTH_LE/Item%20Dict/fire_axe.png" TargetMode="External"/><Relationship Id="rId150" Type="http://schemas.openxmlformats.org/officeDocument/2006/relationships/hyperlink" Target="https://cdn.exe.in.th/marketing/WarzTH_LE/Item%20Dict/kruger_medium_mag.png" TargetMode="External"/><Relationship Id="rId271" Type="http://schemas.openxmlformats.org/officeDocument/2006/relationships/hyperlink" Target="https://cdn.exe.in.th/marketing/WarzTH_LE/Item%20Dict/flare_clip.png" TargetMode="External"/><Relationship Id="rId87" Type="http://schemas.openxmlformats.org/officeDocument/2006/relationships/hyperlink" Target="https://cdn.exe.in.th/marketing/WarzTH_LE/Item%20Dict/famas.png" TargetMode="External"/><Relationship Id="rId270" Type="http://schemas.openxmlformats.org/officeDocument/2006/relationships/hyperlink" Target="https://cdn.exe.in.th/marketing/WarzTH_LE/Item%20Dict/farm_block_crate.png" TargetMode="External"/><Relationship Id="rId89" Type="http://schemas.openxmlformats.org/officeDocument/2006/relationships/hyperlink" Target="https://cdn.exe.in.th/marketing/WarzTH_LE/Item%20Dict/fireman_helmet.png" TargetMode="External"/><Relationship Id="rId80" Type="http://schemas.openxmlformats.org/officeDocument/2006/relationships/hyperlink" Target="https://cdn.exe.in.th/marketing/WarzTH_LE/Item%20Dict/dollars.png" TargetMode="External"/><Relationship Id="rId82" Type="http://schemas.openxmlformats.org/officeDocument/2006/relationships/hyperlink" Target="https://cdn.exe.in.th/marketing/WarzTH_LE/Item%20Dict/electro_aid.png" TargetMode="External"/><Relationship Id="rId81" Type="http://schemas.openxmlformats.org/officeDocument/2006/relationships/hyperlink" Target="https://cdn.exe.in.th/marketing/WarzTH_LE/Item%20Dict/double_barrel.png" TargetMode="External"/><Relationship Id="rId1" Type="http://schemas.openxmlformats.org/officeDocument/2006/relationships/hyperlink" Target="https://cdn.exe.in.th/marketing/WarzTH_LE/Item%20Dict/12g_slug.png" TargetMode="External"/><Relationship Id="rId2" Type="http://schemas.openxmlformats.org/officeDocument/2006/relationships/hyperlink" Target="https://cdn.exe.in.th/marketing/WarzTH_LE/Item%20Dict/ruger_mag.png" TargetMode="External"/><Relationship Id="rId3" Type="http://schemas.openxmlformats.org/officeDocument/2006/relationships/hyperlink" Target="https://cdn.exe.in.th/marketing/WarzTH_LE/Item%20Dict/12g.png" TargetMode="External"/><Relationship Id="rId149" Type="http://schemas.openxmlformats.org/officeDocument/2006/relationships/hyperlink" Target="https://cdn.exe.in.th/marketing/WarzTH_LE/Item%20Dict/medium_backpack.png" TargetMode="External"/><Relationship Id="rId4" Type="http://schemas.openxmlformats.org/officeDocument/2006/relationships/hyperlink" Target="https://cdn.exe.in.th/marketing/WarzTH_LE/Item%20Dict/.308_ammo.png" TargetMode="External"/><Relationship Id="rId148" Type="http://schemas.openxmlformats.org/officeDocument/2006/relationships/hyperlink" Target="https://cdn.exe.in.th/marketing/WarzTH_LE/Item%20Dict/mauser_srg_desert.png" TargetMode="External"/><Relationship Id="rId269" Type="http://schemas.openxmlformats.org/officeDocument/2006/relationships/hyperlink" Target="https://cdn.exe.in.th/marketing/WarzTH_LE/Item%20Dict/farm_block.png" TargetMode="External"/><Relationship Id="rId9" Type="http://schemas.openxmlformats.org/officeDocument/2006/relationships/hyperlink" Target="https://cdn.exe.in.th/marketing/WarzTH_LE/Item%20Dict/5.45AK_45.png" TargetMode="External"/><Relationship Id="rId143" Type="http://schemas.openxmlformats.org/officeDocument/2006/relationships/hyperlink" Target="https://cdn.exe.in.th/marketing/WarzTH_LE/Item%20Dict/m9_helmet_green.png" TargetMode="External"/><Relationship Id="rId264" Type="http://schemas.openxmlformats.org/officeDocument/2006/relationships/hyperlink" Target="https://cdn.exe.in.th/marketing/WarzTH_LE/Item%20Dict/charcoal.png" TargetMode="External"/><Relationship Id="rId142" Type="http://schemas.openxmlformats.org/officeDocument/2006/relationships/hyperlink" Target="https://cdn.exe.in.th/marketing/WarzTH_LE/Item%20Dict/m9_helmet_goggles1.png" TargetMode="External"/><Relationship Id="rId263" Type="http://schemas.openxmlformats.org/officeDocument/2006/relationships/hyperlink" Target="https://cdn.exe.in.th/marketing/WarzTH_LE/Item%20Dict/carrot_farm_block.png" TargetMode="External"/><Relationship Id="rId141" Type="http://schemas.openxmlformats.org/officeDocument/2006/relationships/hyperlink" Target="https://cdn.exe.in.th/marketing/WarzTH_LE/Item%20Dict/m9_helmet_forest1.png" TargetMode="External"/><Relationship Id="rId262" Type="http://schemas.openxmlformats.org/officeDocument/2006/relationships/hyperlink" Target="https://cdn.exe.in.th/marketing/WarzTH_LE/Item%20Dict/recipe.png" TargetMode="External"/><Relationship Id="rId140" Type="http://schemas.openxmlformats.org/officeDocument/2006/relationships/hyperlink" Target="https://cdn.exe.in.th/marketing/WarzTH_LE/Item%20Dict/m9_helmet_black.png" TargetMode="External"/><Relationship Id="rId261" Type="http://schemas.openxmlformats.org/officeDocument/2006/relationships/hyperlink" Target="https://cdn.exe.in.th/marketing/WarzTH_LE/Item%20Dict/broom.png" TargetMode="External"/><Relationship Id="rId5" Type="http://schemas.openxmlformats.org/officeDocument/2006/relationships/hyperlink" Target="https://cdn.exe.in.th/marketing/WarzTH_LE/Item%20Dict/.40_1911_mag.png" TargetMode="External"/><Relationship Id="rId147" Type="http://schemas.openxmlformats.org/officeDocument/2006/relationships/hyperlink" Target="https://cdn.exe.in.th/marketing/WarzTH_LE/Item%20Dict/sp66.png" TargetMode="External"/><Relationship Id="rId268" Type="http://schemas.openxmlformats.org/officeDocument/2006/relationships/hyperlink" Target="https://cdn.exe.in.th/marketing/WarzTH_LE/Item%20Dict/famas_30.png" TargetMode="External"/><Relationship Id="rId6" Type="http://schemas.openxmlformats.org/officeDocument/2006/relationships/hyperlink" Target="https://cdn.exe.in.th/marketing/WarzTH_LE/Item%20Dict/.45ee_ammo.png" TargetMode="External"/><Relationship Id="rId146" Type="http://schemas.openxmlformats.org/officeDocument/2006/relationships/hyperlink" Target="https://cdn.exe.in.th/marketing/WarzTH_LE/Item%20Dict/masada.png" TargetMode="External"/><Relationship Id="rId267" Type="http://schemas.openxmlformats.org/officeDocument/2006/relationships/hyperlink" Target="https://cdn.exe.in.th/marketing/WarzTH_LE/Item%20Dict/empty_can.png" TargetMode="External"/><Relationship Id="rId7" Type="http://schemas.openxmlformats.org/officeDocument/2006/relationships/hyperlink" Target="https://cdn.exe.in.th/marketing/WarzTH_LE/Item%20Dict/.50_ammo.png" TargetMode="External"/><Relationship Id="rId145" Type="http://schemas.openxmlformats.org/officeDocument/2006/relationships/hyperlink" Target="https://cdn.exe.in.th/marketing/WarzTH_LE/Item%20Dict/m9_helmet_with_goggles.png" TargetMode="External"/><Relationship Id="rId266" Type="http://schemas.openxmlformats.org/officeDocument/2006/relationships/hyperlink" Target="https://cdn.exe.in.th/marketing/WarzTH_LE/Item%20Dict/empty_bottle.png" TargetMode="External"/><Relationship Id="rId8" Type="http://schemas.openxmlformats.org/officeDocument/2006/relationships/hyperlink" Target="https://cdn.exe.in.th/marketing/WarzTH_LE/Item%20Dict/5.45AK_30.png" TargetMode="External"/><Relationship Id="rId144" Type="http://schemas.openxmlformats.org/officeDocument/2006/relationships/hyperlink" Target="https://cdn.exe.in.th/marketing/WarzTH_LE/Item%20Dict/m9_helmet_urban.png" TargetMode="External"/><Relationship Id="rId265" Type="http://schemas.openxmlformats.org/officeDocument/2006/relationships/hyperlink" Target="https://cdn.exe.in.th/marketing/WarzTH_LE/Item%20Dict/duct_tape.png" TargetMode="External"/><Relationship Id="rId73" Type="http://schemas.openxmlformats.org/officeDocument/2006/relationships/hyperlink" Target="https://cdn.exe.in.th/marketing/WarzTH_LE/Item%20Dict/compound_crossbow.png" TargetMode="External"/><Relationship Id="rId72" Type="http://schemas.openxmlformats.org/officeDocument/2006/relationships/hyperlink" Target="https://cdn.exe.in.th/marketing/WarzTH_LE/Item%20Dict/compact_scope.png" TargetMode="External"/><Relationship Id="rId75" Type="http://schemas.openxmlformats.org/officeDocument/2006/relationships/hyperlink" Target="https://cdn.exe.in.th/marketing/WarzTH_LE/Item%20Dict/crowbar.png" TargetMode="External"/><Relationship Id="rId74" Type="http://schemas.openxmlformats.org/officeDocument/2006/relationships/hyperlink" Target="https://cdn.exe.in.th/marketing/WarzTH_LE/Item%20Dict/cricket_bat.png" TargetMode="External"/><Relationship Id="rId77" Type="http://schemas.openxmlformats.org/officeDocument/2006/relationships/hyperlink" Target="https://cdn.exe.in.th/marketing/WarzTH_LE/Item%20Dict/evo_3_ammo.png" TargetMode="External"/><Relationship Id="rId260" Type="http://schemas.openxmlformats.org/officeDocument/2006/relationships/hyperlink" Target="https://cdn.exe.in.th/marketing/WarzTH_LE/Item%20Dict/bp_asr_sig_sg556_neon_purple.png" TargetMode="External"/><Relationship Id="rId76" Type="http://schemas.openxmlformats.org/officeDocument/2006/relationships/hyperlink" Target="https://cdn.exe.in.th/marketing/WarzTH_LE/Item%20Dict/custom_guerilla.png" TargetMode="External"/><Relationship Id="rId79" Type="http://schemas.openxmlformats.org/officeDocument/2006/relationships/hyperlink" Target="https://cdn.exe.in.th/marketing/WarzTH_LE/Item%20Dict/desert_eagle_ammo.png" TargetMode="External"/><Relationship Id="rId78" Type="http://schemas.openxmlformats.org/officeDocument/2006/relationships/hyperlink" Target="https://cdn.exe.in.th/marketing/WarzTH_LE/Item%20Dict/desert_eagle.png" TargetMode="External"/><Relationship Id="rId71" Type="http://schemas.openxmlformats.org/officeDocument/2006/relationships/hyperlink" Target="https://cdn.exe.in.th/marketing/WarzTH_LE/Item%20Dict/colt_anaconda.png" TargetMode="External"/><Relationship Id="rId70" Type="http://schemas.openxmlformats.org/officeDocument/2006/relationships/hyperlink" Target="https://cdn.exe.in.th/marketing/WarzTH_LE/Item%20Dict/coconut_water.png" TargetMode="External"/><Relationship Id="rId139" Type="http://schemas.openxmlformats.org/officeDocument/2006/relationships/hyperlink" Target="https://cdn.exe.in.th/marketing/WarzTH_LE/Item%20Dict/m4_semi.png" TargetMode="External"/><Relationship Id="rId138" Type="http://schemas.openxmlformats.org/officeDocument/2006/relationships/hyperlink" Target="https://cdn.exe.in.th/marketing/WarzTH_LE/Item%20Dict/m4.png" TargetMode="External"/><Relationship Id="rId259" Type="http://schemas.openxmlformats.org/officeDocument/2006/relationships/hyperlink" Target="https://cdn.exe.in.th/marketing/WarzTH_LE/Item%20Dict/bp_asr_sig_sg556_Freezing.png" TargetMode="External"/><Relationship Id="rId137" Type="http://schemas.openxmlformats.org/officeDocument/2006/relationships/hyperlink" Target="https://cdn.exe.in.th/marketing/WarzTH_LE/Item%20Dict/m249_ammo.png" TargetMode="External"/><Relationship Id="rId258" Type="http://schemas.openxmlformats.org/officeDocument/2006/relationships/hyperlink" Target="https://cdn.exe.in.th/marketing/WarzTH_LE/Item%20Dict/bp_asr_m4ffh_WarzTH.png" TargetMode="External"/><Relationship Id="rId132" Type="http://schemas.openxmlformats.org/officeDocument/2006/relationships/hyperlink" Target="https://cdn.exe.in.th/marketing/WarzTH_LE/Item%20Dict/large_backpack.png" TargetMode="External"/><Relationship Id="rId253" Type="http://schemas.openxmlformats.org/officeDocument/2006/relationships/hyperlink" Target="https://cdn.exe.in.th/marketing/WarzTH_LE/Item%20Dict/bp_mel_katana_01_WarzTH.png" TargetMode="External"/><Relationship Id="rId131" Type="http://schemas.openxmlformats.org/officeDocument/2006/relationships/hyperlink" Target="https://cdn.exe.in.th/marketing/WarzTH_LE/Item%20Dict/kt_decider.png" TargetMode="External"/><Relationship Id="rId252" Type="http://schemas.openxmlformats.org/officeDocument/2006/relationships/hyperlink" Target="https://cdn.exe.in.th/marketing/WarzTH_LE/Item%20Dict/bp_asr_tar21_neon_purple.png" TargetMode="External"/><Relationship Id="rId130" Type="http://schemas.openxmlformats.org/officeDocument/2006/relationships/hyperlink" Target="https://cdn.exe.in.th/marketing/WarzTH_LE/Item%20Dict/nvg_goggles.png" TargetMode="External"/><Relationship Id="rId251" Type="http://schemas.openxmlformats.org/officeDocument/2006/relationships/hyperlink" Target="https://cdn.exe.in.th/marketing/WarzTH_LE/Item%20Dict/bp_armor_rebel_heavy_WarzTH.png" TargetMode="External"/><Relationship Id="rId250" Type="http://schemas.openxmlformats.org/officeDocument/2006/relationships/hyperlink" Target="https://cdn.exe.in.th/marketing/WarzTH_LE/Item%20Dict/blueprint__armor_rebel_heavy_HOF_SET.png" TargetMode="External"/><Relationship Id="rId136" Type="http://schemas.openxmlformats.org/officeDocument/2006/relationships/hyperlink" Target="https://cdn.exe.in.th/marketing/WarzTH_LE/Item%20Dict/m16.png" TargetMode="External"/><Relationship Id="rId257" Type="http://schemas.openxmlformats.org/officeDocument/2006/relationships/hyperlink" Target="https://cdn.exe.in.th/marketing/WarzTH_LE/Item%20Dict/blueprint_asr_sig516_HOF_SET.png" TargetMode="External"/><Relationship Id="rId135" Type="http://schemas.openxmlformats.org/officeDocument/2006/relationships/hyperlink" Target="https://cdn.exe.in.th/marketing/WarzTH_LE/Item%20Dict/m107.png" TargetMode="External"/><Relationship Id="rId256" Type="http://schemas.openxmlformats.org/officeDocument/2006/relationships/hyperlink" Target="https://cdn.exe.in.th/marketing/WarzTH_LE/Item%20Dict/bp_asr_m4ffh_neon_purple.png" TargetMode="External"/><Relationship Id="rId134" Type="http://schemas.openxmlformats.org/officeDocument/2006/relationships/hyperlink" Target="https://cdn.exe.in.th/marketing/WarzTH_LE/Item%20Dict/light_gear_forest.png" TargetMode="External"/><Relationship Id="rId255" Type="http://schemas.openxmlformats.org/officeDocument/2006/relationships/hyperlink" Target="https://cdn.exe.in.th/marketing/WarzTH_LE/Item%20Dict/bp_asr_m16_neon_purple.png" TargetMode="External"/><Relationship Id="rId133" Type="http://schemas.openxmlformats.org/officeDocument/2006/relationships/hyperlink" Target="https://cdn.exe.in.th/marketing/WarzTH_LE/Item%20Dict/kruger_large_mag.png" TargetMode="External"/><Relationship Id="rId254" Type="http://schemas.openxmlformats.org/officeDocument/2006/relationships/hyperlink" Target="https://cdn.exe.in.th/marketing/WarzTH_LE/Item%20Dict/blueprint__hgear_kstyle_nvg_HOF_SET.png" TargetMode="External"/><Relationship Id="rId62" Type="http://schemas.openxmlformats.org/officeDocument/2006/relationships/hyperlink" Target="https://cdn.exe.in.th/marketing/WarzTH_LE/Item%20Dict/can_of_soda.png" TargetMode="External"/><Relationship Id="rId61" Type="http://schemas.openxmlformats.org/officeDocument/2006/relationships/hyperlink" Target="https://cdn.exe.in.th/marketing/WarzTH_LE/Item%20Dict/can_of_pasta.png" TargetMode="External"/><Relationship Id="rId64" Type="http://schemas.openxmlformats.org/officeDocument/2006/relationships/hyperlink" Target="https://cdn.exe.in.th/marketing/WarzTH_LE/Item%20Dict/can_of_tuna.png" TargetMode="External"/><Relationship Id="rId63" Type="http://schemas.openxmlformats.org/officeDocument/2006/relationships/hyperlink" Target="https://cdn.exe.in.th/marketing/WarzTH_LE/Item%20Dict/can_of_soup.png" TargetMode="External"/><Relationship Id="rId66" Type="http://schemas.openxmlformats.org/officeDocument/2006/relationships/hyperlink" Target="https://cdn.exe.in.th/marketing/WarzTH_LE/Item%20Dict/chainsaw.png" TargetMode="External"/><Relationship Id="rId172" Type="http://schemas.openxmlformats.org/officeDocument/2006/relationships/hyperlink" Target="https://cdn.exe.in.th/marketing/WarzTH_LE/Item%20Dict/pistol_laser.png" TargetMode="External"/><Relationship Id="rId65" Type="http://schemas.openxmlformats.org/officeDocument/2006/relationships/hyperlink" Target="https://cdn.exe.in.th/marketing/WarzTH_LE/Item%20Dict/captain_jack_frost.png" TargetMode="External"/><Relationship Id="rId171" Type="http://schemas.openxmlformats.org/officeDocument/2006/relationships/hyperlink" Target="https://cdn.exe.in.th/marketing/WarzTH_LE/Item%20Dict/pistol_flashlight.png" TargetMode="External"/><Relationship Id="rId292" Type="http://schemas.openxmlformats.org/officeDocument/2006/relationships/drawing" Target="../drawings/drawing1.xml"/><Relationship Id="rId68" Type="http://schemas.openxmlformats.org/officeDocument/2006/relationships/hyperlink" Target="https://cdn.exe.in.th/marketing/WarzTH_LE/Item%20Dict/christmas_special.png" TargetMode="External"/><Relationship Id="rId170" Type="http://schemas.openxmlformats.org/officeDocument/2006/relationships/hyperlink" Target="https://cdn.exe.in.th/marketing/WarzTH_LE/Item%20Dict/pickaxe.png" TargetMode="External"/><Relationship Id="rId291" Type="http://schemas.openxmlformats.org/officeDocument/2006/relationships/hyperlink" Target="https://cdn.exe.in.th/marketing/WarzTH_LE/Item%20Dict/Zelfur.png" TargetMode="External"/><Relationship Id="rId67" Type="http://schemas.openxmlformats.org/officeDocument/2006/relationships/hyperlink" Target="https://cdn.exe.in.th/marketing/WarzTH_LE/Item%20Dict/chocolate_bar.png" TargetMode="External"/><Relationship Id="rId290" Type="http://schemas.openxmlformats.org/officeDocument/2006/relationships/hyperlink" Target="https://cdn.exe.in.th/marketing/WarzTH_LE/Item%20Dict/recipe.png" TargetMode="External"/><Relationship Id="rId60" Type="http://schemas.openxmlformats.org/officeDocument/2006/relationships/hyperlink" Target="https://cdn.exe.in.th/marketing/WarzTH_LE/Item%20Dict/can_of_ham.png" TargetMode="External"/><Relationship Id="rId165" Type="http://schemas.openxmlformats.org/officeDocument/2006/relationships/hyperlink" Target="https://cdn.exe.in.th/marketing/WarzTH_LE/Item%20Dict/night_vision_civilian.png" TargetMode="External"/><Relationship Id="rId286" Type="http://schemas.openxmlformats.org/officeDocument/2006/relationships/hyperlink" Target="https://cdn.exe.in.th/marketing/WarzTH_LE/Item%20Dict/recipe.png" TargetMode="External"/><Relationship Id="rId69" Type="http://schemas.openxmlformats.org/officeDocument/2006/relationships/hyperlink" Target="https://cdn.exe.in.th/marketing/WarzTH_LE/Item%20Dict/clown_mask.png" TargetMode="External"/><Relationship Id="rId164" Type="http://schemas.openxmlformats.org/officeDocument/2006/relationships/hyperlink" Target="https://cdn.exe.in.th/marketing/WarzTH_LE/Item%20Dict/nail_strip.png" TargetMode="External"/><Relationship Id="rId285" Type="http://schemas.openxmlformats.org/officeDocument/2006/relationships/hyperlink" Target="https://cdn.exe.in.th/marketing/WarzTH_LE/Item%20Dict/scissors.png" TargetMode="External"/><Relationship Id="rId163" Type="http://schemas.openxmlformats.org/officeDocument/2006/relationships/hyperlink" Target="https://cdn.exe.in.th/marketing/WarzTH_LE/Item%20Dict/nail_gun.png" TargetMode="External"/><Relationship Id="rId284" Type="http://schemas.openxmlformats.org/officeDocument/2006/relationships/hyperlink" Target="https://cdn.exe.in.th/marketing/WarzTH_LE/Item%20Dict/razer_wire.png" TargetMode="External"/><Relationship Id="rId162" Type="http://schemas.openxmlformats.org/officeDocument/2006/relationships/hyperlink" Target="https://cdn.exe.in.th/marketing/WarzTH_LE/Item%20Dict/mtv_forest.png" TargetMode="External"/><Relationship Id="rId283" Type="http://schemas.openxmlformats.org/officeDocument/2006/relationships/hyperlink" Target="https://cdn.exe.in.th/marketing/WarzTH_LE/Item%20Dict/ra_h23.png" TargetMode="External"/><Relationship Id="rId169" Type="http://schemas.openxmlformats.org/officeDocument/2006/relationships/hyperlink" Target="https://cdn.exe.in.th/marketing/WarzTH_LE/Item%20Dict/personal_locker.png" TargetMode="External"/><Relationship Id="rId168" Type="http://schemas.openxmlformats.org/officeDocument/2006/relationships/hyperlink" Target="https://cdn.exe.in.th/marketing/WarzTH_LE/Item%20Dict/pain_killers.png" TargetMode="External"/><Relationship Id="rId289" Type="http://schemas.openxmlformats.org/officeDocument/2006/relationships/hyperlink" Target="https://cdn.exe.in.th/marketing/WarzTH_LE/Item%20Dict/recipe.png" TargetMode="External"/><Relationship Id="rId167" Type="http://schemas.openxmlformats.org/officeDocument/2006/relationships/hyperlink" Target="https://cdn.exe.in.th/marketing/WarzTH_LE/Item%20Dict/p90_50.png" TargetMode="External"/><Relationship Id="rId288" Type="http://schemas.openxmlformats.org/officeDocument/2006/relationships/hyperlink" Target="https://cdn.exe.in.th/marketing/WarzTH_LE/Item%20Dict/recipe.png" TargetMode="External"/><Relationship Id="rId166" Type="http://schemas.openxmlformats.org/officeDocument/2006/relationships/hyperlink" Target="https://cdn.exe.in.th/marketing/WarzTH_LE/Item%20Dict/night_vision_military.png" TargetMode="External"/><Relationship Id="rId287" Type="http://schemas.openxmlformats.org/officeDocument/2006/relationships/hyperlink" Target="https://cdn.exe.in.th/marketing/WarzTH_LE/Item%20Dict/recipe.png" TargetMode="External"/><Relationship Id="rId51" Type="http://schemas.openxmlformats.org/officeDocument/2006/relationships/hyperlink" Target="https://cdn.exe.in.th/marketing/WarzTH_LE/Item%20Dict/boonie_hat_leather.png" TargetMode="External"/><Relationship Id="rId50" Type="http://schemas.openxmlformats.org/officeDocument/2006/relationships/hyperlink" Target="https://cdn.exe.in.th/marketing/WarzTH_LE/Item%20Dict/boonie_green.png" TargetMode="External"/><Relationship Id="rId53" Type="http://schemas.openxmlformats.org/officeDocument/2006/relationships/hyperlink" Target="https://cdn.exe.in.th/marketing/WarzTH_LE/Item%20Dict/Box_boss_lv2.png" TargetMode="External"/><Relationship Id="rId52" Type="http://schemas.openxmlformats.org/officeDocument/2006/relationships/hyperlink" Target="https://cdn.exe.in.th/marketing/WarzTH_LE/Item%20Dict/Box_boss_lv1.png" TargetMode="External"/><Relationship Id="rId55" Type="http://schemas.openxmlformats.org/officeDocument/2006/relationships/hyperlink" Target="https://cdn.exe.in.th/marketing/WarzTH_LE/Item%20Dict/BOX_Fish_lv2.png" TargetMode="External"/><Relationship Id="rId161" Type="http://schemas.openxmlformats.org/officeDocument/2006/relationships/hyperlink" Target="https://cdn.exe.in.th/marketing/WarzTH_LE/Item%20Dict/mp7_40.png" TargetMode="External"/><Relationship Id="rId282" Type="http://schemas.openxmlformats.org/officeDocument/2006/relationships/hyperlink" Target="https://cdn.exe.in.th/marketing/WarzTH_LE/Item%20Dict/recipe.png" TargetMode="External"/><Relationship Id="rId54" Type="http://schemas.openxmlformats.org/officeDocument/2006/relationships/hyperlink" Target="https://cdn.exe.in.th/marketing/WarzTH_LE/Item%20Dict/BOX_Fish_lv1.png" TargetMode="External"/><Relationship Id="rId160" Type="http://schemas.openxmlformats.org/officeDocument/2006/relationships/hyperlink" Target="https://cdn.exe.in.th/marketing/WarzTH_LE/Item%20Dict/mp7_30.png" TargetMode="External"/><Relationship Id="rId281" Type="http://schemas.openxmlformats.org/officeDocument/2006/relationships/hyperlink" Target="https://cdn.exe.in.th/marketing/WarzTH_LE/Item%20Dict/pkm.png" TargetMode="External"/><Relationship Id="rId57" Type="http://schemas.openxmlformats.org/officeDocument/2006/relationships/hyperlink" Target="https://cdn.exe.in.th/marketing/WarzTH_LE/Item%20Dict/vaccine_01.png" TargetMode="External"/><Relationship Id="rId280" Type="http://schemas.openxmlformats.org/officeDocument/2006/relationships/hyperlink" Target="https://cdn.exe.in.th/marketing/WarzTH_LE/Item%20Dict/ointment.png" TargetMode="External"/><Relationship Id="rId56" Type="http://schemas.openxmlformats.org/officeDocument/2006/relationships/hyperlink" Target="https://cdn.exe.in.th/marketing/WarzTH_LE/Item%20Dict/butterfly_knife.png" TargetMode="External"/><Relationship Id="rId159" Type="http://schemas.openxmlformats.org/officeDocument/2006/relationships/hyperlink" Target="https://cdn.exe.in.th/marketing/WarzTH_LE/Item%20Dict/mp7.png" TargetMode="External"/><Relationship Id="rId59" Type="http://schemas.openxmlformats.org/officeDocument/2006/relationships/hyperlink" Target="https://cdn.exe.in.th/marketing/WarzTH_LE/Item%20Dict/canoe_paddle.png" TargetMode="External"/><Relationship Id="rId154" Type="http://schemas.openxmlformats.org/officeDocument/2006/relationships/hyperlink" Target="https://cdn.exe.in.th/marketing/WarzTH_LE/Item%20Dict/minisaints.png" TargetMode="External"/><Relationship Id="rId275" Type="http://schemas.openxmlformats.org/officeDocument/2006/relationships/hyperlink" Target="https://cdn.exe.in.th/marketing/WarzTH_LE/Item%20Dict/light_block_crate.png" TargetMode="External"/><Relationship Id="rId58" Type="http://schemas.openxmlformats.org/officeDocument/2006/relationships/hyperlink" Target="https://cdn.exe.in.th/marketing/WarzTH_LE/Item%20Dict/vaccine_04.png" TargetMode="External"/><Relationship Id="rId153" Type="http://schemas.openxmlformats.org/officeDocument/2006/relationships/hyperlink" Target="https://cdn.exe.in.th/marketing/WarzTH_LE/Item%20Dict/military_ruck.png" TargetMode="External"/><Relationship Id="rId274" Type="http://schemas.openxmlformats.org/officeDocument/2006/relationships/hyperlink" Target="https://cdn.exe.in.th/marketing/WarzTH_LE/Item%20Dict/industrial_power_generator_block.png" TargetMode="External"/><Relationship Id="rId152" Type="http://schemas.openxmlformats.org/officeDocument/2006/relationships/hyperlink" Target="https://cdn.exe.in.th/marketing/WarzTH_LE/Item%20Dict/metal_bat.png" TargetMode="External"/><Relationship Id="rId273" Type="http://schemas.openxmlformats.org/officeDocument/2006/relationships/hyperlink" Target="https://cdn.exe.in.th/marketing/WarzTH_LE/Item%20Dict/gun_powder.png" TargetMode="External"/><Relationship Id="rId151" Type="http://schemas.openxmlformats.org/officeDocument/2006/relationships/hyperlink" Target="https://cdn.exe.in.th/marketing/WarzTH_LE/Item%20Dict/medkit.png" TargetMode="External"/><Relationship Id="rId272" Type="http://schemas.openxmlformats.org/officeDocument/2006/relationships/hyperlink" Target="https://cdn.exe.in.th/marketing/WarzTH_LE/Item%20Dict/recipe.png" TargetMode="External"/><Relationship Id="rId158" Type="http://schemas.openxmlformats.org/officeDocument/2006/relationships/hyperlink" Target="https://cdn.exe.in.th/marketing/WarzTH_LE/Item%20Dict/mp5_10mm_mag.png" TargetMode="External"/><Relationship Id="rId279" Type="http://schemas.openxmlformats.org/officeDocument/2006/relationships/hyperlink" Target="https://cdn.exe.in.th/marketing/WarzTH_LE/Item%20Dict/nail_mag.png" TargetMode="External"/><Relationship Id="rId157" Type="http://schemas.openxmlformats.org/officeDocument/2006/relationships/hyperlink" Target="https://cdn.exe.in.th/marketing/WarzTH_LE/Item%20Dict/mp5_10.png" TargetMode="External"/><Relationship Id="rId278" Type="http://schemas.openxmlformats.org/officeDocument/2006/relationships/hyperlink" Target="https://cdn.exe.in.th/marketing/WarzTH_LE/Item%20Dict/metal_scrap.png" TargetMode="External"/><Relationship Id="rId156" Type="http://schemas.openxmlformats.org/officeDocument/2006/relationships/hyperlink" Target="https://cdn.exe.in.th/marketing/WarzTH_LE/Item%20Dict/mossberg_590.png" TargetMode="External"/><Relationship Id="rId277" Type="http://schemas.openxmlformats.org/officeDocument/2006/relationships/hyperlink" Target="https://cdn.exe.in.th/marketing/WarzTH_LE/Item%20Dict/metal_pipe.png" TargetMode="External"/><Relationship Id="rId155" Type="http://schemas.openxmlformats.org/officeDocument/2006/relationships/hyperlink" Target="https://cdn.exe.in.th/marketing/WarzTH_LE/Item%20Dict/modular_grip.png" TargetMode="External"/><Relationship Id="rId276" Type="http://schemas.openxmlformats.org/officeDocument/2006/relationships/hyperlink" Target="https://cdn.exe.in.th/marketing/WarzTH_LE/Item%20Dict/meat.png" TargetMode="External"/><Relationship Id="rId107" Type="http://schemas.openxmlformats.org/officeDocument/2006/relationships/hyperlink" Target="https://cdn.exe.in.th/marketing/WarzTH_LE/Item%20Dict/GC.png" TargetMode="External"/><Relationship Id="rId228" Type="http://schemas.openxmlformats.org/officeDocument/2006/relationships/hyperlink" Target="https://cdn.exe.in.th/marketing/WarzTH_LE/Item%20Dict/SVD.png" TargetMode="External"/><Relationship Id="rId106" Type="http://schemas.openxmlformats.org/officeDocument/2006/relationships/hyperlink" Target="https://cdn.exe.in.th/marketing/WarzTH_LE/Item%20Dict/gas_mask2.png" TargetMode="External"/><Relationship Id="rId227" Type="http://schemas.openxmlformats.org/officeDocument/2006/relationships/hyperlink" Target="https://cdn.exe.in.th/marketing/WarzTH_LE/Item%20Dict/sti_eagle_elite_.45_acp.png" TargetMode="External"/><Relationship Id="rId105" Type="http://schemas.openxmlformats.org/officeDocument/2006/relationships/hyperlink" Target="https://cdn.exe.in.th/marketing/WarzTH_LE/Item%20Dict/gas_mask.png" TargetMode="External"/><Relationship Id="rId226" Type="http://schemas.openxmlformats.org/officeDocument/2006/relationships/hyperlink" Target="https://cdn.exe.in.th/marketing/WarzTH_LE/Item%20Dict/mosin_mag.png" TargetMode="External"/><Relationship Id="rId104" Type="http://schemas.openxmlformats.org/officeDocument/2006/relationships/hyperlink" Target="https://cdn.exe.in.th/marketing/WarzTH_LE/Item%20Dict/garden_shears.png" TargetMode="External"/><Relationship Id="rId225" Type="http://schemas.openxmlformats.org/officeDocument/2006/relationships/hyperlink" Target="https://cdn.exe.in.th/marketing/WarzTH_LE/Item%20Dict/kruger_standard_mag.png" TargetMode="External"/><Relationship Id="rId109" Type="http://schemas.openxmlformats.org/officeDocument/2006/relationships/hyperlink" Target="https://cdn.exe.in.th/marketing/WarzTH_LE/Item%20Dict/golf_club.png" TargetMode="External"/><Relationship Id="rId108" Type="http://schemas.openxmlformats.org/officeDocument/2006/relationships/hyperlink" Target="https://cdn.exe.in.th/marketing/WarzTH_LE/Item%20Dict/gamespot_backpack.png" TargetMode="External"/><Relationship Id="rId229" Type="http://schemas.openxmlformats.org/officeDocument/2006/relationships/hyperlink" Target="https://cdn.exe.in.th/marketing/WarzTH_LE/Item%20Dict/svd_ammo.png" TargetMode="External"/><Relationship Id="rId220" Type="http://schemas.openxmlformats.org/officeDocument/2006/relationships/hyperlink" Target="https://cdn.exe.in.th/marketing/WarzTH_LE/Item%20Dict/spiked_bat.png" TargetMode="External"/><Relationship Id="rId103" Type="http://schemas.openxmlformats.org/officeDocument/2006/relationships/hyperlink" Target="https://cdn.exe.in.th/marketing/WarzTH_LE/Item%20Dict/g36_cmag.png" TargetMode="External"/><Relationship Id="rId224" Type="http://schemas.openxmlformats.org/officeDocument/2006/relationships/hyperlink" Target="https://cdn.exe.in.th/marketing/WarzTH_LE/Item%20Dict/stanag_cmag.png" TargetMode="External"/><Relationship Id="rId102" Type="http://schemas.openxmlformats.org/officeDocument/2006/relationships/hyperlink" Target="https://cdn.exe.in.th/marketing/WarzTH_LE/Item%20Dict/g36_ammo.png" TargetMode="External"/><Relationship Id="rId223" Type="http://schemas.openxmlformats.org/officeDocument/2006/relationships/hyperlink" Target="https://cdn.exe.in.th/marketing/WarzTH_LE/Item%20Dict/stanag_60.png" TargetMode="External"/><Relationship Id="rId101" Type="http://schemas.openxmlformats.org/officeDocument/2006/relationships/hyperlink" Target="https://cdn.exe.in.th/marketing/WarzTH_LE/Item%20Dict/g36.png" TargetMode="External"/><Relationship Id="rId222" Type="http://schemas.openxmlformats.org/officeDocument/2006/relationships/hyperlink" Target="https://cdn.exe.in.th/marketing/WarzTH_LE/Item%20Dict/stanag_45.png" TargetMode="External"/><Relationship Id="rId100" Type="http://schemas.openxmlformats.org/officeDocument/2006/relationships/hyperlink" Target="https://cdn.exe.in.th/marketing/WarzTH_LE/Item%20Dict/frying_pan.png" TargetMode="External"/><Relationship Id="rId221" Type="http://schemas.openxmlformats.org/officeDocument/2006/relationships/hyperlink" Target="https://cdn.exe.in.th/marketing/WarzTH_LE/Item%20Dict/stanag_30.png" TargetMode="External"/><Relationship Id="rId217" Type="http://schemas.openxmlformats.org/officeDocument/2006/relationships/hyperlink" Target="https://cdn.exe.in.th/marketing/WarzTH_LE/Item%20Dict/smg_20_ammo.png" TargetMode="External"/><Relationship Id="rId216" Type="http://schemas.openxmlformats.org/officeDocument/2006/relationships/hyperlink" Target="https://cdn.exe.in.th/marketing/WarzTH_LE/Item%20Dict/small_backpack.png" TargetMode="External"/><Relationship Id="rId215" Type="http://schemas.openxmlformats.org/officeDocument/2006/relationships/hyperlink" Target="https://cdn.exe.in.th/marketing/WarzTH_LE/Item%20Dict/slash_mask.png" TargetMode="External"/><Relationship Id="rId214" Type="http://schemas.openxmlformats.org/officeDocument/2006/relationships/hyperlink" Target="https://cdn.exe.in.th/marketing/WarzTH_LE/Item%20Dict/skull_mask.png" TargetMode="External"/><Relationship Id="rId219" Type="http://schemas.openxmlformats.org/officeDocument/2006/relationships/hyperlink" Target="https://cdn.exe.in.th/marketing/WarzTH_LE/Item%20Dict/smg_grip.png" TargetMode="External"/><Relationship Id="rId218" Type="http://schemas.openxmlformats.org/officeDocument/2006/relationships/hyperlink" Target="https://cdn.exe.in.th/marketing/WarzTH_LE/Item%20Dict/smg_40_ammo.png" TargetMode="External"/><Relationship Id="rId213" Type="http://schemas.openxmlformats.org/officeDocument/2006/relationships/hyperlink" Target="https://cdn.exe.in.th/marketing/WarzTH_LE/Item%20Dict/silencer.png" TargetMode="External"/><Relationship Id="rId212" Type="http://schemas.openxmlformats.org/officeDocument/2006/relationships/hyperlink" Target="https://cdn.exe.in.th/marketing/WarzTH_LE/Item%20Dict/sig_sauer_p226.png" TargetMode="External"/><Relationship Id="rId211" Type="http://schemas.openxmlformats.org/officeDocument/2006/relationships/hyperlink" Target="https://cdn.exe.in.th/marketing/WarzTH_LE/Item%20Dict/sig_sauer_556.png" TargetMode="External"/><Relationship Id="rId210" Type="http://schemas.openxmlformats.org/officeDocument/2006/relationships/hyperlink" Target="https://cdn.exe.in.th/marketing/WarzTH_LE/Item%20Dict/shovel.png" TargetMode="External"/><Relationship Id="rId129" Type="http://schemas.openxmlformats.org/officeDocument/2006/relationships/hyperlink" Target="https://cdn.exe.in.th/marketing/WarzTH_LE/Item%20Dict/k._style_helmet.png" TargetMode="External"/><Relationship Id="rId128" Type="http://schemas.openxmlformats.org/officeDocument/2006/relationships/hyperlink" Target="https://cdn.exe.in.th/marketing/WarzTH_LE/Item%20Dict/mini14_mag.png" TargetMode="External"/><Relationship Id="rId249" Type="http://schemas.openxmlformats.org/officeDocument/2006/relationships/hyperlink" Target="https://cdn.exe.in.th/marketing/WarzTH_LE/Item%20Dict/blueprint__gear_backpack_med_HOF_SET.png" TargetMode="External"/><Relationship Id="rId127" Type="http://schemas.openxmlformats.org/officeDocument/2006/relationships/hyperlink" Target="https://cdn.exe.in.th/marketing/WarzTH_LE/Item%20Dict/kruger_.22_rifle.png" TargetMode="External"/><Relationship Id="rId248" Type="http://schemas.openxmlformats.org/officeDocument/2006/relationships/hyperlink" Target="https://cdn.exe.in.th/marketing/WarzTH_LE/Item%20Dict/recipe.png" TargetMode="External"/><Relationship Id="rId126" Type="http://schemas.openxmlformats.org/officeDocument/2006/relationships/hyperlink" Target="https://cdn.exe.in.th/marketing/WarzTH_LE/Item%20Dict/kobra.png" TargetMode="External"/><Relationship Id="rId247" Type="http://schemas.openxmlformats.org/officeDocument/2006/relationships/hyperlink" Target="https://cdn.exe.in.th/marketing/WarzTH_LE/Item%20Dict/banana_farm_block.png" TargetMode="External"/><Relationship Id="rId121" Type="http://schemas.openxmlformats.org/officeDocument/2006/relationships/hyperlink" Target="https://cdn.exe.in.th/marketing/WarzTH_LE/Item%20Dict/instant_oatmeal.png" TargetMode="External"/><Relationship Id="rId242" Type="http://schemas.openxmlformats.org/officeDocument/2006/relationships/hyperlink" Target="https://cdn.exe.in.th/marketing/WarzTH_LE/Item%20Dict/water_375ml.png" TargetMode="External"/><Relationship Id="rId120" Type="http://schemas.openxmlformats.org/officeDocument/2006/relationships/hyperlink" Target="https://cdn.exe.in.th/marketing/WarzTH_LE/Item%20Dict/imi_tar_21.png" TargetMode="External"/><Relationship Id="rId241" Type="http://schemas.openxmlformats.org/officeDocument/2006/relationships/hyperlink" Target="https://cdn.exe.in.th/marketing/WarzTH_LE/Item%20Dict/water_1l.png" TargetMode="External"/><Relationship Id="rId240" Type="http://schemas.openxmlformats.org/officeDocument/2006/relationships/hyperlink" Target="https://cdn.exe.in.th/marketing/WarzTH_LE/Item%20Dict/vss_vintorez.png" TargetMode="External"/><Relationship Id="rId125" Type="http://schemas.openxmlformats.org/officeDocument/2006/relationships/hyperlink" Target="https://cdn.exe.in.th/marketing/WarzTH_LE/Item%20Dict/katana.png" TargetMode="External"/><Relationship Id="rId246" Type="http://schemas.openxmlformats.org/officeDocument/2006/relationships/hyperlink" Target="https://cdn.exe.in.th/marketing/WarzTH_LE/Item%20Dict/bag_of_chips_farm_block.png" TargetMode="External"/><Relationship Id="rId124" Type="http://schemas.openxmlformats.org/officeDocument/2006/relationships/hyperlink" Target="https://cdn.exe.in.th/marketing/WarzTH_LE/Item%20Dict/juice.png" TargetMode="External"/><Relationship Id="rId245" Type="http://schemas.openxmlformats.org/officeDocument/2006/relationships/hyperlink" Target="https://cdn.exe.in.th/marketing/WarzTH_LE/Item%20Dict/apple_farm_block.png" TargetMode="External"/><Relationship Id="rId123" Type="http://schemas.openxmlformats.org/officeDocument/2006/relationships/hyperlink" Target="https://cdn.exe.in.th/marketing/WarzTH_LE/Item%20Dict/jericho_9mm.png" TargetMode="External"/><Relationship Id="rId244" Type="http://schemas.openxmlformats.org/officeDocument/2006/relationships/hyperlink" Target="https://cdn.exe.in.th/marketing/WarzTH_LE/Item%20Dict/zombie_repellent.png" TargetMode="External"/><Relationship Id="rId122" Type="http://schemas.openxmlformats.org/officeDocument/2006/relationships/hyperlink" Target="https://cdn.exe.in.th/marketing/WarzTH_LE/Item%20Dict/jason_mask.png" TargetMode="External"/><Relationship Id="rId243" Type="http://schemas.openxmlformats.org/officeDocument/2006/relationships/hyperlink" Target="https://cdn.exe.in.th/marketing/WarzTH_LE/Item%20Dict/wrench.png" TargetMode="External"/><Relationship Id="rId95" Type="http://schemas.openxmlformats.org/officeDocument/2006/relationships/hyperlink" Target="https://cdn.exe.in.th/marketing/WarzTH_LE/Item%20Dict/fn_p90_s.png" TargetMode="External"/><Relationship Id="rId94" Type="http://schemas.openxmlformats.org/officeDocument/2006/relationships/hyperlink" Target="https://cdn.exe.in.th/marketing/WarzTH_LE/Item%20Dict/fn_p90.png" TargetMode="External"/><Relationship Id="rId97" Type="http://schemas.openxmlformats.org/officeDocument/2006/relationships/hyperlink" Target="https://cdn.exe.in.th/marketing/WarzTH_LE/Item%20Dict/fn_scar_night_stalker.png" TargetMode="External"/><Relationship Id="rId96" Type="http://schemas.openxmlformats.org/officeDocument/2006/relationships/hyperlink" Target="https://cdn.exe.in.th/marketing/WarzTH_LE/Item%20Dict/fn_scar_cqc.png" TargetMode="External"/><Relationship Id="rId99" Type="http://schemas.openxmlformats.org/officeDocument/2006/relationships/hyperlink" Target="https://cdn.exe.in.th/marketing/WarzTH_LE/Item%20Dict/frag_grenade.png" TargetMode="External"/><Relationship Id="rId98" Type="http://schemas.openxmlformats.org/officeDocument/2006/relationships/hyperlink" Target="https://cdn.exe.in.th/marketing/WarzTH_LE/Item%20Dict/forward_grip.png" TargetMode="External"/><Relationship Id="rId91" Type="http://schemas.openxmlformats.org/officeDocument/2006/relationships/hyperlink" Target="https://cdn.exe.in.th/marketing/WarzTH_LE/Item%20Dict/flashlight.png" TargetMode="External"/><Relationship Id="rId90" Type="http://schemas.openxmlformats.org/officeDocument/2006/relationships/hyperlink" Target="https://cdn.exe.in.th/marketing/WarzTH_LE/Item%20Dict/fh.png" TargetMode="External"/><Relationship Id="rId93" Type="http://schemas.openxmlformats.org/officeDocument/2006/relationships/hyperlink" Target="https://cdn.exe.in.th/marketing/WarzTH_LE/Item%20Dict/fn_m249.png" TargetMode="External"/><Relationship Id="rId92" Type="http://schemas.openxmlformats.org/officeDocument/2006/relationships/hyperlink" Target="https://cdn.exe.in.th/marketing/WarzTH_LE/Item%20Dict/fn_five_seven.png" TargetMode="External"/><Relationship Id="rId118" Type="http://schemas.openxmlformats.org/officeDocument/2006/relationships/hyperlink" Target="https://cdn.exe.in.th/marketing/WarzTH_LE/Item%20Dict/hunter.png" TargetMode="External"/><Relationship Id="rId239" Type="http://schemas.openxmlformats.org/officeDocument/2006/relationships/hyperlink" Target="https://cdn.exe.in.th/marketing/WarzTH_LE/Item%20Dict/vss_20.png" TargetMode="External"/><Relationship Id="rId117" Type="http://schemas.openxmlformats.org/officeDocument/2006/relationships/hyperlink" Target="https://cdn.exe.in.th/marketing/WarzTH_LE/Item%20Dict/honey_badger.png" TargetMode="External"/><Relationship Id="rId238" Type="http://schemas.openxmlformats.org/officeDocument/2006/relationships/hyperlink" Target="https://cdn.exe.in.th/marketing/WarzTH_LE/Item%20Dict/vss_10.png" TargetMode="External"/><Relationship Id="rId116" Type="http://schemas.openxmlformats.org/officeDocument/2006/relationships/hyperlink" Target="https://cdn.exe.in.th/marketing/WarzTH_LE/Item%20Dict/holograp.png" TargetMode="External"/><Relationship Id="rId237" Type="http://schemas.openxmlformats.org/officeDocument/2006/relationships/hyperlink" Target="https://cdn.exe.in.th/marketing/WarzTH_LE/Item%20Dict/verserk_sr2.png" TargetMode="External"/><Relationship Id="rId115" Type="http://schemas.openxmlformats.org/officeDocument/2006/relationships/hyperlink" Target="https://cdn.exe.in.th/marketing/WarzTH_LE/Item%20Dict/heavy_armor.png" TargetMode="External"/><Relationship Id="rId236" Type="http://schemas.openxmlformats.org/officeDocument/2006/relationships/hyperlink" Target="https://cdn.exe.in.th/marketing/WarzTH_LE/Item%20Dict/uzi.png" TargetMode="External"/><Relationship Id="rId119" Type="http://schemas.openxmlformats.org/officeDocument/2006/relationships/hyperlink" Target="https://cdn.exe.in.th/marketing/WarzTH_LE/Item%20Dict/iba_sand.png" TargetMode="External"/><Relationship Id="rId110" Type="http://schemas.openxmlformats.org/officeDocument/2006/relationships/hyperlink" Target="https://cdn.exe.in.th/marketing/WarzTH_LE/Item%20Dict/granola_bar.png" TargetMode="External"/><Relationship Id="rId231" Type="http://schemas.openxmlformats.org/officeDocument/2006/relationships/hyperlink" Target="https://cdn.exe.in.th/marketing/WarzTH_LE/Item%20Dict/tactical_knife.png" TargetMode="External"/><Relationship Id="rId230" Type="http://schemas.openxmlformats.org/officeDocument/2006/relationships/hyperlink" Target="https://cdn.exe.in.th/marketing/WarzTH_LE/Item%20Dict/swiss_scope_8x.png" TargetMode="External"/><Relationship Id="rId114" Type="http://schemas.openxmlformats.org/officeDocument/2006/relationships/hyperlink" Target="https://cdn.exe.in.th/marketing/WarzTH_LE/Item%20Dict/hatchet.png" TargetMode="External"/><Relationship Id="rId235" Type="http://schemas.openxmlformats.org/officeDocument/2006/relationships/hyperlink" Target="https://cdn.exe.in.th/marketing/WarzTH_LE/Item%20Dict/time_capsule.png" TargetMode="External"/><Relationship Id="rId113" Type="http://schemas.openxmlformats.org/officeDocument/2006/relationships/hyperlink" Target="https://cdn.exe.in.th/marketing/WarzTH_LE/Item%20Dict/hard_hat.png" TargetMode="External"/><Relationship Id="rId234" Type="http://schemas.openxmlformats.org/officeDocument/2006/relationships/hyperlink" Target="https://cdn.exe.in.th/marketing/WarzTH_LE/Item%20Dict/character_female01.png" TargetMode="External"/><Relationship Id="rId112" Type="http://schemas.openxmlformats.org/officeDocument/2006/relationships/hyperlink" Target="https://cdn.exe.in.th/marketing/WarzTH_LE/Item%20Dict/hammer.png" TargetMode="External"/><Relationship Id="rId233" Type="http://schemas.openxmlformats.org/officeDocument/2006/relationships/hyperlink" Target="https://cdn.exe.in.th/marketing/WarzTH_LE/Item%20Dict/teddybear_backpack.png" TargetMode="External"/><Relationship Id="rId111" Type="http://schemas.openxmlformats.org/officeDocument/2006/relationships/hyperlink" Target="https://cdn.exe.in.th/marketing/WarzTH_LE/Item%20Dict/halloween_special.png" TargetMode="External"/><Relationship Id="rId232" Type="http://schemas.openxmlformats.org/officeDocument/2006/relationships/hyperlink" Target="https://cdn.exe.in.th/marketing/WarzTH_LE/Item%20Dict/tact_snp_scope.png" TargetMode="External"/><Relationship Id="rId206" Type="http://schemas.openxmlformats.org/officeDocument/2006/relationships/hyperlink" Target="https://cdn.exe.in.th/marketing/WarzTH_LE/Item%20Dict/iron_wep.png" TargetMode="External"/><Relationship Id="rId205" Type="http://schemas.openxmlformats.org/officeDocument/2006/relationships/hyperlink" Target="https://cdn.exe.in.th/marketing/WarzTH_LE/Item%20Dict/item_drop_scrap_sig516.png" TargetMode="External"/><Relationship Id="rId204" Type="http://schemas.openxmlformats.org/officeDocument/2006/relationships/hyperlink" Target="https://cdn.exe.in.th/marketing/WarzTH_LE/Item%20Dict/item_drop_scrap_sp66.png" TargetMode="External"/><Relationship Id="rId203" Type="http://schemas.openxmlformats.org/officeDocument/2006/relationships/hyperlink" Target="https://cdn.exe.in.th/marketing/WarzTH_LE/Item%20Dict/item_drop_scrap_m82.png" TargetMode="External"/><Relationship Id="rId209" Type="http://schemas.openxmlformats.org/officeDocument/2006/relationships/hyperlink" Target="https://cdn.exe.in.th/marketing/WarzTH_LE/Item%20Dict/shotgun_shell_8x.png" TargetMode="External"/><Relationship Id="rId208" Type="http://schemas.openxmlformats.org/officeDocument/2006/relationships/hyperlink" Target="https://cdn.exe.in.th/marketing/WarzTH_LE/Item%20Dict/shotgun_shell_2x.png" TargetMode="External"/><Relationship Id="rId207" Type="http://schemas.openxmlformats.org/officeDocument/2006/relationships/hyperlink" Target="https://cdn.exe.in.th/marketing/WarzTH_LE/Item%20Dict/shadow.png" TargetMode="External"/><Relationship Id="rId202" Type="http://schemas.openxmlformats.org/officeDocument/2006/relationships/hyperlink" Target="https://cdn.exe.in.th/marketing/WarzTH_LE/Item%20Dict/item_drop_scrap_imi.png" TargetMode="External"/><Relationship Id="rId201" Type="http://schemas.openxmlformats.org/officeDocument/2006/relationships/hyperlink" Target="https://cdn.exe.in.th/marketing/WarzTH_LE/Item%20Dict/item_drop_scrap_honey.png" TargetMode="External"/><Relationship Id="rId200" Type="http://schemas.openxmlformats.org/officeDocument/2006/relationships/hyperlink" Target="https://cdn.exe.in.th/marketing/WarzTH_LE/Item%20Dict/item_drop_scrap_scar_nig.png" TargetMode="External"/></Relationships>
</file>

<file path=xl/worksheets/_rels/sheet2.xml.rels><?xml version="1.0" encoding="UTF-8" standalone="yes"?><Relationships xmlns="http://schemas.openxmlformats.org/package/2006/relationships"><Relationship Id="rId10" Type="http://schemas.openxmlformats.org/officeDocument/2006/relationships/drawing" Target="../drawings/drawing2.xml"/><Relationship Id="rId1" Type="http://schemas.openxmlformats.org/officeDocument/2006/relationships/hyperlink" Target="https://www.notion.so/WarZ-Bundle-Commu-35d41b7af0c2817ea1acf3c593e0a4b8?source=copy_link" TargetMode="External"/><Relationship Id="rId2" Type="http://schemas.openxmlformats.org/officeDocument/2006/relationships/hyperlink" Target="https://www.notion.so/WarZ-36d41b7af0c28145b58af8fc989850ad?source=copy_link" TargetMode="External"/><Relationship Id="rId3" Type="http://schemas.openxmlformats.org/officeDocument/2006/relationships/hyperlink" Target="https://www.notion.so/WarZ-Bundle-Commu-35d41b7af0c2817ea1acf3c593e0a4b8?source=copy_link" TargetMode="External"/><Relationship Id="rId4" Type="http://schemas.openxmlformats.org/officeDocument/2006/relationships/hyperlink" Target="https://www.notion.so/WarZ-36d41b7af0c28138a83cc6db12f2b4cf?source=copy_link" TargetMode="External"/><Relationship Id="rId9" Type="http://schemas.openxmlformats.org/officeDocument/2006/relationships/hyperlink" Target="https://www.notion.so/WarZ-36d41b7af0c281848676d5eef2badb82?source=copy_link" TargetMode="External"/><Relationship Id="rId5" Type="http://schemas.openxmlformats.org/officeDocument/2006/relationships/hyperlink" Target="https://www.notion.so/WarZ-36d41b7af0c2811eaed0ffed6c17adc4?source=copy_link" TargetMode="External"/><Relationship Id="rId6" Type="http://schemas.openxmlformats.org/officeDocument/2006/relationships/hyperlink" Target="https://www.notion.so/WarZ-Bob-Hunt-36d41b7af0c281119491ed2ff36a4862?source=copy_link" TargetMode="External"/><Relationship Id="rId7" Type="http://schemas.openxmlformats.org/officeDocument/2006/relationships/hyperlink" Target="https://www.notion.so/WarZ-Bundle-Commu-35d41b7af0c2817ea1acf3c593e0a4b8?source=copy_link" TargetMode="External"/><Relationship Id="rId8" Type="http://schemas.openxmlformats.org/officeDocument/2006/relationships/hyperlink" Target="https://www.notion.so/WarZ-Bundle-Commu-35d41b7af0c2817ea1acf3c593e0a4b8?source=copy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dn.exe.in.th/marketing/WarzTH_LE/Item%20Dict/ak_74m.png" TargetMode="External"/><Relationship Id="rId2" Type="http://schemas.openxmlformats.org/officeDocument/2006/relationships/hyperlink" Target="https://cdn.exe.in.th/marketing/WarzTH_LE/Item%20Dict/5.45AK_drum.png" TargetMode="External"/><Relationship Id="rId3" Type="http://schemas.openxmlformats.org/officeDocument/2006/relationships/hyperlink" Target="https://cdn.exe.in.th/marketing/WarzTH_LE/Item%20Dict/katana.png" TargetMode="External"/><Relationship Id="rId4" Type="http://schemas.openxmlformats.org/officeDocument/2006/relationships/hyperlink" Target="https://cdn.exe.in.th/marketing/WarzTH_LE/Item%20Dict/k._style_helmet.png" TargetMode="External"/><Relationship Id="rId5" Type="http://schemas.openxmlformats.org/officeDocument/2006/relationships/hyperlink" Target="https://cdn.exe.in.th/marketing/WarzTH_LE/Item%20Dict/custom_guerilla.png" TargetMode="External"/><Relationship Id="rId6" Type="http://schemas.openxmlformats.org/officeDocument/2006/relationships/hyperlink" Target="https://cdn.exe.in.th/marketing/WarzTH_LE/Item%20Dict/bandages_dx.png"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facebook.com/photo.php?fbid=122111627222773836&amp;set=pb.61573215088571.-2207520000&amp;type=3"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facebook.com/photo.php?fbid=122111627222773836&amp;set=pb.61573215088571.-2207520000&amp;type=3"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facebook.com/photo.php?fbid=122114243768773836&amp;set=pb.61573215088571.-2207520000&amp;type=3"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facebook.com/share/p/1ERGT3mHEh/"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acebook.com/photo.php?fbid=122115398750773836&amp;set=pb.61573215088571.-2207520000&amp;type=3"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facebook.com/photo.php?fbid=122112532994773836&amp;set=pb.61573215088571.-2207520000&amp;type=3"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facebook.com/photo.php?fbid=122115421514773836&amp;set=pb.61573215088571.-2207520000&amp;type=3"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IFERROR(__xludf.DUMMYFUNCTION("IMPORTRANGE(""https://docs.google.com/spreadsheets/d/1DL0yY55duy_4Vb7h9L0y6XEA3qVJwBjNzmRrPMQrc5E/edit?gid=0#gid=0"",""All Item List!A1:O"")"),"")</f>
        <v/>
      </c>
      <c r="B1" s="2" t="str">
        <f>IFERROR(__xludf.DUMMYFUNCTION("""COMPUTED_VALUE"""),"Total Items Count :")</f>
        <v>Total Items Count :</v>
      </c>
      <c r="C1" s="3"/>
      <c r="D1" s="3">
        <f>IFERROR(__xludf.DUMMYFUNCTION("""COMPUTED_VALUE"""),301.0)</f>
        <v>301</v>
      </c>
      <c r="E1" s="3"/>
      <c r="F1" s="3"/>
      <c r="G1" s="3"/>
      <c r="H1" s="3"/>
      <c r="I1" s="3"/>
      <c r="J1" s="3"/>
      <c r="K1" s="3"/>
      <c r="L1" s="3"/>
      <c r="M1" s="3"/>
      <c r="N1" s="3"/>
      <c r="O1" s="3"/>
    </row>
    <row r="2">
      <c r="A2" s="3"/>
      <c r="B2" s="2" t="str">
        <f>IFERROR(__xludf.DUMMYFUNCTION("""COMPUTED_VALUE"""),"Details Confirmed :")</f>
        <v>Details Confirmed :</v>
      </c>
      <c r="C2" s="3"/>
      <c r="D2" s="3">
        <f>IFERROR(__xludf.DUMMYFUNCTION("""COMPUTED_VALUE"""),246.0)</f>
        <v>246</v>
      </c>
      <c r="E2" s="3"/>
      <c r="F2" s="3"/>
      <c r="G2" s="3"/>
      <c r="H2" s="3"/>
      <c r="I2" s="3"/>
      <c r="J2" s="3"/>
      <c r="K2" s="3"/>
      <c r="L2" s="3"/>
      <c r="M2" s="3"/>
      <c r="N2" s="3"/>
      <c r="O2" s="3"/>
    </row>
    <row r="3">
      <c r="A3" s="3" t="str">
        <f>IFERROR(__xludf.DUMMYFUNCTION("""COMPUTED_VALUE"""),"Details
Confirm")</f>
        <v>Details
Confirm</v>
      </c>
      <c r="B3" s="3" t="str">
        <f>IFERROR(__xludf.DUMMYFUNCTION("""COMPUTED_VALUE"""),"Image")</f>
        <v>Image</v>
      </c>
      <c r="C3" s="3" t="str">
        <f>IFERROR(__xludf.DUMMYFUNCTION("""COMPUTED_VALUE"""),"Item ID")</f>
        <v>Item ID</v>
      </c>
      <c r="D3" s="4" t="str">
        <f>IFERROR(__xludf.DUMMYFUNCTION("""COMPUTED_VALUE"""),"Image URL")</f>
        <v>Image URL</v>
      </c>
      <c r="E3" s="3" t="str">
        <f>IFERROR(__xludf.DUMMYFUNCTION("""COMPUTED_VALUE"""),"Item EN")</f>
        <v>Item EN</v>
      </c>
      <c r="F3" s="2" t="str">
        <f>IFERROR(__xludf.DUMMYFUNCTION("""COMPUTED_VALUE"""),"Price")</f>
        <v>Price</v>
      </c>
      <c r="G3" s="3" t="str">
        <f>IFERROR(__xludf.DUMMYFUNCTION("""COMPUTED_VALUE"""),"GC Price")</f>
        <v>GC Price</v>
      </c>
      <c r="H3" s="3" t="str">
        <f>IFERROR(__xludf.DUMMYFUNCTION("""COMPUTED_VALUE"""),"Dollar Price")</f>
        <v>Dollar Price</v>
      </c>
      <c r="I3" s="3" t="str">
        <f>IFERROR(__xludf.DUMMYFUNCTION("""COMPUTED_VALUE"""),"Item Type")</f>
        <v>Item Type</v>
      </c>
      <c r="J3" s="3" t="str">
        <f>IFERROR(__xludf.DUMMYFUNCTION("""COMPUTED_VALUE"""),"Stackable")</f>
        <v>Stackable</v>
      </c>
      <c r="K3" s="3" t="str">
        <f>IFERROR(__xludf.DUMMYFUNCTION("""COMPUTED_VALUE"""),"Tier")</f>
        <v>Tier</v>
      </c>
      <c r="L3" s="3" t="str">
        <f>IFERROR(__xludf.DUMMYFUNCTION("""COMPUTED_VALUE"""),"SFTP Url")</f>
        <v>SFTP Url</v>
      </c>
      <c r="M3" s="3"/>
      <c r="N3" s="4" t="str">
        <f>IFERROR(__xludf.DUMMYFUNCTION("""COMPUTED_VALUE"""),"Description")</f>
        <v>Description</v>
      </c>
      <c r="O3" s="4" t="str">
        <f>IFERROR(__xludf.DUMMYFUNCTION("""COMPUTED_VALUE"""),"Aztek Item ID")</f>
        <v>Aztek Item ID</v>
      </c>
    </row>
    <row r="4">
      <c r="A4" s="3" t="b">
        <f>IFERROR(__xludf.DUMMYFUNCTION("""COMPUTED_VALUE"""),TRUE)</f>
        <v>1</v>
      </c>
      <c r="B4" s="3" t="str">
        <f>IFERROR(__xludf.DUMMYFUNCTION("""COMPUTED_VALUE"""),"")</f>
        <v/>
      </c>
      <c r="C4" s="3">
        <f>IFERROR(__xludf.DUMMYFUNCTION("""COMPUTED_VALUE"""),400136.0)</f>
        <v>400136</v>
      </c>
      <c r="D4" s="5" t="str">
        <f>IFERROR(__xludf.DUMMYFUNCTION("""COMPUTED_VALUE"""),"https://cdn.exe.in.th/marketing/WarzTH_LE/Item%20Dict/12g_slug.png")</f>
        <v>https://cdn.exe.in.th/marketing/WarzTH_LE/Item%20Dict/12g_slug.png</v>
      </c>
      <c r="E4" s="3" t="str">
        <f>IFERROR(__xludf.DUMMYFUNCTION("""COMPUTED_VALUE"""),"12 Gauge Slug")</f>
        <v>12 Gauge Slug</v>
      </c>
      <c r="F4" s="2">
        <f>IFERROR(__xludf.DUMMYFUNCTION("""COMPUTED_VALUE"""),1.5)</f>
        <v>1.5</v>
      </c>
      <c r="G4" s="2" t="str">
        <f>IFERROR(__xludf.DUMMYFUNCTION("""COMPUTED_VALUE"""),"-")</f>
        <v>-</v>
      </c>
      <c r="H4" s="2" t="str">
        <f>IFERROR(__xludf.DUMMYFUNCTION("""COMPUTED_VALUE"""),"1,250 Dollars")</f>
        <v>1,250 Dollars</v>
      </c>
      <c r="I4" s="3" t="str">
        <f>IFERROR(__xludf.DUMMYFUNCTION("""COMPUTED_VALUE"""),"Ammo")</f>
        <v>Ammo</v>
      </c>
      <c r="J4" s="3" t="str">
        <f>IFERROR(__xludf.DUMMYFUNCTION("""COMPUTED_VALUE"""),"Yes")</f>
        <v>Yes</v>
      </c>
      <c r="K4" s="3"/>
      <c r="L4" s="3" t="str">
        <f>IFERROR(__xludf.DUMMYFUNCTION("""COMPUTED_VALUE"""),"sftp://graphic@103.41.58.141/marketing/WarzTH_LE/Item%20Dict/12g_slug.png")</f>
        <v>sftp://graphic@103.41.58.141/marketing/WarzTH_LE/Item%20Dict/12g_slug.png</v>
      </c>
      <c r="M4" s="3"/>
      <c r="N4" s="3" t="str">
        <f>IFERROR(__xludf.DUMMYFUNCTION("""COMPUTED_VALUE"""),"8 slugs for use in the Mossberg and KT Decider shotguns")</f>
        <v>8 slugs for use in the Mossberg and KT Decider shotguns</v>
      </c>
      <c r="O4" s="3"/>
    </row>
    <row r="5">
      <c r="A5" s="3" t="b">
        <f>IFERROR(__xludf.DUMMYFUNCTION("""COMPUTED_VALUE"""),TRUE)</f>
        <v>1</v>
      </c>
      <c r="B5" s="3" t="str">
        <f>IFERROR(__xludf.DUMMYFUNCTION("""COMPUTED_VALUE"""),"")</f>
        <v/>
      </c>
      <c r="C5" s="3">
        <f>IFERROR(__xludf.DUMMYFUNCTION("""COMPUTED_VALUE"""),400144.0)</f>
        <v>400144</v>
      </c>
      <c r="D5" s="5" t="str">
        <f>IFERROR(__xludf.DUMMYFUNCTION("""COMPUTED_VALUE"""),"https://cdn.exe.in.th/marketing/WarzTH_LE/Item%20Dict/ruger_mag.png")</f>
        <v>https://cdn.exe.in.th/marketing/WarzTH_LE/Item%20Dict/ruger_mag.png</v>
      </c>
      <c r="E5" s="3" t="str">
        <f>IFERROR(__xludf.DUMMYFUNCTION("""COMPUTED_VALUE"""),".22 Caliber clip")</f>
        <v>.22 Caliber clip</v>
      </c>
      <c r="F5" s="2">
        <f>IFERROR(__xludf.DUMMYFUNCTION("""COMPUTED_VALUE"""),0.8)</f>
        <v>0.8</v>
      </c>
      <c r="G5" s="2" t="str">
        <f>IFERROR(__xludf.DUMMYFUNCTION("""COMPUTED_VALUE"""),"-")</f>
        <v>-</v>
      </c>
      <c r="H5" s="2" t="str">
        <f>IFERROR(__xludf.DUMMYFUNCTION("""COMPUTED_VALUE"""),"700 Dollars")</f>
        <v>700 Dollars</v>
      </c>
      <c r="I5" s="3" t="str">
        <f>IFERROR(__xludf.DUMMYFUNCTION("""COMPUTED_VALUE"""),"Ammo")</f>
        <v>Ammo</v>
      </c>
      <c r="J5" s="3" t="str">
        <f>IFERROR(__xludf.DUMMYFUNCTION("""COMPUTED_VALUE"""),"Yes")</f>
        <v>Yes</v>
      </c>
      <c r="K5" s="3"/>
      <c r="L5" s="3" t="str">
        <f>IFERROR(__xludf.DUMMYFUNCTION("""COMPUTED_VALUE"""),"sftp://graphic@103.41.58.141/marketing/WarzTH_LE/Item%20Dict/ruger_mag.png")</f>
        <v>sftp://graphic@103.41.58.141/marketing/WarzTH_LE/Item%20Dict/ruger_mag.png</v>
      </c>
      <c r="M5" s="3"/>
      <c r="N5" s="3" t="str">
        <f>IFERROR(__xludf.DUMMYFUNCTION("""COMPUTED_VALUE"""),"10 round, 22 cal ammo clip for Ruger pistols and rifles")</f>
        <v>10 round, 22 cal ammo clip for Ruger pistols and rifles</v>
      </c>
      <c r="O5" s="3"/>
    </row>
    <row r="6">
      <c r="A6" s="3" t="b">
        <f>IFERROR(__xludf.DUMMYFUNCTION("""COMPUTED_VALUE"""),TRUE)</f>
        <v>1</v>
      </c>
      <c r="B6" s="3" t="str">
        <f>IFERROR(__xludf.DUMMYFUNCTION("""COMPUTED_VALUE"""),"")</f>
        <v/>
      </c>
      <c r="C6" s="3">
        <f>IFERROR(__xludf.DUMMYFUNCTION("""COMPUTED_VALUE"""),400137.0)</f>
        <v>400137</v>
      </c>
      <c r="D6" s="5" t="str">
        <f>IFERROR(__xludf.DUMMYFUNCTION("""COMPUTED_VALUE"""),"https://cdn.exe.in.th/marketing/WarzTH_LE/Item%20Dict/12g.png")</f>
        <v>https://cdn.exe.in.th/marketing/WarzTH_LE/Item%20Dict/12g.png</v>
      </c>
      <c r="E6" s="3" t="str">
        <f>IFERROR(__xludf.DUMMYFUNCTION("""COMPUTED_VALUE"""),"2x 12gauge")</f>
        <v>2x 12gauge</v>
      </c>
      <c r="F6" s="2">
        <f>IFERROR(__xludf.DUMMYFUNCTION("""COMPUTED_VALUE"""),1.5)</f>
        <v>1.5</v>
      </c>
      <c r="G6" s="2" t="str">
        <f>IFERROR(__xludf.DUMMYFUNCTION("""COMPUTED_VALUE"""),"-")</f>
        <v>-</v>
      </c>
      <c r="H6" s="2" t="str">
        <f>IFERROR(__xludf.DUMMYFUNCTION("""COMPUTED_VALUE"""),"1,250 Dollars")</f>
        <v>1,250 Dollars</v>
      </c>
      <c r="I6" s="3" t="str">
        <f>IFERROR(__xludf.DUMMYFUNCTION("""COMPUTED_VALUE"""),"Ammo")</f>
        <v>Ammo</v>
      </c>
      <c r="J6" s="3" t="str">
        <f>IFERROR(__xludf.DUMMYFUNCTION("""COMPUTED_VALUE"""),"Yes")</f>
        <v>Yes</v>
      </c>
      <c r="K6" s="3"/>
      <c r="L6" s="3" t="str">
        <f>IFERROR(__xludf.DUMMYFUNCTION("""COMPUTED_VALUE"""),"sftp://graphic@103.41.58.141/marketing/WarzTH_LE/Item%20Dict/12g.png")</f>
        <v>sftp://graphic@103.41.58.141/marketing/WarzTH_LE/Item%20Dict/12g.png</v>
      </c>
      <c r="M6" s="3"/>
      <c r="N6" s="3" t="str">
        <f>IFERROR(__xludf.DUMMYFUNCTION("""COMPUTED_VALUE"""),"Ammo for use with the double barrel shotgun")</f>
        <v>Ammo for use with the double barrel shotgun</v>
      </c>
      <c r="O6" s="3"/>
    </row>
    <row r="7">
      <c r="A7" s="3" t="b">
        <f>IFERROR(__xludf.DUMMYFUNCTION("""COMPUTED_VALUE"""),TRUE)</f>
        <v>1</v>
      </c>
      <c r="B7" s="3" t="str">
        <f>IFERROR(__xludf.DUMMYFUNCTION("""COMPUTED_VALUE"""),"")</f>
        <v/>
      </c>
      <c r="C7" s="3">
        <f>IFERROR(__xludf.DUMMYFUNCTION("""COMPUTED_VALUE"""),400070.0)</f>
        <v>400070</v>
      </c>
      <c r="D7" s="5" t="str">
        <f>IFERROR(__xludf.DUMMYFUNCTION("""COMPUTED_VALUE"""),"https://cdn.exe.in.th/marketing/WarzTH_LE/Item%20Dict/.308_ammo.png")</f>
        <v>https://cdn.exe.in.th/marketing/WarzTH_LE/Item%20Dict/.308_ammo.png</v>
      </c>
      <c r="E7" s="6" t="str">
        <f>IFERROR(__xludf.DUMMYFUNCTION("""COMPUTED_VALUE"""),".308 Winchester Sniper rifle ammo")</f>
        <v>.308 Winchester Sniper rifle ammo</v>
      </c>
      <c r="F7" s="2">
        <f>IFERROR(__xludf.DUMMYFUNCTION("""COMPUTED_VALUE"""),3.0)</f>
        <v>3</v>
      </c>
      <c r="G7" s="2" t="str">
        <f>IFERROR(__xludf.DUMMYFUNCTION("""COMPUTED_VALUE"""),"30 GC")</f>
        <v>30 GC</v>
      </c>
      <c r="H7" s="2" t="str">
        <f>IFERROR(__xludf.DUMMYFUNCTION("""COMPUTED_VALUE"""),"-")</f>
        <v>-</v>
      </c>
      <c r="I7" s="3" t="str">
        <f>IFERROR(__xludf.DUMMYFUNCTION("""COMPUTED_VALUE"""),"Ammo")</f>
        <v>Ammo</v>
      </c>
      <c r="J7" s="3" t="str">
        <f>IFERROR(__xludf.DUMMYFUNCTION("""COMPUTED_VALUE"""),"Yes")</f>
        <v>Yes</v>
      </c>
      <c r="K7" s="3"/>
      <c r="L7" s="3" t="str">
        <f>IFERROR(__xludf.DUMMYFUNCTION("""COMPUTED_VALUE"""),"sftp://graphic@103.41.58.141/marketing/WarzTH_LE/Item%20Dict/.308_ammo.png")</f>
        <v>sftp://graphic@103.41.58.141/marketing/WarzTH_LE/Item%20Dict/.308_ammo.png</v>
      </c>
      <c r="M7" s="3"/>
      <c r="N7" s="3" t="str">
        <f>IFERROR(__xludf.DUMMYFUNCTION("""COMPUTED_VALUE"""),"7.62x51mm NATO sniper rifle clip for use with the .308 Winchester Sniple Rifle. Magazine holds 10 rounds")</f>
        <v>7.62x51mm NATO sniper rifle clip for use with the .308 Winchester Sniple Rifle. Magazine holds 10 rounds</v>
      </c>
      <c r="O7" s="3"/>
    </row>
    <row r="8">
      <c r="A8" s="3" t="b">
        <f>IFERROR(__xludf.DUMMYFUNCTION("""COMPUTED_VALUE"""),TRUE)</f>
        <v>1</v>
      </c>
      <c r="B8" s="3" t="str">
        <f>IFERROR(__xludf.DUMMYFUNCTION("""COMPUTED_VALUE"""),"")</f>
        <v/>
      </c>
      <c r="C8" s="3">
        <f>IFERROR(__xludf.DUMMYFUNCTION("""COMPUTED_VALUE"""),400154.0)</f>
        <v>400154</v>
      </c>
      <c r="D8" s="5" t="str">
        <f>IFERROR(__xludf.DUMMYFUNCTION("""COMPUTED_VALUE"""),"https://cdn.exe.in.th/marketing/WarzTH_LE/Item%20Dict/.40_1911_mag.png")</f>
        <v>https://cdn.exe.in.th/marketing/WarzTH_LE/Item%20Dict/.40_1911_mag.png</v>
      </c>
      <c r="E8" s="3" t="str">
        <f>IFERROR(__xludf.DUMMYFUNCTION("""COMPUTED_VALUE"""),".40 caliber 1911 Mag")</f>
        <v>.40 caliber 1911 Mag</v>
      </c>
      <c r="F8" s="2">
        <f>IFERROR(__xludf.DUMMYFUNCTION("""COMPUTED_VALUE"""),0.6)</f>
        <v>0.6</v>
      </c>
      <c r="G8" s="2" t="str">
        <f>IFERROR(__xludf.DUMMYFUNCTION("""COMPUTED_VALUE"""),"-")</f>
        <v>-</v>
      </c>
      <c r="H8" s="2" t="str">
        <f>IFERROR(__xludf.DUMMYFUNCTION("""COMPUTED_VALUE"""),"500 Dollars")</f>
        <v>500 Dollars</v>
      </c>
      <c r="I8" s="3" t="str">
        <f>IFERROR(__xludf.DUMMYFUNCTION("""COMPUTED_VALUE"""),"Ammo")</f>
        <v>Ammo</v>
      </c>
      <c r="J8" s="3" t="str">
        <f>IFERROR(__xludf.DUMMYFUNCTION("""COMPUTED_VALUE"""),"Yes")</f>
        <v>Yes</v>
      </c>
      <c r="K8" s="3"/>
      <c r="L8" s="3" t="str">
        <f>IFERROR(__xludf.DUMMYFUNCTION("""COMPUTED_VALUE"""),"sftp://graphic@103.41.58.141/marketing/WarzTH_LE/Item%20Dict/.40_1911_mag.png")</f>
        <v>sftp://graphic@103.41.58.141/marketing/WarzTH_LE/Item%20Dict/.40_1911_mag.png</v>
      </c>
      <c r="M8" s="3"/>
      <c r="N8" s="3" t="str">
        <f>IFERROR(__xludf.DUMMYFUNCTION("""COMPUTED_VALUE"""),"7 round single-stack magazine for the 1911")</f>
        <v>7 round single-stack magazine for the 1911</v>
      </c>
      <c r="O8" s="3"/>
    </row>
    <row r="9">
      <c r="A9" s="3" t="b">
        <f>IFERROR(__xludf.DUMMYFUNCTION("""COMPUTED_VALUE"""),TRUE)</f>
        <v>1</v>
      </c>
      <c r="B9" s="3" t="str">
        <f>IFERROR(__xludf.DUMMYFUNCTION("""COMPUTED_VALUE"""),"")</f>
        <v/>
      </c>
      <c r="C9" s="3">
        <f>IFERROR(__xludf.DUMMYFUNCTION("""COMPUTED_VALUE"""),400135.0)</f>
        <v>400135</v>
      </c>
      <c r="D9" s="5" t="str">
        <f>IFERROR(__xludf.DUMMYFUNCTION("""COMPUTED_VALUE"""),"https://cdn.exe.in.th/marketing/WarzTH_LE/Item%20Dict/.45ee_ammo.png")</f>
        <v>https://cdn.exe.in.th/marketing/WarzTH_LE/Item%20Dict/.45ee_ammo.png</v>
      </c>
      <c r="E9" s="3" t="str">
        <f>IFERROR(__xludf.DUMMYFUNCTION("""COMPUTED_VALUE"""),".45 ACP STI Eagle Elite ammo")</f>
        <v>.45 ACP STI Eagle Elite ammo</v>
      </c>
      <c r="F9" s="2">
        <f>IFERROR(__xludf.DUMMYFUNCTION("""COMPUTED_VALUE"""),1.5)</f>
        <v>1.5</v>
      </c>
      <c r="G9" s="2" t="str">
        <f>IFERROR(__xludf.DUMMYFUNCTION("""COMPUTED_VALUE"""),"-")</f>
        <v>-</v>
      </c>
      <c r="H9" s="2" t="str">
        <f>IFERROR(__xludf.DUMMYFUNCTION("""COMPUTED_VALUE"""),"1,250 Dollars")</f>
        <v>1,250 Dollars</v>
      </c>
      <c r="I9" s="3" t="str">
        <f>IFERROR(__xludf.DUMMYFUNCTION("""COMPUTED_VALUE"""),"Ammo")</f>
        <v>Ammo</v>
      </c>
      <c r="J9" s="3" t="str">
        <f>IFERROR(__xludf.DUMMYFUNCTION("""COMPUTED_VALUE"""),"Yes")</f>
        <v>Yes</v>
      </c>
      <c r="K9" s="3"/>
      <c r="L9" s="3" t="str">
        <f>IFERROR(__xludf.DUMMYFUNCTION("""COMPUTED_VALUE"""),"sftp://graphic@103.41.58.141/marketing/WarzTH_LE/Item%20Dict/.45ee_ammo.png")</f>
        <v>sftp://graphic@103.41.58.141/marketing/WarzTH_LE/Item%20Dict/.45ee_ammo.png</v>
      </c>
      <c r="M9" s="3"/>
      <c r="N9" s="3" t="str">
        <f>IFERROR(__xludf.DUMMYFUNCTION("""COMPUTED_VALUE"""),".45 ACP 10 rounds magazine for the STI Eagle Elite handgun")</f>
        <v>.45 ACP 10 rounds magazine for the STI Eagle Elite handgun</v>
      </c>
      <c r="O9" s="3"/>
    </row>
    <row r="10">
      <c r="A10" s="3" t="b">
        <f>IFERROR(__xludf.DUMMYFUNCTION("""COMPUTED_VALUE"""),TRUE)</f>
        <v>1</v>
      </c>
      <c r="B10" s="3" t="str">
        <f>IFERROR(__xludf.DUMMYFUNCTION("""COMPUTED_VALUE"""),"")</f>
        <v/>
      </c>
      <c r="C10" s="3">
        <f>IFERROR(__xludf.DUMMYFUNCTION("""COMPUTED_VALUE"""),400133.0)</f>
        <v>400133</v>
      </c>
      <c r="D10" s="5" t="str">
        <f>IFERROR(__xludf.DUMMYFUNCTION("""COMPUTED_VALUE"""),"https://cdn.exe.in.th/marketing/WarzTH_LE/Item%20Dict/.50_ammo.png")</f>
        <v>https://cdn.exe.in.th/marketing/WarzTH_LE/Item%20Dict/.50_ammo.png</v>
      </c>
      <c r="E10" s="3" t="str">
        <f>IFERROR(__xludf.DUMMYFUNCTION("""COMPUTED_VALUE"""),".50 BMG")</f>
        <v>.50 BMG</v>
      </c>
      <c r="F10" s="2">
        <f>IFERROR(__xludf.DUMMYFUNCTION("""COMPUTED_VALUE"""),5.0)</f>
        <v>5</v>
      </c>
      <c r="G10" s="2" t="str">
        <f>IFERROR(__xludf.DUMMYFUNCTION("""COMPUTED_VALUE"""),"50 GC")</f>
        <v>50 GC</v>
      </c>
      <c r="H10" s="2" t="str">
        <f>IFERROR(__xludf.DUMMYFUNCTION("""COMPUTED_VALUE"""),"-")</f>
        <v>-</v>
      </c>
      <c r="I10" s="3" t="str">
        <f>IFERROR(__xludf.DUMMYFUNCTION("""COMPUTED_VALUE"""),"Ammo")</f>
        <v>Ammo</v>
      </c>
      <c r="J10" s="3" t="str">
        <f>IFERROR(__xludf.DUMMYFUNCTION("""COMPUTED_VALUE"""),"Yes")</f>
        <v>Yes</v>
      </c>
      <c r="K10" s="3"/>
      <c r="L10" s="3" t="str">
        <f>IFERROR(__xludf.DUMMYFUNCTION("""COMPUTED_VALUE"""),"sftp://graphic@103.41.58.141/marketing/WarzTH_LE/Item%20Dict/.50_ammo.png")</f>
        <v>sftp://graphic@103.41.58.141/marketing/WarzTH_LE/Item%20Dict/.50_ammo.png</v>
      </c>
      <c r="M10" s="3"/>
      <c r="N10" s="3" t="str">
        <f>IFERROR(__xludf.DUMMYFUNCTION("""COMPUTED_VALUE"""),"12.7x99mm NATO anti material rounds for M107A1 rifle. 5 rounds per magazine")</f>
        <v>12.7x99mm NATO anti material rounds for M107A1 rifle. 5 rounds per magazine</v>
      </c>
      <c r="O10" s="3"/>
    </row>
    <row r="11">
      <c r="A11" s="3" t="b">
        <f>IFERROR(__xludf.DUMMYFUNCTION("""COMPUTED_VALUE"""),TRUE)</f>
        <v>1</v>
      </c>
      <c r="B11" s="3" t="str">
        <f>IFERROR(__xludf.DUMMYFUNCTION("""COMPUTED_VALUE"""),"")</f>
        <v/>
      </c>
      <c r="C11" s="3">
        <f>IFERROR(__xludf.DUMMYFUNCTION("""COMPUTED_VALUE"""),400001.0)</f>
        <v>400001</v>
      </c>
      <c r="D11" s="5" t="str">
        <f>IFERROR(__xludf.DUMMYFUNCTION("""COMPUTED_VALUE"""),"https://cdn.exe.in.th/marketing/WarzTH_LE/Item%20Dict/5.45AK_30.png")</f>
        <v>https://cdn.exe.in.th/marketing/WarzTH_LE/Item%20Dict/5.45AK_30.png</v>
      </c>
      <c r="E11" s="3" t="str">
        <f>IFERROR(__xludf.DUMMYFUNCTION("""COMPUTED_VALUE"""),"5.45 AK 30")</f>
        <v>5.45 AK 30</v>
      </c>
      <c r="F11" s="2">
        <f>IFERROR(__xludf.DUMMYFUNCTION("""COMPUTED_VALUE"""),1.5)</f>
        <v>1.5</v>
      </c>
      <c r="G11" s="2" t="str">
        <f>IFERROR(__xludf.DUMMYFUNCTION("""COMPUTED_VALUE"""),"-")</f>
        <v>-</v>
      </c>
      <c r="H11" s="2" t="str">
        <f>IFERROR(__xludf.DUMMYFUNCTION("""COMPUTED_VALUE"""),"1,200 Dollars")</f>
        <v>1,200 Dollars</v>
      </c>
      <c r="I11" s="3" t="str">
        <f>IFERROR(__xludf.DUMMYFUNCTION("""COMPUTED_VALUE"""),"Ammo")</f>
        <v>Ammo</v>
      </c>
      <c r="J11" s="3" t="str">
        <f>IFERROR(__xludf.DUMMYFUNCTION("""COMPUTED_VALUE"""),"Yes")</f>
        <v>Yes</v>
      </c>
      <c r="K11" s="3"/>
      <c r="L11" s="3" t="str">
        <f>IFERROR(__xludf.DUMMYFUNCTION("""COMPUTED_VALUE"""),"sftp://graphic@103.41.58.141/marketing/WarzTH_LE/Item%20Dict/5.45AK_30.png")</f>
        <v>sftp://graphic@103.41.58.141/marketing/WarzTH_LE/Item%20Dict/5.45AK_30.png</v>
      </c>
      <c r="M11" s="3"/>
      <c r="N11" s="3" t="str">
        <f>IFERROR(__xludf.DUMMYFUNCTION("""COMPUTED_VALUE"""),"This is a standard 5.45x39mm 30 rounds clip for the russian AK 74M family of rifles")</f>
        <v>This is a standard 5.45x39mm 30 rounds clip for the russian AK 74M family of rifles</v>
      </c>
      <c r="O11" s="3"/>
    </row>
    <row r="12">
      <c r="A12" s="3" t="b">
        <f>IFERROR(__xludf.DUMMYFUNCTION("""COMPUTED_VALUE"""),TRUE)</f>
        <v>1</v>
      </c>
      <c r="B12" s="3" t="str">
        <f>IFERROR(__xludf.DUMMYFUNCTION("""COMPUTED_VALUE"""),"")</f>
        <v/>
      </c>
      <c r="C12" s="3">
        <f>IFERROR(__xludf.DUMMYFUNCTION("""COMPUTED_VALUE"""),400069.0)</f>
        <v>400069</v>
      </c>
      <c r="D12" s="5" t="str">
        <f>IFERROR(__xludf.DUMMYFUNCTION("""COMPUTED_VALUE"""),"https://cdn.exe.in.th/marketing/WarzTH_LE/Item%20Dict/5.45AK_45.png")</f>
        <v>https://cdn.exe.in.th/marketing/WarzTH_LE/Item%20Dict/5.45AK_45.png</v>
      </c>
      <c r="E12" s="6" t="str">
        <f>IFERROR(__xludf.DUMMYFUNCTION("""COMPUTED_VALUE"""),"5.45 AK 45")</f>
        <v>5.45 AK 45</v>
      </c>
      <c r="F12" s="2">
        <f>IFERROR(__xludf.DUMMYFUNCTION("""COMPUTED_VALUE"""),2.5)</f>
        <v>2.5</v>
      </c>
      <c r="G12" s="2" t="str">
        <f>IFERROR(__xludf.DUMMYFUNCTION("""COMPUTED_VALUE"""),"-")</f>
        <v>-</v>
      </c>
      <c r="H12" s="2" t="str">
        <f>IFERROR(__xludf.DUMMYFUNCTION("""COMPUTED_VALUE"""),"2,000 Dollars")</f>
        <v>2,000 Dollars</v>
      </c>
      <c r="I12" s="3" t="str">
        <f>IFERROR(__xludf.DUMMYFUNCTION("""COMPUTED_VALUE"""),"Ammo")</f>
        <v>Ammo</v>
      </c>
      <c r="J12" s="3" t="str">
        <f>IFERROR(__xludf.DUMMYFUNCTION("""COMPUTED_VALUE"""),"Yes")</f>
        <v>Yes</v>
      </c>
      <c r="K12" s="3"/>
      <c r="L12" s="3" t="str">
        <f>IFERROR(__xludf.DUMMYFUNCTION("""COMPUTED_VALUE"""),"sftp://graphic@103.41.58.141/marketing/WarzTH_LE/Item%20Dict/5.45AK_45.png")</f>
        <v>sftp://graphic@103.41.58.141/marketing/WarzTH_LE/Item%20Dict/5.45AK_45.png</v>
      </c>
      <c r="M12" s="3"/>
      <c r="N12" s="3" t="str">
        <f>IFERROR(__xludf.DUMMYFUNCTION("""COMPUTED_VALUE"""),"This is a standard 5.45x39mm 45 rounds clip for the russian AK74 family of rifles")</f>
        <v>This is a standard 5.45x39mm 45 rounds clip for the russian AK74 family of rifles</v>
      </c>
      <c r="O12" s="3"/>
    </row>
    <row r="13">
      <c r="A13" s="3" t="b">
        <f>IFERROR(__xludf.DUMMYFUNCTION("""COMPUTED_VALUE"""),TRUE)</f>
        <v>1</v>
      </c>
      <c r="B13" s="3" t="str">
        <f>IFERROR(__xludf.DUMMYFUNCTION("""COMPUTED_VALUE"""),"")</f>
        <v/>
      </c>
      <c r="C13" s="3">
        <f>IFERROR(__xludf.DUMMYFUNCTION("""COMPUTED_VALUE"""),400100.0)</f>
        <v>400100</v>
      </c>
      <c r="D13" s="5" t="str">
        <f>IFERROR(__xludf.DUMMYFUNCTION("""COMPUTED_VALUE"""),"https://cdn.exe.in.th/marketing/WarzTH_LE/Item%20Dict/5.45AK_drum.png")</f>
        <v>https://cdn.exe.in.th/marketing/WarzTH_LE/Item%20Dict/5.45AK_drum.png</v>
      </c>
      <c r="E13" s="3" t="str">
        <f>IFERROR(__xludf.DUMMYFUNCTION("""COMPUTED_VALUE"""),"5.45 AK Drum")</f>
        <v>5.45 AK Drum</v>
      </c>
      <c r="F13" s="2">
        <f>IFERROR(__xludf.DUMMYFUNCTION("""COMPUTED_VALUE"""),1.5)</f>
        <v>1.5</v>
      </c>
      <c r="G13" s="2" t="str">
        <f>IFERROR(__xludf.DUMMYFUNCTION("""COMPUTED_VALUE"""),"15 GC")</f>
        <v>15 GC</v>
      </c>
      <c r="H13" s="2" t="str">
        <f>IFERROR(__xludf.DUMMYFUNCTION("""COMPUTED_VALUE"""),"1,500 Dollars")</f>
        <v>1,500 Dollars</v>
      </c>
      <c r="I13" s="3" t="str">
        <f>IFERROR(__xludf.DUMMYFUNCTION("""COMPUTED_VALUE"""),"Ammo")</f>
        <v>Ammo</v>
      </c>
      <c r="J13" s="3" t="str">
        <f>IFERROR(__xludf.DUMMYFUNCTION("""COMPUTED_VALUE"""),"Yes")</f>
        <v>Yes</v>
      </c>
      <c r="K13" s="3"/>
      <c r="L13" s="3" t="str">
        <f>IFERROR(__xludf.DUMMYFUNCTION("""COMPUTED_VALUE"""),"sftp://graphic@103.41.58.141/marketing/WarzTH_LE/Item%20Dict/5.45AK_drum.png")</f>
        <v>sftp://graphic@103.41.58.141/marketing/WarzTH_LE/Item%20Dict/5.45AK_drum.png</v>
      </c>
      <c r="M13" s="3"/>
      <c r="N13" s="3" t="str">
        <f>IFERROR(__xludf.DUMMYFUNCTION("""COMPUTED_VALUE"""),"100 rounds drum for AK74 and RPK machine guns")</f>
        <v>100 rounds drum for AK74 and RPK machine guns</v>
      </c>
      <c r="O13" s="3"/>
    </row>
    <row r="14">
      <c r="A14" s="3" t="b">
        <f>IFERROR(__xludf.DUMMYFUNCTION("""COMPUTED_VALUE"""),TRUE)</f>
        <v>1</v>
      </c>
      <c r="B14" s="3" t="str">
        <f>IFERROR(__xludf.DUMMYFUNCTION("""COMPUTED_VALUE"""),"")</f>
        <v/>
      </c>
      <c r="C14" s="3">
        <f>IFERROR(__xludf.DUMMYFUNCTION("""COMPUTED_VALUE"""),400087.0)</f>
        <v>400087</v>
      </c>
      <c r="D14" s="5" t="str">
        <f>IFERROR(__xludf.DUMMYFUNCTION("""COMPUTED_VALUE"""),"https://cdn.exe.in.th/marketing/WarzTH_LE/Item%20Dict/5.7_fn_m240_mag.png")</f>
        <v>https://cdn.exe.in.th/marketing/WarzTH_LE/Item%20Dict/5.7_fn_m240_mag.png</v>
      </c>
      <c r="E14" s="3" t="str">
        <f>IFERROR(__xludf.DUMMYFUNCTION("""COMPUTED_VALUE"""),"5.7 FN ammo")</f>
        <v>5.7 FN ammo</v>
      </c>
      <c r="F14" s="2">
        <f>IFERROR(__xludf.DUMMYFUNCTION("""COMPUTED_VALUE"""),1.5)</f>
        <v>1.5</v>
      </c>
      <c r="G14" s="2" t="str">
        <f>IFERROR(__xludf.DUMMYFUNCTION("""COMPUTED_VALUE"""),"-")</f>
        <v>-</v>
      </c>
      <c r="H14" s="2" t="str">
        <f>IFERROR(__xludf.DUMMYFUNCTION("""COMPUTED_VALUE"""),"1,250 Dollars")</f>
        <v>1,250 Dollars</v>
      </c>
      <c r="I14" s="3" t="str">
        <f>IFERROR(__xludf.DUMMYFUNCTION("""COMPUTED_VALUE"""),"Ammo")</f>
        <v>Ammo</v>
      </c>
      <c r="J14" s="3" t="str">
        <f>IFERROR(__xludf.DUMMYFUNCTION("""COMPUTED_VALUE"""),"Yes")</f>
        <v>Yes</v>
      </c>
      <c r="K14" s="3"/>
      <c r="L14" s="3" t="str">
        <f>IFERROR(__xludf.DUMMYFUNCTION("""COMPUTED_VALUE"""),"sftp://graphic@103.41.58.141/marketing/WarzTH_LE/Item%20Dict/5.7_fn_m240_mag.png")</f>
        <v>sftp://graphic@103.41.58.141/marketing/WarzTH_LE/Item%20Dict/5.7_fn_m240_mag.png</v>
      </c>
      <c r="M14" s="3"/>
      <c r="N14" s="3" t="str">
        <f>IFERROR(__xludf.DUMMYFUNCTION("""COMPUTED_VALUE"""),"FN (M240) machine gun round magazine. 20 rounds of 5.7&amp;times;28mm ammo")</f>
        <v>FN (M240) machine gun round magazine. 20 rounds of 5.7&amp;times;28mm ammo</v>
      </c>
      <c r="O14" s="3"/>
    </row>
    <row r="15">
      <c r="A15" s="3" t="b">
        <f>IFERROR(__xludf.DUMMYFUNCTION("""COMPUTED_VALUE"""),TRUE)</f>
        <v>1</v>
      </c>
      <c r="B15" s="3" t="str">
        <f>IFERROR(__xludf.DUMMYFUNCTION("""COMPUTED_VALUE"""),"")</f>
        <v/>
      </c>
      <c r="C15" s="3">
        <f>IFERROR(__xludf.DUMMYFUNCTION("""COMPUTED_VALUE"""),400101.0)</f>
        <v>400101</v>
      </c>
      <c r="D15" s="5" t="str">
        <f>IFERROR(__xludf.DUMMYFUNCTION("""COMPUTED_VALUE"""),"https://cdn.exe.in.th/marketing/WarzTH_LE/Item%20Dict/7.62AKM_mag.png")</f>
        <v>https://cdn.exe.in.th/marketing/WarzTH_LE/Item%20Dict/7.62AKM_mag.png</v>
      </c>
      <c r="E15" s="3" t="str">
        <f>IFERROR(__xludf.DUMMYFUNCTION("""COMPUTED_VALUE"""),"7.62 AKM Mag")</f>
        <v>7.62 AKM Mag</v>
      </c>
      <c r="F15" s="2">
        <f>IFERROR(__xludf.DUMMYFUNCTION("""COMPUTED_VALUE"""),1.25)</f>
        <v>1.25</v>
      </c>
      <c r="G15" s="2" t="str">
        <f>IFERROR(__xludf.DUMMYFUNCTION("""COMPUTED_VALUE"""),"-")</f>
        <v>-</v>
      </c>
      <c r="H15" s="2" t="str">
        <f>IFERROR(__xludf.DUMMYFUNCTION("""COMPUTED_VALUE"""),"1,000 Dollars")</f>
        <v>1,000 Dollars</v>
      </c>
      <c r="I15" s="3" t="str">
        <f>IFERROR(__xludf.DUMMYFUNCTION("""COMPUTED_VALUE"""),"Ammo")</f>
        <v>Ammo</v>
      </c>
      <c r="J15" s="3" t="str">
        <f>IFERROR(__xludf.DUMMYFUNCTION("""COMPUTED_VALUE"""),"Yes")</f>
        <v>Yes</v>
      </c>
      <c r="K15" s="3"/>
      <c r="L15" s="3" t="str">
        <f>IFERROR(__xludf.DUMMYFUNCTION("""COMPUTED_VALUE"""),"sftp://graphic@103.41.58.141/marketing/WarzTH_LE/Item%20Dict/7.62AKM_mag.png")</f>
        <v>sftp://graphic@103.41.58.141/marketing/WarzTH_LE/Item%20Dict/7.62AKM_mag.png</v>
      </c>
      <c r="M15" s="3"/>
      <c r="N15" s="3" t="str">
        <f>IFERROR(__xludf.DUMMYFUNCTION("""COMPUTED_VALUE"""),"AKM Assault Rifle magazine. 40 7.62x39mm rounds")</f>
        <v>AKM Assault Rifle magazine. 40 7.62x39mm rounds</v>
      </c>
      <c r="O15" s="3"/>
    </row>
    <row r="16">
      <c r="A16" s="3" t="b">
        <f>IFERROR(__xludf.DUMMYFUNCTION("""COMPUTED_VALUE"""),TRUE)</f>
        <v>1</v>
      </c>
      <c r="B16" s="3" t="str">
        <f>IFERROR(__xludf.DUMMYFUNCTION("""COMPUTED_VALUE"""),"")</f>
        <v/>
      </c>
      <c r="C16" s="3">
        <f>IFERROR(__xludf.DUMMYFUNCTION("""COMPUTED_VALUE"""),400071.0)</f>
        <v>400071</v>
      </c>
      <c r="D16" s="5" t="str">
        <f>IFERROR(__xludf.DUMMYFUNCTION("""COMPUTED_VALUE"""),"https://cdn.exe.in.th/marketing/WarzTH_LE/Item%20Dict/9mm_mag.png")</f>
        <v>https://cdn.exe.in.th/marketing/WarzTH_LE/Item%20Dict/9mm_mag.png</v>
      </c>
      <c r="E16" s="6" t="str">
        <f>IFERROR(__xludf.DUMMYFUNCTION("""COMPUTED_VALUE"""),"9mm Mag")</f>
        <v>9mm Mag</v>
      </c>
      <c r="F16" s="2">
        <f>IFERROR(__xludf.DUMMYFUNCTION("""COMPUTED_VALUE"""),1.0)</f>
        <v>1</v>
      </c>
      <c r="G16" s="2" t="str">
        <f>IFERROR(__xludf.DUMMYFUNCTION("""COMPUTED_VALUE"""),"-")</f>
        <v>-</v>
      </c>
      <c r="H16" s="2" t="str">
        <f>IFERROR(__xludf.DUMMYFUNCTION("""COMPUTED_VALUE"""),"900 Dollars")</f>
        <v>900 Dollars</v>
      </c>
      <c r="I16" s="3" t="str">
        <f>IFERROR(__xludf.DUMMYFUNCTION("""COMPUTED_VALUE"""),"Ammo")</f>
        <v>Ammo</v>
      </c>
      <c r="J16" s="3" t="str">
        <f>IFERROR(__xludf.DUMMYFUNCTION("""COMPUTED_VALUE"""),"Yes")</f>
        <v>Yes</v>
      </c>
      <c r="K16" s="3"/>
      <c r="L16" s="3" t="str">
        <f>IFERROR(__xludf.DUMMYFUNCTION("""COMPUTED_VALUE"""),"sftp://graphic@103.41.58.141/marketing/WarzTH_LE/Item%20Dict/9mm_mag.png")</f>
        <v>sftp://graphic@103.41.58.141/marketing/WarzTH_LE/Item%20Dict/9mm_mag.png</v>
      </c>
      <c r="M16" s="3"/>
      <c r="N16" s="3" t="str">
        <f>IFERROR(__xludf.DUMMYFUNCTION("""COMPUTED_VALUE"""),"""15 rounds magazine of 9mm ammo for use with: B92, B93R and Jericho handguns""")</f>
        <v>"15 rounds magazine of 9mm ammo for use with: B92, B93R and Jericho handguns"</v>
      </c>
      <c r="O16" s="3"/>
    </row>
    <row r="17">
      <c r="A17" s="3" t="b">
        <f>IFERROR(__xludf.DUMMYFUNCTION("""COMPUTED_VALUE"""),TRUE)</f>
        <v>1</v>
      </c>
      <c r="B17" s="3" t="str">
        <f>IFERROR(__xludf.DUMMYFUNCTION("""COMPUTED_VALUE"""),"")</f>
        <v/>
      </c>
      <c r="C17" s="3">
        <f>IFERROR(__xludf.DUMMYFUNCTION("""COMPUTED_VALUE"""),400034.0)</f>
        <v>400034</v>
      </c>
      <c r="D17" s="5" t="str">
        <f>IFERROR(__xludf.DUMMYFUNCTION("""COMPUTED_VALUE"""),"https://cdn.exe.in.th/marketing/WarzTH_LE/Item%20Dict/9x19_para_mag.png")</f>
        <v>https://cdn.exe.in.th/marketing/WarzTH_LE/Item%20Dict/9x19_para_mag.png</v>
      </c>
      <c r="E17" s="3" t="str">
        <f>IFERROR(__xludf.DUMMYFUNCTION("""COMPUTED_VALUE"""),"9x19 Para Mag")</f>
        <v>9x19 Para Mag</v>
      </c>
      <c r="F17" s="2">
        <f>IFERROR(__xludf.DUMMYFUNCTION("""COMPUTED_VALUE"""),0.3)</f>
        <v>0.3</v>
      </c>
      <c r="G17" s="2" t="str">
        <f>IFERROR(__xludf.DUMMYFUNCTION("""COMPUTED_VALUE"""),"-")</f>
        <v>-</v>
      </c>
      <c r="H17" s="2" t="str">
        <f>IFERROR(__xludf.DUMMYFUNCTION("""COMPUTED_VALUE"""),"250 Dollars")</f>
        <v>250 Dollars</v>
      </c>
      <c r="I17" s="3" t="str">
        <f>IFERROR(__xludf.DUMMYFUNCTION("""COMPUTED_VALUE"""),"Ammo")</f>
        <v>Ammo</v>
      </c>
      <c r="J17" s="3" t="str">
        <f>IFERROR(__xludf.DUMMYFUNCTION("""COMPUTED_VALUE"""),"Yes")</f>
        <v>Yes</v>
      </c>
      <c r="K17" s="3"/>
      <c r="L17" s="3" t="str">
        <f>IFERROR(__xludf.DUMMYFUNCTION("""COMPUTED_VALUE"""),"sftp://graphic@103.41.58.141/marketing/WarzTH_LE/Item%20Dict/9x19_para_mag.png")</f>
        <v>sftp://graphic@103.41.58.141/marketing/WarzTH_LE/Item%20Dict/9x19_para_mag.png</v>
      </c>
      <c r="M17" s="3"/>
      <c r="N17" s="3" t="str">
        <f>IFERROR(__xludf.DUMMYFUNCTION("""COMPUTED_VALUE"""),"18 rounds 9x19mm Parabellum magazine specially designed for Sig Sauer P226 handgun")</f>
        <v>18 rounds 9x19mm Parabellum magazine specially designed for Sig Sauer P226 handgun</v>
      </c>
      <c r="O17" s="3"/>
    </row>
    <row r="18">
      <c r="A18" s="3" t="b">
        <f>IFERROR(__xludf.DUMMYFUNCTION("""COMPUTED_VALUE"""),TRUE)</f>
        <v>1</v>
      </c>
      <c r="B18" s="3" t="str">
        <f>IFERROR(__xludf.DUMMYFUNCTION("""COMPUTED_VALUE"""),"")</f>
        <v/>
      </c>
      <c r="C18" s="3">
        <f>IFERROR(__xludf.DUMMYFUNCTION("""COMPUTED_VALUE"""),101200.0)</f>
        <v>101200</v>
      </c>
      <c r="D18" s="5" t="str">
        <f>IFERROR(__xludf.DUMMYFUNCTION("""COMPUTED_VALUE"""),"https://cdn.exe.in.th/marketing/WarzTH_LE/Item%20Dict/aa_12.png")</f>
        <v>https://cdn.exe.in.th/marketing/WarzTH_LE/Item%20Dict/aa_12.png</v>
      </c>
      <c r="E18" s="3" t="str">
        <f>IFERROR(__xludf.DUMMYFUNCTION("""COMPUTED_VALUE"""),"AA-12")</f>
        <v>AA-12</v>
      </c>
      <c r="F18" s="2">
        <f>IFERROR(__xludf.DUMMYFUNCTION("""COMPUTED_VALUE"""),5.0)</f>
        <v>5</v>
      </c>
      <c r="G18" s="2" t="str">
        <f>IFERROR(__xludf.DUMMYFUNCTION("""COMPUTED_VALUE"""),"-")</f>
        <v>-</v>
      </c>
      <c r="H18" s="2" t="str">
        <f>IFERROR(__xludf.DUMMYFUNCTION("""COMPUTED_VALUE"""),"-")</f>
        <v>-</v>
      </c>
      <c r="I18" s="3" t="str">
        <f>IFERROR(__xludf.DUMMYFUNCTION("""COMPUTED_VALUE"""),"Weapon")</f>
        <v>Weapon</v>
      </c>
      <c r="J18" s="3" t="str">
        <f>IFERROR(__xludf.DUMMYFUNCTION("""COMPUTED_VALUE"""),"No")</f>
        <v>No</v>
      </c>
      <c r="K18" s="3" t="str">
        <f>IFERROR(__xludf.DUMMYFUNCTION("""COMPUTED_VALUE"""),"C")</f>
        <v>C</v>
      </c>
      <c r="L18" s="3" t="str">
        <f>IFERROR(__xludf.DUMMYFUNCTION("""COMPUTED_VALUE"""),"sftp://graphic@103.41.58.141/marketing/WarzTH_LE/Item%20Dict/aa_12.png")</f>
        <v>sftp://graphic@103.41.58.141/marketing/WarzTH_LE/Item%20Dict/aa_12.png</v>
      </c>
      <c r="M18" s="3"/>
      <c r="N18" s="3" t="str">
        <f>IFERROR(__xludf.DUMMYFUNCTION("""COMPUTED_VALUE"""),"The AA-12 gauge automatic shotgun was designed to fire 12 gauge rounds from a 20 round storage system. It causes a reasonable amount of damage per round.")</f>
        <v>The AA-12 gauge automatic shotgun was designed to fire 12 gauge rounds from a 20 round storage system. It causes a reasonable amount of damage per round.</v>
      </c>
      <c r="O18" s="3"/>
    </row>
    <row r="19">
      <c r="A19" s="3" t="b">
        <f>IFERROR(__xludf.DUMMYFUNCTION("""COMPUTED_VALUE"""),TRUE)</f>
        <v>1</v>
      </c>
      <c r="B19" s="3" t="str">
        <f>IFERROR(__xludf.DUMMYFUNCTION("""COMPUTED_VALUE"""),"")</f>
        <v/>
      </c>
      <c r="C19" s="3">
        <f>IFERROR(__xludf.DUMMYFUNCTION("""COMPUTED_VALUE"""),400050.0)</f>
        <v>400050</v>
      </c>
      <c r="D19" s="5" t="str">
        <f>IFERROR(__xludf.DUMMYFUNCTION("""COMPUTED_VALUE"""),"https://cdn.exe.in.th/marketing/WarzTH_LE/Item%20Dict/aa_12_drum.png")</f>
        <v>https://cdn.exe.in.th/marketing/WarzTH_LE/Item%20Dict/aa_12_drum.png</v>
      </c>
      <c r="E19" s="3" t="str">
        <f>IFERROR(__xludf.DUMMYFUNCTION("""COMPUTED_VALUE"""),"AA-12 Drum")</f>
        <v>AA-12 Drum</v>
      </c>
      <c r="F19" s="2">
        <f>IFERROR(__xludf.DUMMYFUNCTION("""COMPUTED_VALUE"""),1.5)</f>
        <v>1.5</v>
      </c>
      <c r="G19" s="2" t="str">
        <f>IFERROR(__xludf.DUMMYFUNCTION("""COMPUTED_VALUE"""),"-")</f>
        <v>-</v>
      </c>
      <c r="H19" s="2" t="str">
        <f>IFERROR(__xludf.DUMMYFUNCTION("""COMPUTED_VALUE"""),"1,250 Dollars")</f>
        <v>1,250 Dollars</v>
      </c>
      <c r="I19" s="3" t="str">
        <f>IFERROR(__xludf.DUMMYFUNCTION("""COMPUTED_VALUE"""),"Ammo")</f>
        <v>Ammo</v>
      </c>
      <c r="J19" s="3" t="str">
        <f>IFERROR(__xludf.DUMMYFUNCTION("""COMPUTED_VALUE"""),"Yes")</f>
        <v>Yes</v>
      </c>
      <c r="K19" s="3"/>
      <c r="L19" s="3" t="str">
        <f>IFERROR(__xludf.DUMMYFUNCTION("""COMPUTED_VALUE"""),"sftp://graphic@103.41.58.141/marketing/WarzTH_LE/Item%20Dict/aa_12_drum.png")</f>
        <v>sftp://graphic@103.41.58.141/marketing/WarzTH_LE/Item%20Dict/aa_12_drum.png</v>
      </c>
      <c r="M19" s="3"/>
      <c r="N19" s="3" t="str">
        <f>IFERROR(__xludf.DUMMYFUNCTION("""COMPUTED_VALUE"""),"12 gauge 20 rounds drum magazine for AA-12 shotgun")</f>
        <v>12 gauge 20 rounds drum magazine for AA-12 shotgun</v>
      </c>
      <c r="O19" s="3"/>
    </row>
    <row r="20">
      <c r="A20" s="3" t="b">
        <f>IFERROR(__xludf.DUMMYFUNCTION("""COMPUTED_VALUE"""),TRUE)</f>
        <v>1</v>
      </c>
      <c r="B20" s="3" t="str">
        <f>IFERROR(__xludf.DUMMYFUNCTION("""COMPUTED_VALUE"""),"")</f>
        <v/>
      </c>
      <c r="C20" s="3">
        <f>IFERROR(__xludf.DUMMYFUNCTION("""COMPUTED_VALUE"""),400003.0)</f>
        <v>400003</v>
      </c>
      <c r="D20" s="5" t="str">
        <f>IFERROR(__xludf.DUMMYFUNCTION("""COMPUTED_VALUE"""),"https://cdn.exe.in.th/marketing/WarzTH_LE/Item%20Dict/acog.png")</f>
        <v>https://cdn.exe.in.th/marketing/WarzTH_LE/Item%20Dict/acog.png</v>
      </c>
      <c r="E20" s="3" t="str">
        <f>IFERROR(__xludf.DUMMYFUNCTION("""COMPUTED_VALUE"""),"ACOG")</f>
        <v>ACOG</v>
      </c>
      <c r="F20" s="2">
        <f>IFERROR(__xludf.DUMMYFUNCTION("""COMPUTED_VALUE"""),2.0)</f>
        <v>2</v>
      </c>
      <c r="G20" s="2" t="str">
        <f>IFERROR(__xludf.DUMMYFUNCTION("""COMPUTED_VALUE"""),"20 GC")</f>
        <v>20 GC</v>
      </c>
      <c r="H20" s="2" t="str">
        <f>IFERROR(__xludf.DUMMYFUNCTION("""COMPUTED_VALUE"""),"2,000 Dollars")</f>
        <v>2,000 Dollars</v>
      </c>
      <c r="I20" s="3" t="str">
        <f>IFERROR(__xludf.DUMMYFUNCTION("""COMPUTED_VALUE"""),"Attachment")</f>
        <v>Attachment</v>
      </c>
      <c r="J20" s="3" t="str">
        <f>IFERROR(__xludf.DUMMYFUNCTION("""COMPUTED_VALUE"""),"No")</f>
        <v>No</v>
      </c>
      <c r="K20" s="3"/>
      <c r="L20" s="3" t="str">
        <f>IFERROR(__xludf.DUMMYFUNCTION("""COMPUTED_VALUE"""),"sftp://graphic@103.41.58.141/marketing/WarzTH_LE/Item%20Dict/acog.png")</f>
        <v>sftp://graphic@103.41.58.141/marketing/WarzTH_LE/Item%20Dict/acog.png</v>
      </c>
      <c r="M20" s="3"/>
      <c r="N20" s="3" t="str">
        <f>IFERROR(__xludf.DUMMYFUNCTION("""COMPUTED_VALUE"""),"The Acog is a rail mounted telescopic sight used to extend a shooters accuracy on medium to long range shots.")</f>
        <v>The Acog is a rail mounted telescopic sight used to extend a shooters accuracy on medium to long range shots.</v>
      </c>
      <c r="O20" s="3"/>
    </row>
    <row r="21">
      <c r="A21" s="3" t="b">
        <f>IFERROR(__xludf.DUMMYFUNCTION("""COMPUTED_VALUE"""),TRUE)</f>
        <v>1</v>
      </c>
      <c r="B21" s="3" t="str">
        <f>IFERROR(__xludf.DUMMYFUNCTION("""COMPUTED_VALUE"""),"")</f>
        <v/>
      </c>
      <c r="C21" s="3">
        <f>IFERROR(__xludf.DUMMYFUNCTION("""COMPUTED_VALUE"""),101323.0)</f>
        <v>101323</v>
      </c>
      <c r="D21" s="5" t="str">
        <f>IFERROR(__xludf.DUMMYFUNCTION("""COMPUTED_VALUE"""),"https://cdn.exe.in.th/marketing/WarzTH_LE/Item%20Dict/air_horn.png")</f>
        <v>https://cdn.exe.in.th/marketing/WarzTH_LE/Item%20Dict/air_horn.png</v>
      </c>
      <c r="E21" s="3" t="str">
        <f>IFERROR(__xludf.DUMMYFUNCTION("""COMPUTED_VALUE"""),"Air horn")</f>
        <v>Air horn</v>
      </c>
      <c r="F21" s="2">
        <f>IFERROR(__xludf.DUMMYFUNCTION("""COMPUTED_VALUE"""),3.0)</f>
        <v>3</v>
      </c>
      <c r="G21" s="2" t="str">
        <f>IFERROR(__xludf.DUMMYFUNCTION("""COMPUTED_VALUE"""),"-")</f>
        <v>-</v>
      </c>
      <c r="H21" s="2" t="str">
        <f>IFERROR(__xludf.DUMMYFUNCTION("""COMPUTED_VALUE"""),"-")</f>
        <v>-</v>
      </c>
      <c r="I21" s="3" t="str">
        <f>IFERROR(__xludf.DUMMYFUNCTION("""COMPUTED_VALUE"""),"Consumable")</f>
        <v>Consumable</v>
      </c>
      <c r="J21" s="3" t="str">
        <f>IFERROR(__xludf.DUMMYFUNCTION("""COMPUTED_VALUE"""),"Yes")</f>
        <v>Yes</v>
      </c>
      <c r="K21" s="3"/>
      <c r="L21" s="3" t="str">
        <f>IFERROR(__xludf.DUMMYFUNCTION("""COMPUTED_VALUE"""),"sftp://graphic@103.41.58.141/marketing/WarzTH_LE/Item%20Dict/air_horn.png")</f>
        <v>sftp://graphic@103.41.58.141/marketing/WarzTH_LE/Item%20Dict/air_horn.png</v>
      </c>
      <c r="M21" s="3"/>
      <c r="N21" s="3" t="str">
        <f>IFERROR(__xludf.DUMMYFUNCTION("""COMPUTED_VALUE"""),"Do your friends keep getting attacked? Be the hero and blow your air horn to make the infected come after you instead.")</f>
        <v>Do your friends keep getting attacked? Be the hero and blow your air horn to make the infected come after you instead.</v>
      </c>
      <c r="O21" s="3"/>
    </row>
    <row r="22">
      <c r="A22" s="3" t="b">
        <f>IFERROR(__xludf.DUMMYFUNCTION("""COMPUTED_VALUE"""),TRUE)</f>
        <v>1</v>
      </c>
      <c r="B22" s="3" t="str">
        <f>IFERROR(__xludf.DUMMYFUNCTION("""COMPUTED_VALUE"""),"")</f>
        <v/>
      </c>
      <c r="C22" s="3">
        <f>IFERROR(__xludf.DUMMYFUNCTION("""COMPUTED_VALUE"""),101022.0)</f>
        <v>101022</v>
      </c>
      <c r="D22" s="5" t="str">
        <f>IFERROR(__xludf.DUMMYFUNCTION("""COMPUTED_VALUE"""),"https://cdn.exe.in.th/marketing/WarzTH_LE/Item%20Dict/ak_74m.png")</f>
        <v>https://cdn.exe.in.th/marketing/WarzTH_LE/Item%20Dict/ak_74m.png</v>
      </c>
      <c r="E22" s="3" t="str">
        <f>IFERROR(__xludf.DUMMYFUNCTION("""COMPUTED_VALUE"""),"AK-74M")</f>
        <v>AK-74M</v>
      </c>
      <c r="F22" s="2">
        <f>IFERROR(__xludf.DUMMYFUNCTION("""COMPUTED_VALUE"""),4.0)</f>
        <v>4</v>
      </c>
      <c r="G22" s="2" t="str">
        <f>IFERROR(__xludf.DUMMYFUNCTION("""COMPUTED_VALUE"""),"-")</f>
        <v>-</v>
      </c>
      <c r="H22" s="2" t="str">
        <f>IFERROR(__xludf.DUMMYFUNCTION("""COMPUTED_VALUE"""),"-")</f>
        <v>-</v>
      </c>
      <c r="I22" s="3" t="str">
        <f>IFERROR(__xludf.DUMMYFUNCTION("""COMPUTED_VALUE"""),"Weapon")</f>
        <v>Weapon</v>
      </c>
      <c r="J22" s="3" t="str">
        <f>IFERROR(__xludf.DUMMYFUNCTION("""COMPUTED_VALUE"""),"No")</f>
        <v>No</v>
      </c>
      <c r="K22" s="3" t="str">
        <f>IFERROR(__xludf.DUMMYFUNCTION("""COMPUTED_VALUE"""),"B")</f>
        <v>B</v>
      </c>
      <c r="L22" s="3" t="str">
        <f>IFERROR(__xludf.DUMMYFUNCTION("""COMPUTED_VALUE"""),"sftp://graphic@103.41.58.141/marketing/WarzTH_LE/Item%20Dict/ak_74m.png")</f>
        <v>sftp://graphic@103.41.58.141/marketing/WarzTH_LE/Item%20Dict/ak_74m.png</v>
      </c>
      <c r="M22" s="3"/>
      <c r="N22" s="3" t="str">
        <f>IFERROR(__xludf.DUMMYFUNCTION("""COMPUTED_VALUE"""),"The AK-74M assault rifle is an upgrade of the AK 74 design with a slightly increased rate of fire. It fires a 5.45 x 39 mm round accurately at medium ranges.")</f>
        <v>The AK-74M assault rifle is an upgrade of the AK 74 design with a slightly increased rate of fire. It fires a 5.45 x 39 mm round accurately at medium ranges.</v>
      </c>
      <c r="O22" s="3"/>
    </row>
    <row r="23">
      <c r="A23" s="3" t="b">
        <f>IFERROR(__xludf.DUMMYFUNCTION("""COMPUTED_VALUE"""),TRUE)</f>
        <v>1</v>
      </c>
      <c r="B23" s="3" t="str">
        <f>IFERROR(__xludf.DUMMYFUNCTION("""COMPUTED_VALUE"""),"")</f>
        <v/>
      </c>
      <c r="C23" s="3">
        <f>IFERROR(__xludf.DUMMYFUNCTION("""COMPUTED_VALUE"""),101032.0)</f>
        <v>101032</v>
      </c>
      <c r="D23" s="5" t="str">
        <f>IFERROR(__xludf.DUMMYFUNCTION("""COMPUTED_VALUE"""),"https://cdn.exe.in.th/marketing/WarzTH_LE/Item%20Dict/akm.png")</f>
        <v>https://cdn.exe.in.th/marketing/WarzTH_LE/Item%20Dict/akm.png</v>
      </c>
      <c r="E23" s="3" t="str">
        <f>IFERROR(__xludf.DUMMYFUNCTION("""COMPUTED_VALUE"""),"AKM")</f>
        <v>AKM</v>
      </c>
      <c r="F23" s="2">
        <f>IFERROR(__xludf.DUMMYFUNCTION("""COMPUTED_VALUE"""),2.0)</f>
        <v>2</v>
      </c>
      <c r="G23" s="2" t="str">
        <f>IFERROR(__xludf.DUMMYFUNCTION("""COMPUTED_VALUE"""),"-")</f>
        <v>-</v>
      </c>
      <c r="H23" s="2" t="str">
        <f>IFERROR(__xludf.DUMMYFUNCTION("""COMPUTED_VALUE"""),"-")</f>
        <v>-</v>
      </c>
      <c r="I23" s="3" t="str">
        <f>IFERROR(__xludf.DUMMYFUNCTION("""COMPUTED_VALUE"""),"Weapon")</f>
        <v>Weapon</v>
      </c>
      <c r="J23" s="3" t="str">
        <f>IFERROR(__xludf.DUMMYFUNCTION("""COMPUTED_VALUE"""),"No")</f>
        <v>No</v>
      </c>
      <c r="K23" s="3" t="str">
        <f>IFERROR(__xludf.DUMMYFUNCTION("""COMPUTED_VALUE"""),"B")</f>
        <v>B</v>
      </c>
      <c r="L23" s="3" t="str">
        <f>IFERROR(__xludf.DUMMYFUNCTION("""COMPUTED_VALUE"""),"sftp://graphic@103.41.58.141/marketing/WarzTH_LE/Item%20Dict/akm.png")</f>
        <v>sftp://graphic@103.41.58.141/marketing/WarzTH_LE/Item%20Dict/akm.png</v>
      </c>
      <c r="M23" s="3"/>
      <c r="N23" s="3" t="str">
        <f>IFERROR(__xludf.DUMMYFUNCTION("""COMPUTED_VALUE"""),"The AKM is an assault rifle that was designed as a simplified version of the AK-47 rifle. It fires a 7.62 x 39 mm round and is relatively effective at medium ranges.")</f>
        <v>The AKM is an assault rifle that was designed as a simplified version of the AK-47 rifle. It fires a 7.62 x 39 mm round and is relatively effective at medium ranges.</v>
      </c>
      <c r="O23" s="3"/>
    </row>
    <row r="24">
      <c r="A24" s="3" t="b">
        <f>IFERROR(__xludf.DUMMYFUNCTION("""COMPUTED_VALUE"""),TRUE)</f>
        <v>1</v>
      </c>
      <c r="B24" s="3" t="str">
        <f>IFERROR(__xludf.DUMMYFUNCTION("""COMPUTED_VALUE"""),"")</f>
        <v/>
      </c>
      <c r="C24" s="3">
        <f>IFERROR(__xludf.DUMMYFUNCTION("""COMPUTED_VALUE"""),101035.0)</f>
        <v>101035</v>
      </c>
      <c r="D24" s="5" t="str">
        <f>IFERROR(__xludf.DUMMYFUNCTION("""COMPUTED_VALUE"""),"https://cdn.exe.in.th/marketing/WarzTH_LE/Item%20Dict/aks_74u.png")</f>
        <v>https://cdn.exe.in.th/marketing/WarzTH_LE/Item%20Dict/aks_74u.png</v>
      </c>
      <c r="E24" s="3" t="str">
        <f>IFERROR(__xludf.DUMMYFUNCTION("""COMPUTED_VALUE"""),"AKS-74U")</f>
        <v>AKS-74U</v>
      </c>
      <c r="F24" s="2">
        <f>IFERROR(__xludf.DUMMYFUNCTION("""COMPUTED_VALUE"""),2.0)</f>
        <v>2</v>
      </c>
      <c r="G24" s="2" t="str">
        <f>IFERROR(__xludf.DUMMYFUNCTION("""COMPUTED_VALUE"""),"-")</f>
        <v>-</v>
      </c>
      <c r="H24" s="2" t="str">
        <f>IFERROR(__xludf.DUMMYFUNCTION("""COMPUTED_VALUE"""),"-")</f>
        <v>-</v>
      </c>
      <c r="I24" s="3" t="str">
        <f>IFERROR(__xludf.DUMMYFUNCTION("""COMPUTED_VALUE"""),"Weapon")</f>
        <v>Weapon</v>
      </c>
      <c r="J24" s="3" t="str">
        <f>IFERROR(__xludf.DUMMYFUNCTION("""COMPUTED_VALUE"""),"No")</f>
        <v>No</v>
      </c>
      <c r="K24" s="3" t="str">
        <f>IFERROR(__xludf.DUMMYFUNCTION("""COMPUTED_VALUE"""),"B")</f>
        <v>B</v>
      </c>
      <c r="L24" s="3" t="str">
        <f>IFERROR(__xludf.DUMMYFUNCTION("""COMPUTED_VALUE"""),"sftp://graphic@103.41.58.141/marketing/WarzTH_LE/Item%20Dict/aks_74u.png")</f>
        <v>sftp://graphic@103.41.58.141/marketing/WarzTH_LE/Item%20Dict/aks_74u.png</v>
      </c>
      <c r="M24" s="3"/>
      <c r="N24" s="3" t="str">
        <f>IFERROR(__xludf.DUMMYFUNCTION("""COMPUTED_VALUE"""),"The AKS-74U is a shortened gas operated carbine version of the AKS-74 assault rifle. It fires a 5.45 x 39 mm round and is very effective at medium ranges.")</f>
        <v>The AKS-74U is a shortened gas operated carbine version of the AKS-74 assault rifle. It fires a 5.45 x 39 mm round and is very effective at medium ranges.</v>
      </c>
      <c r="O24" s="3"/>
    </row>
    <row r="25">
      <c r="A25" s="3" t="b">
        <f>IFERROR(__xludf.DUMMYFUNCTION("""COMPUTED_VALUE"""),TRUE)</f>
        <v>1</v>
      </c>
      <c r="B25" s="3" t="str">
        <f>IFERROR(__xludf.DUMMYFUNCTION("""COMPUTED_VALUE"""),"")</f>
        <v/>
      </c>
      <c r="C25" s="3">
        <f>IFERROR(__xludf.DUMMYFUNCTION("""COMPUTED_VALUE"""),20185.0)</f>
        <v>20185</v>
      </c>
      <c r="D25" s="5" t="str">
        <f>IFERROR(__xludf.DUMMYFUNCTION("""COMPUTED_VALUE"""),"https://cdn.exe.in.th/marketing/WarzTH_LE/Item%20Dict/alice_rucksack.png")</f>
        <v>https://cdn.exe.in.th/marketing/WarzTH_LE/Item%20Dict/alice_rucksack.png</v>
      </c>
      <c r="E25" s="3" t="str">
        <f>IFERROR(__xludf.DUMMYFUNCTION("""COMPUTED_VALUE"""),"ALICE Rucksack")</f>
        <v>ALICE Rucksack</v>
      </c>
      <c r="F25" s="2">
        <f>IFERROR(__xludf.DUMMYFUNCTION("""COMPUTED_VALUE"""),2.5)</f>
        <v>2.5</v>
      </c>
      <c r="G25" s="2" t="str">
        <f>IFERROR(__xludf.DUMMYFUNCTION("""COMPUTED_VALUE"""),"25 GC")</f>
        <v>25 GC</v>
      </c>
      <c r="H25" s="2" t="str">
        <f>IFERROR(__xludf.DUMMYFUNCTION("""COMPUTED_VALUE"""),"3,000 Dollars")</f>
        <v>3,000 Dollars</v>
      </c>
      <c r="I25" s="3" t="str">
        <f>IFERROR(__xludf.DUMMYFUNCTION("""COMPUTED_VALUE"""),"Equipment")</f>
        <v>Equipment</v>
      </c>
      <c r="J25" s="3" t="str">
        <f>IFERROR(__xludf.DUMMYFUNCTION("""COMPUTED_VALUE"""),"No")</f>
        <v>No</v>
      </c>
      <c r="K25" s="3"/>
      <c r="L25" s="3" t="str">
        <f>IFERROR(__xludf.DUMMYFUNCTION("""COMPUTED_VALUE"""),"sftp://graphic@103.41.58.141/marketing/WarzTH_LE/Item%20Dict/alice_rucksack.png")</f>
        <v>sftp://graphic@103.41.58.141/marketing/WarzTH_LE/Item%20Dict/alice_rucksack.png</v>
      </c>
      <c r="M25" s="3"/>
      <c r="N25" s="3" t="str">
        <f>IFERROR(__xludf.DUMMYFUNCTION("""COMPUTED_VALUE"""),"Large backpack that fits everything you will need. The All-purpose Lightweight Individual Carrying Equipment. Dont forget the poo tickets!")</f>
        <v>Large backpack that fits everything you will need. The All-purpose Lightweight Individual Carrying Equipment. Dont forget the poo tickets!</v>
      </c>
      <c r="O25" s="3"/>
    </row>
    <row r="26">
      <c r="A26" s="3" t="b">
        <f>IFERROR(__xludf.DUMMYFUNCTION("""COMPUTED_VALUE"""),TRUE)</f>
        <v>1</v>
      </c>
      <c r="B26" s="3" t="str">
        <f>IFERROR(__xludf.DUMMYFUNCTION("""COMPUTED_VALUE"""),"")</f>
        <v/>
      </c>
      <c r="C26" s="3">
        <f>IFERROR(__xludf.DUMMYFUNCTION("""COMPUTED_VALUE"""),400145.0)</f>
        <v>400145</v>
      </c>
      <c r="D26" s="5" t="str">
        <f>IFERROR(__xludf.DUMMYFUNCTION("""COMPUTED_VALUE"""),"https://cdn.exe.in.th/marketing/WarzTH_LE/Item%20Dict/anaconda_mag.png")</f>
        <v>https://cdn.exe.in.th/marketing/WarzTH_LE/Item%20Dict/anaconda_mag.png</v>
      </c>
      <c r="E26" s="3" t="str">
        <f>IFERROR(__xludf.DUMMYFUNCTION("""COMPUTED_VALUE"""),"Anaconda rounds")</f>
        <v>Anaconda rounds</v>
      </c>
      <c r="F26" s="2">
        <f>IFERROR(__xludf.DUMMYFUNCTION("""COMPUTED_VALUE"""),0.6)</f>
        <v>0.6</v>
      </c>
      <c r="G26" s="2" t="str">
        <f>IFERROR(__xludf.DUMMYFUNCTION("""COMPUTED_VALUE"""),"6 GC")</f>
        <v>6 GC</v>
      </c>
      <c r="H26" s="2" t="str">
        <f>IFERROR(__xludf.DUMMYFUNCTION("""COMPUTED_VALUE"""),"500 Dollars")</f>
        <v>500 Dollars</v>
      </c>
      <c r="I26" s="3" t="str">
        <f>IFERROR(__xludf.DUMMYFUNCTION("""COMPUTED_VALUE"""),"Ammo")</f>
        <v>Ammo</v>
      </c>
      <c r="J26" s="3" t="str">
        <f>IFERROR(__xludf.DUMMYFUNCTION("""COMPUTED_VALUE"""),"Yes")</f>
        <v>Yes</v>
      </c>
      <c r="K26" s="3"/>
      <c r="L26" s="3" t="str">
        <f>IFERROR(__xludf.DUMMYFUNCTION("""COMPUTED_VALUE"""),"sftp://graphic@103.41.58.141/marketing/WarzTH_LE/Item%20Dict/anaconda_mag.png")</f>
        <v>sftp://graphic@103.41.58.141/marketing/WarzTH_LE/Item%20Dict/anaconda_mag.png</v>
      </c>
      <c r="M26" s="3"/>
      <c r="N26" s="3" t="str">
        <f>IFERROR(__xludf.DUMMYFUNCTION("""COMPUTED_VALUE"""),"6 rounds for the Anaconda")</f>
        <v>6 rounds for the Anaconda</v>
      </c>
      <c r="O26" s="3"/>
    </row>
    <row r="27">
      <c r="A27" s="3" t="b">
        <f>IFERROR(__xludf.DUMMYFUNCTION("""COMPUTED_VALUE"""),TRUE)</f>
        <v>1</v>
      </c>
      <c r="B27" s="3" t="str">
        <f>IFERROR(__xludf.DUMMYFUNCTION("""COMPUTED_VALUE"""),"")</f>
        <v/>
      </c>
      <c r="C27" s="3">
        <f>IFERROR(__xludf.DUMMYFUNCTION("""COMPUTED_VALUE"""),101256.0)</f>
        <v>101256</v>
      </c>
      <c r="D27" s="5" t="str">
        <f>IFERROR(__xludf.DUMMYFUNCTION("""COMPUTED_VALUE"""),"https://cdn.exe.in.th/marketing/WarzTH_LE/Item%20Dict/anitibiotics.png")</f>
        <v>https://cdn.exe.in.th/marketing/WarzTH_LE/Item%20Dict/anitibiotics.png</v>
      </c>
      <c r="E27" s="3" t="str">
        <f>IFERROR(__xludf.DUMMYFUNCTION("""COMPUTED_VALUE"""),"Antibiotics")</f>
        <v>Antibiotics</v>
      </c>
      <c r="F27" s="2">
        <f>IFERROR(__xludf.DUMMYFUNCTION("""COMPUTED_VALUE"""),0.5)</f>
        <v>0.5</v>
      </c>
      <c r="G27" s="2" t="str">
        <f>IFERROR(__xludf.DUMMYFUNCTION("""COMPUTED_VALUE"""),"5 GC")</f>
        <v>5 GC</v>
      </c>
      <c r="H27" s="2" t="str">
        <f>IFERROR(__xludf.DUMMYFUNCTION("""COMPUTED_VALUE"""),"500 Dollars")</f>
        <v>500 Dollars</v>
      </c>
      <c r="I27" s="3" t="str">
        <f>IFERROR(__xludf.DUMMYFUNCTION("""COMPUTED_VALUE"""),"Consumable")</f>
        <v>Consumable</v>
      </c>
      <c r="J27" s="3" t="str">
        <f>IFERROR(__xludf.DUMMYFUNCTION("""COMPUTED_VALUE"""),"Yes")</f>
        <v>Yes</v>
      </c>
      <c r="K27" s="3"/>
      <c r="L27" s="3" t="str">
        <f>IFERROR(__xludf.DUMMYFUNCTION("""COMPUTED_VALUE"""),"sftp://graphic@103.41.58.141/marketing/WarzTH_LE/Item%20Dict/anitibiotics.png")</f>
        <v>sftp://graphic@103.41.58.141/marketing/WarzTH_LE/Item%20Dict/anitibiotics.png</v>
      </c>
      <c r="M27" s="3"/>
      <c r="N27" s="3" t="str">
        <f>IFERROR(__xludf.DUMMYFUNCTION("""COMPUTED_VALUE"""),"Over the counter antibiotics that aid in curing colds and other minor ailments.")</f>
        <v>Over the counter antibiotics that aid in curing colds and other minor ailments.</v>
      </c>
      <c r="O27" s="3"/>
    </row>
    <row r="28">
      <c r="A28" s="3" t="b">
        <f>IFERROR(__xludf.DUMMYFUNCTION("""COMPUTED_VALUE"""),TRUE)</f>
        <v>1</v>
      </c>
      <c r="B28" s="3" t="str">
        <f>IFERROR(__xludf.DUMMYFUNCTION("""COMPUTED_VALUE"""),"")</f>
        <v/>
      </c>
      <c r="C28" s="3">
        <f>IFERROR(__xludf.DUMMYFUNCTION("""COMPUTED_VALUE"""),400140.0)</f>
        <v>400140</v>
      </c>
      <c r="D28" s="5" t="str">
        <f>IFERROR(__xludf.DUMMYFUNCTION("""COMPUTED_VALUE"""),"https://cdn.exe.in.th/marketing/WarzTH_LE/Item%20Dict/arrow_explo.png")</f>
        <v>https://cdn.exe.in.th/marketing/WarzTH_LE/Item%20Dict/arrow_explo.png</v>
      </c>
      <c r="E28" s="3" t="str">
        <f>IFERROR(__xludf.DUMMYFUNCTION("""COMPUTED_VALUE"""),"Arrow")</f>
        <v>Arrow</v>
      </c>
      <c r="F28" s="2">
        <f>IFERROR(__xludf.DUMMYFUNCTION("""COMPUTED_VALUE"""),0.2)</f>
        <v>0.2</v>
      </c>
      <c r="G28" s="2" t="str">
        <f>IFERROR(__xludf.DUMMYFUNCTION("""COMPUTED_VALUE"""),"2 GC")</f>
        <v>2 GC</v>
      </c>
      <c r="H28" s="2" t="str">
        <f>IFERROR(__xludf.DUMMYFUNCTION("""COMPUTED_VALUE"""),"200 Dollars")</f>
        <v>200 Dollars</v>
      </c>
      <c r="I28" s="3" t="str">
        <f>IFERROR(__xludf.DUMMYFUNCTION("""COMPUTED_VALUE"""),"Ammo")</f>
        <v>Ammo</v>
      </c>
      <c r="J28" s="3" t="str">
        <f>IFERROR(__xludf.DUMMYFUNCTION("""COMPUTED_VALUE"""),"Yes")</f>
        <v>Yes</v>
      </c>
      <c r="K28" s="3"/>
      <c r="L28" s="3" t="str">
        <f>IFERROR(__xludf.DUMMYFUNCTION("""COMPUTED_VALUE"""),"sftp://graphic@103.41.58.141/marketing/WarzTH_LE/Item%20Dict/arrow_explo.png")</f>
        <v>sftp://graphic@103.41.58.141/marketing/WarzTH_LE/Item%20Dict/arrow_explo.png</v>
      </c>
      <c r="M28" s="3"/>
      <c r="N28" s="3" t="str">
        <f>IFERROR(__xludf.DUMMYFUNCTION("""COMPUTED_VALUE"""),"Explosive bolt (arrow) for the crossbow")</f>
        <v>Explosive bolt (arrow) for the crossbow</v>
      </c>
      <c r="O28" s="3"/>
    </row>
    <row r="29">
      <c r="A29" s="3" t="b">
        <f>IFERROR(__xludf.DUMMYFUNCTION("""COMPUTED_VALUE"""),TRUE)</f>
        <v>1</v>
      </c>
      <c r="B29" s="3" t="str">
        <f>IFERROR(__xludf.DUMMYFUNCTION("""COMPUTED_VALUE"""),"")</f>
        <v/>
      </c>
      <c r="C29" s="3">
        <f>IFERROR(__xludf.DUMMYFUNCTION("""COMPUTED_VALUE"""),20201.0)</f>
        <v>20201</v>
      </c>
      <c r="D29" s="5" t="str">
        <f>IFERROR(__xludf.DUMMYFUNCTION("""COMPUTED_VALUE"""),"https://cdn.exe.in.th/marketing/WarzTH_LE/Item%20Dict/asian_male.png")</f>
        <v>https://cdn.exe.in.th/marketing/WarzTH_LE/Item%20Dict/asian_male.png</v>
      </c>
      <c r="E29" s="3" t="str">
        <f>IFERROR(__xludf.DUMMYFUNCTION("""COMPUTED_VALUE"""),"Asian Male")</f>
        <v>Asian Male</v>
      </c>
      <c r="F29" s="2" t="str">
        <f>IFERROR(__xludf.DUMMYFUNCTION("""COMPUTED_VALUE"""),"-")</f>
        <v>-</v>
      </c>
      <c r="G29" s="2" t="str">
        <f>IFERROR(__xludf.DUMMYFUNCTION("""COMPUTED_VALUE"""),"-")</f>
        <v>-</v>
      </c>
      <c r="H29" s="2" t="str">
        <f>IFERROR(__xludf.DUMMYFUNCTION("""COMPUTED_VALUE"""),"-")</f>
        <v>-</v>
      </c>
      <c r="I29" s="3" t="str">
        <f>IFERROR(__xludf.DUMMYFUNCTION("""COMPUTED_VALUE"""),"Character")</f>
        <v>Character</v>
      </c>
      <c r="J29" s="3" t="str">
        <f>IFERROR(__xludf.DUMMYFUNCTION("""COMPUTED_VALUE"""),"No")</f>
        <v>No</v>
      </c>
      <c r="K29" s="3"/>
      <c r="L29" s="3" t="str">
        <f>IFERROR(__xludf.DUMMYFUNCTION("""COMPUTED_VALUE"""),"sftp://graphic@103.41.58.141/marketing/WarzTH_LE/Item%20Dict/asian_male.png")</f>
        <v>sftp://graphic@103.41.58.141/marketing/WarzTH_LE/Item%20Dict/asian_male.png</v>
      </c>
      <c r="M29" s="3"/>
      <c r="N29" s="3" t="str">
        <f>IFERROR(__xludf.DUMMYFUNCTION("""COMPUTED_VALUE"""),"-")</f>
        <v>-</v>
      </c>
      <c r="O29" s="3"/>
    </row>
    <row r="30">
      <c r="A30" s="3" t="b">
        <f>IFERROR(__xludf.DUMMYFUNCTION("""COMPUTED_VALUE"""),TRUE)</f>
        <v>1</v>
      </c>
      <c r="B30" s="3" t="str">
        <f>IFERROR(__xludf.DUMMYFUNCTION("""COMPUTED_VALUE"""),"")</f>
        <v/>
      </c>
      <c r="C30" s="3">
        <f>IFERROR(__xludf.DUMMYFUNCTION("""COMPUTED_VALUE"""),20193.0)</f>
        <v>20193</v>
      </c>
      <c r="D30" s="5" t="str">
        <f>IFERROR(__xludf.DUMMYFUNCTION("""COMPUTED_VALUE"""),"https://cdn.exe.in.th/marketing/WarzTH_LE/Item%20Dict/average_joe.png")</f>
        <v>https://cdn.exe.in.th/marketing/WarzTH_LE/Item%20Dict/average_joe.png</v>
      </c>
      <c r="E30" s="3" t="str">
        <f>IFERROR(__xludf.DUMMYFUNCTION("""COMPUTED_VALUE"""),"Average Joe")</f>
        <v>Average Joe</v>
      </c>
      <c r="F30" s="2">
        <f>IFERROR(__xludf.DUMMYFUNCTION("""COMPUTED_VALUE"""),90.0)</f>
        <v>90</v>
      </c>
      <c r="G30" s="2" t="str">
        <f>IFERROR(__xludf.DUMMYFUNCTION("""COMPUTED_VALUE"""),"900 GC")</f>
        <v>900 GC</v>
      </c>
      <c r="H30" s="2" t="str">
        <f>IFERROR(__xludf.DUMMYFUNCTION("""COMPUTED_VALUE"""),"72,000 Dollars")</f>
        <v>72,000 Dollars</v>
      </c>
      <c r="I30" s="3" t="str">
        <f>IFERROR(__xludf.DUMMYFUNCTION("""COMPUTED_VALUE"""),"Character")</f>
        <v>Character</v>
      </c>
      <c r="J30" s="3" t="str">
        <f>IFERROR(__xludf.DUMMYFUNCTION("""COMPUTED_VALUE"""),"No")</f>
        <v>No</v>
      </c>
      <c r="K30" s="3"/>
      <c r="L30" s="3" t="str">
        <f>IFERROR(__xludf.DUMMYFUNCTION("""COMPUTED_VALUE"""),"sftp://graphic@103.41.58.141/marketing/WarzTH_LE/Item%20Dict/average_joe.png")</f>
        <v>sftp://graphic@103.41.58.141/marketing/WarzTH_LE/Item%20Dict/average_joe.png</v>
      </c>
      <c r="M30" s="3"/>
      <c r="N30" s="3" t="str">
        <f>IFERROR(__xludf.DUMMYFUNCTION("""COMPUTED_VALUE"""),"-")</f>
        <v>-</v>
      </c>
      <c r="O30" s="3"/>
    </row>
    <row r="31">
      <c r="A31" s="3" t="b">
        <f>IFERROR(__xludf.DUMMYFUNCTION("""COMPUTED_VALUE"""),TRUE)</f>
        <v>1</v>
      </c>
      <c r="B31" s="3" t="str">
        <f>IFERROR(__xludf.DUMMYFUNCTION("""COMPUTED_VALUE"""),"")</f>
        <v/>
      </c>
      <c r="C31" s="3">
        <f>IFERROR(__xludf.DUMMYFUNCTION("""COMPUTED_VALUE"""),400043.0)</f>
        <v>400043</v>
      </c>
      <c r="D31" s="5" t="str">
        <f>IFERROR(__xludf.DUMMYFUNCTION("""COMPUTED_VALUE"""),"https://cdn.exe.in.th/marketing/WarzTH_LE/Item%20Dict/.338_ammo.png")</f>
        <v>https://cdn.exe.in.th/marketing/WarzTH_LE/Item%20Dict/.338_ammo.png</v>
      </c>
      <c r="E31" s="3" t="str">
        <f>IFERROR(__xludf.DUMMYFUNCTION("""COMPUTED_VALUE"""),"AWM .338 Magnum ammo")</f>
        <v>AWM .338 Magnum ammo</v>
      </c>
      <c r="F31" s="2" t="str">
        <f>IFERROR(__xludf.DUMMYFUNCTION("""COMPUTED_VALUE"""),"-")</f>
        <v>-</v>
      </c>
      <c r="G31" s="2" t="str">
        <f>IFERROR(__xludf.DUMMYFUNCTION("""COMPUTED_VALUE"""),"-")</f>
        <v>-</v>
      </c>
      <c r="H31" s="2" t="str">
        <f>IFERROR(__xludf.DUMMYFUNCTION("""COMPUTED_VALUE"""),"-")</f>
        <v>-</v>
      </c>
      <c r="I31" s="3" t="str">
        <f>IFERROR(__xludf.DUMMYFUNCTION("""COMPUTED_VALUE"""),"Ammo")</f>
        <v>Ammo</v>
      </c>
      <c r="J31" s="3" t="str">
        <f>IFERROR(__xludf.DUMMYFUNCTION("""COMPUTED_VALUE"""),"Yes")</f>
        <v>Yes</v>
      </c>
      <c r="K31" s="3"/>
      <c r="L31" s="3" t="str">
        <f>IFERROR(__xludf.DUMMYFUNCTION("""COMPUTED_VALUE"""),"sftp://graphic@103.41.58.141/marketing/WarzTH_LE/Item%20Dict/.338_ammo.png")</f>
        <v>sftp://graphic@103.41.58.141/marketing/WarzTH_LE/Item%20Dict/.338_ammo.png</v>
      </c>
      <c r="M31" s="3"/>
      <c r="N31" s="3" t="str">
        <f>IFERROR(__xludf.DUMMYFUNCTION("""COMPUTED_VALUE"""),"8.6x70mm specialized rimless bottlenecked centerfire 10 rounds cartridge. Specifically designed for AWM rifle")</f>
        <v>8.6x70mm specialized rimless bottlenecked centerfire 10 rounds cartridge. Specifically designed for AWM rifle</v>
      </c>
      <c r="O31" s="3"/>
    </row>
    <row r="32">
      <c r="A32" s="3" t="b">
        <f>IFERROR(__xludf.DUMMYFUNCTION("""COMPUTED_VALUE"""),TRUE)</f>
        <v>1</v>
      </c>
      <c r="B32" s="3" t="str">
        <f>IFERROR(__xludf.DUMMYFUNCTION("""COMPUTED_VALUE"""),"")</f>
        <v/>
      </c>
      <c r="C32" s="3">
        <f>IFERROR(__xludf.DUMMYFUNCTION("""COMPUTED_VALUE"""),101087.0)</f>
        <v>101087</v>
      </c>
      <c r="D32" s="5" t="str">
        <f>IFERROR(__xludf.DUMMYFUNCTION("""COMPUTED_VALUE"""),"https://cdn.exe.in.th/marketing/WarzTH_LE/Item%20Dict/aw_magnum.png")</f>
        <v>https://cdn.exe.in.th/marketing/WarzTH_LE/Item%20Dict/aw_magnum.png</v>
      </c>
      <c r="E32" s="3" t="str">
        <f>IFERROR(__xludf.DUMMYFUNCTION("""COMPUTED_VALUE"""),"AW Magnum")</f>
        <v>AW Magnum</v>
      </c>
      <c r="F32" s="2">
        <f>IFERROR(__xludf.DUMMYFUNCTION("""COMPUTED_VALUE"""),12000.0)</f>
        <v>12000</v>
      </c>
      <c r="G32" s="2" t="str">
        <f>IFERROR(__xludf.DUMMYFUNCTION("""COMPUTED_VALUE"""),"-")</f>
        <v>-</v>
      </c>
      <c r="H32" s="2" t="str">
        <f>IFERROR(__xludf.DUMMYFUNCTION("""COMPUTED_VALUE"""),"-")</f>
        <v>-</v>
      </c>
      <c r="I32" s="3" t="str">
        <f>IFERROR(__xludf.DUMMYFUNCTION("""COMPUTED_VALUE"""),"Weapon")</f>
        <v>Weapon</v>
      </c>
      <c r="J32" s="3" t="str">
        <f>IFERROR(__xludf.DUMMYFUNCTION("""COMPUTED_VALUE"""),"No")</f>
        <v>No</v>
      </c>
      <c r="K32" s="3" t="str">
        <f>IFERROR(__xludf.DUMMYFUNCTION("""COMPUTED_VALUE"""),"SR")</f>
        <v>SR</v>
      </c>
      <c r="L32" s="3" t="str">
        <f>IFERROR(__xludf.DUMMYFUNCTION("""COMPUTED_VALUE"""),"sftp://graphic@103.41.58.141/marketing/WarzTH_LE/Item%20Dict/aw_magnum.png")</f>
        <v>sftp://graphic@103.41.58.141/marketing/WarzTH_LE/Item%20Dict/aw_magnum.png</v>
      </c>
      <c r="M32" s="3"/>
      <c r="N32" s="3" t="str">
        <f>IFERROR(__xludf.DUMMYFUNCTION("""COMPUTED_VALUE"""),"The AWM sniper rifle fires a custom .338W magnum round with devastating accuracy and effect. Each of its rounds deal a very high amount of damage.")</f>
        <v>The AWM sniper rifle fires a custom .338W magnum round with devastating accuracy and effect. Each of its rounds deal a very high amount of damage.</v>
      </c>
      <c r="O32" s="3"/>
    </row>
    <row r="33">
      <c r="A33" s="3" t="b">
        <f>IFERROR(__xludf.DUMMYFUNCTION("""COMPUTED_VALUE"""),TRUE)</f>
        <v>1</v>
      </c>
      <c r="B33" s="3" t="str">
        <f>IFERROR(__xludf.DUMMYFUNCTION("""COMPUTED_VALUE"""),"")</f>
        <v/>
      </c>
      <c r="C33" s="3">
        <f>IFERROR(__xludf.DUMMYFUNCTION("""COMPUTED_VALUE"""),101111.0)</f>
        <v>101111</v>
      </c>
      <c r="D33" s="5" t="str">
        <f>IFERROR(__xludf.DUMMYFUNCTION("""COMPUTED_VALUE"""),"https://cdn.exe.in.th/marketing/WarzTH_LE/Item%20Dict/b92.png")</f>
        <v>https://cdn.exe.in.th/marketing/WarzTH_LE/Item%20Dict/b92.png</v>
      </c>
      <c r="E33" s="3" t="str">
        <f>IFERROR(__xludf.DUMMYFUNCTION("""COMPUTED_VALUE"""),"B92")</f>
        <v>B92</v>
      </c>
      <c r="F33" s="2">
        <f>IFERROR(__xludf.DUMMYFUNCTION("""COMPUTED_VALUE"""),0.5)</f>
        <v>0.5</v>
      </c>
      <c r="G33" s="2" t="str">
        <f>IFERROR(__xludf.DUMMYFUNCTION("""COMPUTED_VALUE"""),"-")</f>
        <v>-</v>
      </c>
      <c r="H33" s="2" t="str">
        <f>IFERROR(__xludf.DUMMYFUNCTION("""COMPUTED_VALUE"""),"-")</f>
        <v>-</v>
      </c>
      <c r="I33" s="3" t="str">
        <f>IFERROR(__xludf.DUMMYFUNCTION("""COMPUTED_VALUE"""),"Weapon")</f>
        <v>Weapon</v>
      </c>
      <c r="J33" s="3" t="str">
        <f>IFERROR(__xludf.DUMMYFUNCTION("""COMPUTED_VALUE"""),"No")</f>
        <v>No</v>
      </c>
      <c r="K33" s="3" t="str">
        <f>IFERROR(__xludf.DUMMYFUNCTION("""COMPUTED_VALUE"""),"C")</f>
        <v>C</v>
      </c>
      <c r="L33" s="3" t="str">
        <f>IFERROR(__xludf.DUMMYFUNCTION("""COMPUTED_VALUE"""),"sftp://graphic@103.41.58.141/marketing/WarzTH_LE/Item%20Dict/b92.png")</f>
        <v>sftp://graphic@103.41.58.141/marketing/WarzTH_LE/Item%20Dict/b92.png</v>
      </c>
      <c r="M33" s="3"/>
      <c r="N33" s="3" t="str">
        <f>IFERROR(__xludf.DUMMYFUNCTION("""COMPUTED_VALUE"""),"The B92 handgun was specially designed to fire a 9mm round and is reasonably effective agains close range targets.")</f>
        <v>The B92 handgun was specially designed to fire a 9mm round and is reasonably effective agains close range targets.</v>
      </c>
      <c r="O33" s="3"/>
    </row>
    <row r="34">
      <c r="A34" s="3" t="b">
        <f>IFERROR(__xludf.DUMMYFUNCTION("""COMPUTED_VALUE"""),TRUE)</f>
        <v>1</v>
      </c>
      <c r="B34" s="3" t="str">
        <f>IFERROR(__xludf.DUMMYFUNCTION("""COMPUTED_VALUE"""),"")</f>
        <v/>
      </c>
      <c r="C34" s="3">
        <f>IFERROR(__xludf.DUMMYFUNCTION("""COMPUTED_VALUE"""),101112.0)</f>
        <v>101112</v>
      </c>
      <c r="D34" s="5" t="str">
        <f>IFERROR(__xludf.DUMMYFUNCTION("""COMPUTED_VALUE"""),"https://cdn.exe.in.th/marketing/WarzTH_LE/Item%20Dict/b93r.png")</f>
        <v>https://cdn.exe.in.th/marketing/WarzTH_LE/Item%20Dict/b93r.png</v>
      </c>
      <c r="E34" s="3" t="str">
        <f>IFERROR(__xludf.DUMMYFUNCTION("""COMPUTED_VALUE"""),"B93R")</f>
        <v>B93R</v>
      </c>
      <c r="F34" s="2">
        <f>IFERROR(__xludf.DUMMYFUNCTION("""COMPUTED_VALUE"""),0.5)</f>
        <v>0.5</v>
      </c>
      <c r="G34" s="2" t="str">
        <f>IFERROR(__xludf.DUMMYFUNCTION("""COMPUTED_VALUE"""),"-")</f>
        <v>-</v>
      </c>
      <c r="H34" s="2" t="str">
        <f>IFERROR(__xludf.DUMMYFUNCTION("""COMPUTED_VALUE"""),"-")</f>
        <v>-</v>
      </c>
      <c r="I34" s="3" t="str">
        <f>IFERROR(__xludf.DUMMYFUNCTION("""COMPUTED_VALUE"""),"Weapon")</f>
        <v>Weapon</v>
      </c>
      <c r="J34" s="3" t="str">
        <f>IFERROR(__xludf.DUMMYFUNCTION("""COMPUTED_VALUE"""),"No")</f>
        <v>No</v>
      </c>
      <c r="K34" s="3" t="str">
        <f>IFERROR(__xludf.DUMMYFUNCTION("""COMPUTED_VALUE"""),"C")</f>
        <v>C</v>
      </c>
      <c r="L34" s="3" t="str">
        <f>IFERROR(__xludf.DUMMYFUNCTION("""COMPUTED_VALUE"""),"sftp://graphic@103.41.58.141/marketing/WarzTH_LE/Item%20Dict/b93r.png")</f>
        <v>sftp://graphic@103.41.58.141/marketing/WarzTH_LE/Item%20Dict/b93r.png</v>
      </c>
      <c r="M34" s="3"/>
      <c r="N34" s="3" t="str">
        <f>IFERROR(__xludf.DUMMYFUNCTION("""COMPUTED_VALUE"""),"The B93R handgun was designed to fire a 9mm parabellum round from a 20 round clip. It is a relatively effective weapon against close ranged targets.")</f>
        <v>The B93R handgun was designed to fire a 9mm parabellum round from a 20 round clip. It is a relatively effective weapon against close ranged targets.</v>
      </c>
      <c r="O34" s="3"/>
    </row>
    <row r="35">
      <c r="A35" s="3" t="b">
        <f>IFERROR(__xludf.DUMMYFUNCTION("""COMPUTED_VALUE"""),TRUE)</f>
        <v>1</v>
      </c>
      <c r="B35" s="3" t="str">
        <f>IFERROR(__xludf.DUMMYFUNCTION("""COMPUTED_VALUE"""),"")</f>
        <v/>
      </c>
      <c r="C35" s="3">
        <f>IFERROR(__xludf.DUMMYFUNCTION("""COMPUTED_VALUE"""),101284.0)</f>
        <v>101284</v>
      </c>
      <c r="D35" s="5" t="str">
        <f>IFERROR(__xludf.DUMMYFUNCTION("""COMPUTED_VALUE"""),"https://cdn.exe.in.th/marketing/WarzTH_LE/Item%20Dict/mre.png")</f>
        <v>https://cdn.exe.in.th/marketing/WarzTH_LE/Item%20Dict/mre.png</v>
      </c>
      <c r="E35" s="6" t="str">
        <f>IFERROR(__xludf.DUMMYFUNCTION("""COMPUTED_VALUE"""),"Bag MRE")</f>
        <v>Bag MRE</v>
      </c>
      <c r="F35" s="2">
        <f>IFERROR(__xludf.DUMMYFUNCTION("""COMPUTED_VALUE"""),1.0)</f>
        <v>1</v>
      </c>
      <c r="G35" s="2" t="str">
        <f>IFERROR(__xludf.DUMMYFUNCTION("""COMPUTED_VALUE"""),"10 GC")</f>
        <v>10 GC</v>
      </c>
      <c r="H35" s="2" t="str">
        <f>IFERROR(__xludf.DUMMYFUNCTION("""COMPUTED_VALUE"""),"1,000 Dollars")</f>
        <v>1,000 Dollars</v>
      </c>
      <c r="I35" s="3" t="str">
        <f>IFERROR(__xludf.DUMMYFUNCTION("""COMPUTED_VALUE"""),"Consumable")</f>
        <v>Consumable</v>
      </c>
      <c r="J35" s="3" t="str">
        <f>IFERROR(__xludf.DUMMYFUNCTION("""COMPUTED_VALUE"""),"Yes")</f>
        <v>Yes</v>
      </c>
      <c r="K35" s="3"/>
      <c r="L35" s="3" t="str">
        <f>IFERROR(__xludf.DUMMYFUNCTION("""COMPUTED_VALUE"""),"sftp://graphic@103.41.58.141/marketing/WarzTH_LE/Item%20Dict/mre.png")</f>
        <v>sftp://graphic@103.41.58.141/marketing/WarzTH_LE/Item%20Dict/mre.png</v>
      </c>
      <c r="M35" s="3"/>
      <c r="N35" s="3" t="str">
        <f>IFERROR(__xludf.DUMMYFUNCTION("""COMPUTED_VALUE"""),"Meals Ready-to-Eat. Extremely convenient! An MRE can be eaten cold, right out of the pouch but they always taste better hot. Each serving size substantially relieves hunger and thirst")</f>
        <v>Meals Ready-to-Eat. Extremely convenient! An MRE can be eaten cold, right out of the pouch but they always taste better hot. Each serving size substantially relieves hunger and thirst</v>
      </c>
      <c r="O35" s="3"/>
    </row>
    <row r="36">
      <c r="A36" s="3" t="b">
        <f>IFERROR(__xludf.DUMMYFUNCTION("""COMPUTED_VALUE"""),TRUE)</f>
        <v>1</v>
      </c>
      <c r="B36" s="3" t="str">
        <f>IFERROR(__xludf.DUMMYFUNCTION("""COMPUTED_VALUE"""),"")</f>
        <v/>
      </c>
      <c r="C36" s="3">
        <f>IFERROR(__xludf.DUMMYFUNCTION("""COMPUTED_VALUE"""),101283.0)</f>
        <v>101283</v>
      </c>
      <c r="D36" s="5" t="str">
        <f>IFERROR(__xludf.DUMMYFUNCTION("""COMPUTED_VALUE"""),"https://cdn.exe.in.th/marketing/WarzTH_LE/Item%20Dict/bag_of_chips.png")</f>
        <v>https://cdn.exe.in.th/marketing/WarzTH_LE/Item%20Dict/bag_of_chips.png</v>
      </c>
      <c r="E36" s="6" t="str">
        <f>IFERROR(__xludf.DUMMYFUNCTION("""COMPUTED_VALUE"""),"Bag of Chips")</f>
        <v>Bag of Chips</v>
      </c>
      <c r="F36" s="2" t="str">
        <f>IFERROR(__xludf.DUMMYFUNCTION("""COMPUTED_VALUE"""),"-")</f>
        <v>-</v>
      </c>
      <c r="G36" s="2" t="str">
        <f>IFERROR(__xludf.DUMMYFUNCTION("""COMPUTED_VALUE"""),"-")</f>
        <v>-</v>
      </c>
      <c r="H36" s="2" t="str">
        <f>IFERROR(__xludf.DUMMYFUNCTION("""COMPUTED_VALUE"""),"-")</f>
        <v>-</v>
      </c>
      <c r="I36" s="3" t="str">
        <f>IFERROR(__xludf.DUMMYFUNCTION("""COMPUTED_VALUE"""),"Consumable")</f>
        <v>Consumable</v>
      </c>
      <c r="J36" s="3" t="str">
        <f>IFERROR(__xludf.DUMMYFUNCTION("""COMPUTED_VALUE"""),"Yes")</f>
        <v>Yes</v>
      </c>
      <c r="K36" s="3"/>
      <c r="L36" s="3" t="str">
        <f>IFERROR(__xludf.DUMMYFUNCTION("""COMPUTED_VALUE"""),"sftp://graphic@103.41.58.141/marketing/WarzTH_LE/Item%20Dict/bag_of_chips.png")</f>
        <v>sftp://graphic@103.41.58.141/marketing/WarzTH_LE/Item%20Dict/bag_of_chips.png</v>
      </c>
      <c r="M36" s="3"/>
      <c r="N36" s="3" t="str">
        <f>IFERROR(__xludf.DUMMYFUNCTION("""COMPUTED_VALUE"""),"A bag of potato chips. Relieves minor hunger. BBQ Flavor!")</f>
        <v>A bag of potato chips. Relieves minor hunger. BBQ Flavor!</v>
      </c>
      <c r="O36" s="3"/>
    </row>
    <row r="37">
      <c r="A37" s="3" t="b">
        <f>IFERROR(__xludf.DUMMYFUNCTION("""COMPUTED_VALUE"""),TRUE)</f>
        <v>1</v>
      </c>
      <c r="B37" s="3" t="str">
        <f>IFERROR(__xludf.DUMMYFUNCTION("""COMPUTED_VALUE"""),"")</f>
        <v/>
      </c>
      <c r="C37" s="3">
        <f>IFERROR(__xludf.DUMMYFUNCTION("""COMPUTED_VALUE"""),101510.0)</f>
        <v>101510</v>
      </c>
      <c r="D37" s="5" t="str">
        <f>IFERROR(__xludf.DUMMYFUNCTION("""COMPUTED_VALUE"""),"https://cdn.exe.in.th/marketing/WarzTH_LE/Item%20Dict/bait_lv1.png")</f>
        <v>https://cdn.exe.in.th/marketing/WarzTH_LE/Item%20Dict/bait_lv1.png</v>
      </c>
      <c r="E37" s="7" t="str">
        <f>IFERROR(__xludf.DUMMYFUNCTION("""COMPUTED_VALUE"""),"Bait")</f>
        <v>Bait</v>
      </c>
      <c r="F37" s="2">
        <f>IFERROR(__xludf.DUMMYFUNCTION("""COMPUTED_VALUE"""),1.0)</f>
        <v>1</v>
      </c>
      <c r="G37" s="2" t="str">
        <f>IFERROR(__xludf.DUMMYFUNCTION("""COMPUTED_VALUE"""),"-")</f>
        <v>-</v>
      </c>
      <c r="H37" s="2" t="str">
        <f>IFERROR(__xludf.DUMMYFUNCTION("""COMPUTED_VALUE"""),"100 Dollars")</f>
        <v>100 Dollars</v>
      </c>
      <c r="I37" s="3" t="str">
        <f>IFERROR(__xludf.DUMMYFUNCTION("""COMPUTED_VALUE"""),"Consumable")</f>
        <v>Consumable</v>
      </c>
      <c r="J37" s="3" t="str">
        <f>IFERROR(__xludf.DUMMYFUNCTION("""COMPUTED_VALUE"""),"Yes")</f>
        <v>Yes</v>
      </c>
      <c r="K37" s="3"/>
      <c r="L37" s="3" t="str">
        <f>IFERROR(__xludf.DUMMYFUNCTION("""COMPUTED_VALUE"""),"sftp://graphic@103.41.58.141/marketing/WarzTH_LE/Item%20Dict/bait_lv1.png")</f>
        <v>sftp://graphic@103.41.58.141/marketing/WarzTH_LE/Item%20Dict/bait_lv1.png</v>
      </c>
      <c r="M37" s="3"/>
      <c r="N37" s="3"/>
      <c r="O37" s="3"/>
    </row>
    <row r="38">
      <c r="A38" s="3" t="b">
        <f>IFERROR(__xludf.DUMMYFUNCTION("""COMPUTED_VALUE"""),TRUE)</f>
        <v>1</v>
      </c>
      <c r="B38" s="3" t="str">
        <f>IFERROR(__xludf.DUMMYFUNCTION("""COMPUTED_VALUE"""),"")</f>
        <v/>
      </c>
      <c r="C38" s="3">
        <f>IFERROR(__xludf.DUMMYFUNCTION("""COMPUTED_VALUE"""),101511.0)</f>
        <v>101511</v>
      </c>
      <c r="D38" s="5" t="str">
        <f>IFERROR(__xludf.DUMMYFUNCTION("""COMPUTED_VALUE"""),"https://cdn.exe.in.th/marketing/WarzTH_LE/Item%20Dict/bait_lv2.png")</f>
        <v>https://cdn.exe.in.th/marketing/WarzTH_LE/Item%20Dict/bait_lv2.png</v>
      </c>
      <c r="E38" s="7" t="str">
        <f>IFERROR(__xludf.DUMMYFUNCTION("""COMPUTED_VALUE"""),"Bait Premium")</f>
        <v>Bait Premium</v>
      </c>
      <c r="F38" s="2">
        <f>IFERROR(__xludf.DUMMYFUNCTION("""COMPUTED_VALUE"""),1.0)</f>
        <v>1</v>
      </c>
      <c r="G38" s="2" t="str">
        <f>IFERROR(__xludf.DUMMYFUNCTION("""COMPUTED_VALUE"""),"10 GC")</f>
        <v>10 GC</v>
      </c>
      <c r="H38" s="2" t="str">
        <f>IFERROR(__xludf.DUMMYFUNCTION("""COMPUTED_VALUE"""),"-")</f>
        <v>-</v>
      </c>
      <c r="I38" s="3" t="str">
        <f>IFERROR(__xludf.DUMMYFUNCTION("""COMPUTED_VALUE"""),"Consumable")</f>
        <v>Consumable</v>
      </c>
      <c r="J38" s="3" t="str">
        <f>IFERROR(__xludf.DUMMYFUNCTION("""COMPUTED_VALUE"""),"Yes")</f>
        <v>Yes</v>
      </c>
      <c r="K38" s="3"/>
      <c r="L38" s="3" t="str">
        <f>IFERROR(__xludf.DUMMYFUNCTION("""COMPUTED_VALUE"""),"sftp://graphic@103.41.58.141/marketing/WarzTH_LE/Item%20Dict/bait_lv2.png")</f>
        <v>sftp://graphic@103.41.58.141/marketing/WarzTH_LE/Item%20Dict/bait_lv2.png</v>
      </c>
      <c r="M38" s="3"/>
      <c r="N38" s="3"/>
      <c r="O38" s="3"/>
    </row>
    <row r="39">
      <c r="A39" s="3" t="b">
        <f>IFERROR(__xludf.DUMMYFUNCTION("""COMPUTED_VALUE"""),TRUE)</f>
        <v>1</v>
      </c>
      <c r="B39" s="3" t="str">
        <f>IFERROR(__xludf.DUMMYFUNCTION("""COMPUTED_VALUE"""),"")</f>
        <v/>
      </c>
      <c r="C39" s="3">
        <f>IFERROR(__xludf.DUMMYFUNCTION("""COMPUTED_VALUE"""),101261.0)</f>
        <v>101261</v>
      </c>
      <c r="D39" s="5" t="str">
        <f>IFERROR(__xludf.DUMMYFUNCTION("""COMPUTED_VALUE"""),"https://cdn.exe.in.th/marketing/WarzTH_LE/Item%20Dict/bandages.png")</f>
        <v>https://cdn.exe.in.th/marketing/WarzTH_LE/Item%20Dict/bandages.png</v>
      </c>
      <c r="E39" s="3" t="str">
        <f>IFERROR(__xludf.DUMMYFUNCTION("""COMPUTED_VALUE"""),"Bandages")</f>
        <v>Bandages</v>
      </c>
      <c r="F39" s="2">
        <f>IFERROR(__xludf.DUMMYFUNCTION("""COMPUTED_VALUE"""),0.4)</f>
        <v>0.4</v>
      </c>
      <c r="G39" s="2" t="str">
        <f>IFERROR(__xludf.DUMMYFUNCTION("""COMPUTED_VALUE"""),"-")</f>
        <v>-</v>
      </c>
      <c r="H39" s="2" t="str">
        <f>IFERROR(__xludf.DUMMYFUNCTION("""COMPUTED_VALUE"""),"333 Dollars")</f>
        <v>333 Dollars</v>
      </c>
      <c r="I39" s="3" t="str">
        <f>IFERROR(__xludf.DUMMYFUNCTION("""COMPUTED_VALUE"""),"Consumable")</f>
        <v>Consumable</v>
      </c>
      <c r="J39" s="3" t="str">
        <f>IFERROR(__xludf.DUMMYFUNCTION("""COMPUTED_VALUE"""),"Yes")</f>
        <v>Yes</v>
      </c>
      <c r="K39" s="3"/>
      <c r="L39" s="3" t="str">
        <f>IFERROR(__xludf.DUMMYFUNCTION("""COMPUTED_VALUE"""),"sftp://graphic@103.41.58.141/marketing/WarzTH_LE/Item%20Dict/bandages.png")</f>
        <v>sftp://graphic@103.41.58.141/marketing/WarzTH_LE/Item%20Dict/bandages.png</v>
      </c>
      <c r="M39" s="3"/>
      <c r="N39" s="3" t="str">
        <f>IFERROR(__xludf.DUMMYFUNCTION("""COMPUTED_VALUE"""),"Common bandages which heal minor wounds and stops excessive bleeding.")</f>
        <v>Common bandages which heal minor wounds and stops excessive bleeding.</v>
      </c>
      <c r="O39" s="3"/>
    </row>
    <row r="40">
      <c r="A40" s="3" t="b">
        <f>IFERROR(__xludf.DUMMYFUNCTION("""COMPUTED_VALUE"""),TRUE)</f>
        <v>1</v>
      </c>
      <c r="B40" s="3" t="str">
        <f>IFERROR(__xludf.DUMMYFUNCTION("""COMPUTED_VALUE"""),"")</f>
        <v/>
      </c>
      <c r="C40" s="3">
        <f>IFERROR(__xludf.DUMMYFUNCTION("""COMPUTED_VALUE"""),101262.0)</f>
        <v>101262</v>
      </c>
      <c r="D40" s="5" t="str">
        <f>IFERROR(__xludf.DUMMYFUNCTION("""COMPUTED_VALUE"""),"https://cdn.exe.in.th/marketing/WarzTH_LE/Item%20Dict/bandages_dx.png")</f>
        <v>https://cdn.exe.in.th/marketing/WarzTH_LE/Item%20Dict/bandages_dx.png</v>
      </c>
      <c r="E40" s="3" t="str">
        <f>IFERROR(__xludf.DUMMYFUNCTION("""COMPUTED_VALUE"""),"Bandages DX")</f>
        <v>Bandages DX</v>
      </c>
      <c r="F40" s="2">
        <f>IFERROR(__xludf.DUMMYFUNCTION("""COMPUTED_VALUE"""),0.8)</f>
        <v>0.8</v>
      </c>
      <c r="G40" s="2" t="str">
        <f>IFERROR(__xludf.DUMMYFUNCTION("""COMPUTED_VALUE"""),"8 GC
5 ea / 40 GC")</f>
        <v>8 GC
5 ea / 40 GC</v>
      </c>
      <c r="H40" s="2" t="str">
        <f>IFERROR(__xludf.DUMMYFUNCTION("""COMPUTED_VALUE"""),"800 Dollars
5 ea / 4,000 Dollars")</f>
        <v>800 Dollars
5 ea / 4,000 Dollars</v>
      </c>
      <c r="I40" s="3" t="str">
        <f>IFERROR(__xludf.DUMMYFUNCTION("""COMPUTED_VALUE"""),"Consumable")</f>
        <v>Consumable</v>
      </c>
      <c r="J40" s="3" t="str">
        <f>IFERROR(__xludf.DUMMYFUNCTION("""COMPUTED_VALUE"""),"Yes")</f>
        <v>Yes</v>
      </c>
      <c r="K40" s="3"/>
      <c r="L40" s="3" t="str">
        <f>IFERROR(__xludf.DUMMYFUNCTION("""COMPUTED_VALUE"""),"sftp://graphic@103.41.58.141/marketing/WarzTH_LE/Item%20Dict/bandages_dx.png")</f>
        <v>sftp://graphic@103.41.58.141/marketing/WarzTH_LE/Item%20Dict/bandages_dx.png</v>
      </c>
      <c r="M40" s="3"/>
      <c r="N40" s="3" t="str">
        <f>IFERROR(__xludf.DUMMYFUNCTION("""COMPUTED_VALUE"""),"Medical bandages which heal moderate wounds and stops excessive bleeding.")</f>
        <v>Medical bandages which heal moderate wounds and stops excessive bleeding.</v>
      </c>
      <c r="O40" s="3"/>
    </row>
    <row r="41">
      <c r="A41" s="3" t="b">
        <f>IFERROR(__xludf.DUMMYFUNCTION("""COMPUTED_VALUE"""),TRUE)</f>
        <v>1</v>
      </c>
      <c r="B41" s="3" t="str">
        <f>IFERROR(__xludf.DUMMYFUNCTION("""COMPUTED_VALUE"""),"")</f>
        <v/>
      </c>
      <c r="C41" s="3">
        <f>IFERROR(__xludf.DUMMYFUNCTION("""COMPUTED_VALUE"""),101316.0)</f>
        <v>101316</v>
      </c>
      <c r="D41" s="5" t="str">
        <f>IFERROR(__xludf.DUMMYFUNCTION("""COMPUTED_VALUE"""),"https://cdn.exe.in.th/marketing/WarzTH_LE/Item%20Dict/barb_wire_barricade.png")</f>
        <v>https://cdn.exe.in.th/marketing/WarzTH_LE/Item%20Dict/barb_wire_barricade.png</v>
      </c>
      <c r="E41" s="3" t="str">
        <f>IFERROR(__xludf.DUMMYFUNCTION("""COMPUTED_VALUE"""),"Barb wire barricade")</f>
        <v>Barb wire barricade</v>
      </c>
      <c r="F41" s="2" t="str">
        <f>IFERROR(__xludf.DUMMYFUNCTION("""COMPUTED_VALUE"""),"-")</f>
        <v>-</v>
      </c>
      <c r="G41" s="2" t="str">
        <f>IFERROR(__xludf.DUMMYFUNCTION("""COMPUTED_VALUE"""),"-")</f>
        <v>-</v>
      </c>
      <c r="H41" s="2" t="str">
        <f>IFERROR(__xludf.DUMMYFUNCTION("""COMPUTED_VALUE"""),"-")</f>
        <v>-</v>
      </c>
      <c r="I41" s="3" t="str">
        <f>IFERROR(__xludf.DUMMYFUNCTION("""COMPUTED_VALUE"""),"Consumable")</f>
        <v>Consumable</v>
      </c>
      <c r="J41" s="3" t="str">
        <f>IFERROR(__xludf.DUMMYFUNCTION("""COMPUTED_VALUE"""),"Yes")</f>
        <v>Yes</v>
      </c>
      <c r="K41" s="3"/>
      <c r="L41" s="3" t="str">
        <f>IFERROR(__xludf.DUMMYFUNCTION("""COMPUTED_VALUE"""),"sftp://graphic@103.41.58.141/marketing/WarzTH_LE/Item%20Dict/barb_wire_barricade.png")</f>
        <v>sftp://graphic@103.41.58.141/marketing/WarzTH_LE/Item%20Dict/barb_wire_barricade.png</v>
      </c>
      <c r="M41" s="3"/>
      <c r="N41" s="3" t="str">
        <f>IFERROR(__xludf.DUMMYFUNCTION("""COMPUTED_VALUE"""),"Drag this across a doorway to barricade the entrance leaving you safe inside, unless something is already inside with you!")</f>
        <v>Drag this across a doorway to barricade the entrance leaving you safe inside, unless something is already inside with you!</v>
      </c>
      <c r="O41" s="3"/>
    </row>
    <row r="42">
      <c r="A42" s="3" t="b">
        <f>IFERROR(__xludf.DUMMYFUNCTION("""COMPUTED_VALUE"""),TRUE)</f>
        <v>1</v>
      </c>
      <c r="B42" s="3" t="str">
        <f>IFERROR(__xludf.DUMMYFUNCTION("""COMPUTED_VALUE"""),"")</f>
        <v/>
      </c>
      <c r="C42" s="3">
        <f>IFERROR(__xludf.DUMMYFUNCTION("""COMPUTED_VALUE"""),101278.0)</f>
        <v>101278</v>
      </c>
      <c r="D42" s="5" t="str">
        <f>IFERROR(__xludf.DUMMYFUNCTION("""COMPUTED_VALUE"""),"https://cdn.exe.in.th/marketing/WarzTH_LE/Item%20Dict/bat.png")</f>
        <v>https://cdn.exe.in.th/marketing/WarzTH_LE/Item%20Dict/bat.png</v>
      </c>
      <c r="E42" s="3" t="str">
        <f>IFERROR(__xludf.DUMMYFUNCTION("""COMPUTED_VALUE"""),"Bat")</f>
        <v>Bat</v>
      </c>
      <c r="F42" s="2" t="str">
        <f>IFERROR(__xludf.DUMMYFUNCTION("""COMPUTED_VALUE"""),"-")</f>
        <v>-</v>
      </c>
      <c r="G42" s="2" t="str">
        <f>IFERROR(__xludf.DUMMYFUNCTION("""COMPUTED_VALUE"""),"-")</f>
        <v>-</v>
      </c>
      <c r="H42" s="2" t="str">
        <f>IFERROR(__xludf.DUMMYFUNCTION("""COMPUTED_VALUE"""),"-")</f>
        <v>-</v>
      </c>
      <c r="I42" s="3" t="str">
        <f>IFERROR(__xludf.DUMMYFUNCTION("""COMPUTED_VALUE"""),"Weapon")</f>
        <v>Weapon</v>
      </c>
      <c r="J42" s="3" t="str">
        <f>IFERROR(__xludf.DUMMYFUNCTION("""COMPUTED_VALUE"""),"No")</f>
        <v>No</v>
      </c>
      <c r="K42" s="3"/>
      <c r="L42" s="3" t="str">
        <f>IFERROR(__xludf.DUMMYFUNCTION("""COMPUTED_VALUE"""),"sftp://graphic@103.41.58.141/marketing/WarzTH_LE/Item%20Dict/bat.png")</f>
        <v>sftp://graphic@103.41.58.141/marketing/WarzTH_LE/Item%20Dict/bat.png</v>
      </c>
      <c r="M42" s="3"/>
      <c r="N42" s="3" t="str">
        <f>IFERROR(__xludf.DUMMYFUNCTION("""COMPUTED_VALUE"""),"Handy for those times when you need to beat the crap outta something or somebody.")</f>
        <v>Handy for those times when you need to beat the crap outta something or somebody.</v>
      </c>
      <c r="O42" s="3"/>
    </row>
    <row r="43">
      <c r="A43" s="3" t="b">
        <f>IFERROR(__xludf.DUMMYFUNCTION("""COMPUTED_VALUE"""),TRUE)</f>
        <v>1</v>
      </c>
      <c r="B43" s="3" t="str">
        <f>IFERROR(__xludf.DUMMYFUNCTION("""COMPUTED_VALUE"""),"")</f>
        <v/>
      </c>
      <c r="C43" s="3">
        <f>IFERROR(__xludf.DUMMYFUNCTION("""COMPUTED_VALUE"""),20022.0)</f>
        <v>20022</v>
      </c>
      <c r="D43" s="5" t="str">
        <f>IFERROR(__xludf.DUMMYFUNCTION("""COMPUTED_VALUE"""),"https://cdn.exe.in.th/marketing/WarzTH_LE/Item%20Dict/beret_cover.png")</f>
        <v>https://cdn.exe.in.th/marketing/WarzTH_LE/Item%20Dict/beret_cover.png</v>
      </c>
      <c r="E43" s="3" t="str">
        <f>IFERROR(__xludf.DUMMYFUNCTION("""COMPUTED_VALUE"""),"Beret Cover")</f>
        <v>Beret Cover</v>
      </c>
      <c r="F43" s="2">
        <f>IFERROR(__xludf.DUMMYFUNCTION("""COMPUTED_VALUE"""),3.0)</f>
        <v>3</v>
      </c>
      <c r="G43" s="2" t="str">
        <f>IFERROR(__xludf.DUMMYFUNCTION("""COMPUTED_VALUE"""),"-")</f>
        <v>-</v>
      </c>
      <c r="H43" s="2" t="str">
        <f>IFERROR(__xludf.DUMMYFUNCTION("""COMPUTED_VALUE"""),"3,000 Dollars")</f>
        <v>3,000 Dollars</v>
      </c>
      <c r="I43" s="3" t="str">
        <f>IFERROR(__xludf.DUMMYFUNCTION("""COMPUTED_VALUE"""),"Equipment")</f>
        <v>Equipment</v>
      </c>
      <c r="J43" s="3" t="str">
        <f>IFERROR(__xludf.DUMMYFUNCTION("""COMPUTED_VALUE"""),"No")</f>
        <v>No</v>
      </c>
      <c r="K43" s="3"/>
      <c r="L43" s="3" t="str">
        <f>IFERROR(__xludf.DUMMYFUNCTION("""COMPUTED_VALUE"""),"sftp://graphic@103.41.58.141/marketing/WarzTH_LE/Item%20Dict/beret_cover.png")</f>
        <v>sftp://graphic@103.41.58.141/marketing/WarzTH_LE/Item%20Dict/beret_cover.png</v>
      </c>
      <c r="M43" s="3"/>
      <c r="N43" s="3" t="str">
        <f>IFERROR(__xludf.DUMMYFUNCTION("""COMPUTED_VALUE"""),"This cover is a stylish military fashion statement which stands out smashingly in a combat zone!")</f>
        <v>This cover is a stylish military fashion statement which stands out smashingly in a combat zone!</v>
      </c>
      <c r="O43" s="3"/>
    </row>
    <row r="44">
      <c r="A44" s="3" t="b">
        <f>IFERROR(__xludf.DUMMYFUNCTION("""COMPUTED_VALUE"""),TRUE)</f>
        <v>1</v>
      </c>
      <c r="B44" s="3" t="str">
        <f>IFERROR(__xludf.DUMMYFUNCTION("""COMPUTED_VALUE"""),"")</f>
        <v/>
      </c>
      <c r="C44" s="3">
        <f>IFERROR(__xludf.DUMMYFUNCTION("""COMPUTED_VALUE"""),101315.0)</f>
        <v>101315</v>
      </c>
      <c r="D44" s="5" t="str">
        <f>IFERROR(__xludf.DUMMYFUNCTION("""COMPUTED_VALUE"""),"https://cdn.exe.in.th/marketing/WarzTH_LE/Item%20Dict/binoculars.png")</f>
        <v>https://cdn.exe.in.th/marketing/WarzTH_LE/Item%20Dict/binoculars.png</v>
      </c>
      <c r="E44" s="3" t="str">
        <f>IFERROR(__xludf.DUMMYFUNCTION("""COMPUTED_VALUE"""),"Binoculars")</f>
        <v>Binoculars</v>
      </c>
      <c r="F44" s="2">
        <f>IFERROR(__xludf.DUMMYFUNCTION("""COMPUTED_VALUE"""),3.0)</f>
        <v>3</v>
      </c>
      <c r="G44" s="2" t="str">
        <f>IFERROR(__xludf.DUMMYFUNCTION("""COMPUTED_VALUE"""),"30 GC")</f>
        <v>30 GC</v>
      </c>
      <c r="H44" s="2" t="str">
        <f>IFERROR(__xludf.DUMMYFUNCTION("""COMPUTED_VALUE"""),"3,000 Dollars")</f>
        <v>3,000 Dollars</v>
      </c>
      <c r="I44" s="3" t="str">
        <f>IFERROR(__xludf.DUMMYFUNCTION("""COMPUTED_VALUE"""),"Consumable")</f>
        <v>Consumable</v>
      </c>
      <c r="J44" s="3" t="str">
        <f>IFERROR(__xludf.DUMMYFUNCTION("""COMPUTED_VALUE"""),"Yes")</f>
        <v>Yes</v>
      </c>
      <c r="K44" s="3"/>
      <c r="L44" s="3" t="str">
        <f>IFERROR(__xludf.DUMMYFUNCTION("""COMPUTED_VALUE"""),"sftp://graphic@103.41.58.141/marketing/WarzTH_LE/Item%20Dict/binoculars.png")</f>
        <v>sftp://graphic@103.41.58.141/marketing/WarzTH_LE/Item%20Dict/binoculars.png</v>
      </c>
      <c r="M44" s="3"/>
      <c r="N44" s="3" t="str">
        <f>IFERROR(__xludf.DUMMYFUNCTION("""COMPUTED_VALUE"""),"A great way to checkout if an area is safe before entering, keep an eye out for infected and bandits")</f>
        <v>A great way to checkout if an area is safe before entering, keep an eye out for infected and bandits</v>
      </c>
      <c r="O44" s="3"/>
    </row>
    <row r="45">
      <c r="A45" s="3" t="b">
        <f>IFERROR(__xludf.DUMMYFUNCTION("""COMPUTED_VALUE"""),TRUE)</f>
        <v>1</v>
      </c>
      <c r="B45" s="3" t="str">
        <f>IFERROR(__xludf.DUMMYFUNCTION("""COMPUTED_VALUE"""),"")</f>
        <v/>
      </c>
      <c r="C45" s="3">
        <f>IFERROR(__xludf.DUMMYFUNCTION("""COMPUTED_VALUE"""),101109.0)</f>
        <v>101109</v>
      </c>
      <c r="D45" s="5" t="str">
        <f>IFERROR(__xludf.DUMMYFUNCTION("""COMPUTED_VALUE"""),"https://cdn.exe.in.th/marketing/WarzTH_LE/Item%20Dict/bizon.png")</f>
        <v>https://cdn.exe.in.th/marketing/WarzTH_LE/Item%20Dict/bizon.png</v>
      </c>
      <c r="E45" s="3" t="str">
        <f>IFERROR(__xludf.DUMMYFUNCTION("""COMPUTED_VALUE"""),"BIZON")</f>
        <v>BIZON</v>
      </c>
      <c r="F45" s="2">
        <f>IFERROR(__xludf.DUMMYFUNCTION("""COMPUTED_VALUE"""),2.0)</f>
        <v>2</v>
      </c>
      <c r="G45" s="2" t="str">
        <f>IFERROR(__xludf.DUMMYFUNCTION("""COMPUTED_VALUE"""),"-")</f>
        <v>-</v>
      </c>
      <c r="H45" s="2" t="str">
        <f>IFERROR(__xludf.DUMMYFUNCTION("""COMPUTED_VALUE"""),"-")</f>
        <v>-</v>
      </c>
      <c r="I45" s="3" t="str">
        <f>IFERROR(__xludf.DUMMYFUNCTION("""COMPUTED_VALUE"""),"Weapon")</f>
        <v>Weapon</v>
      </c>
      <c r="J45" s="3" t="str">
        <f>IFERROR(__xludf.DUMMYFUNCTION("""COMPUTED_VALUE"""),"No")</f>
        <v>No</v>
      </c>
      <c r="K45" s="3" t="str">
        <f>IFERROR(__xludf.DUMMYFUNCTION("""COMPUTED_VALUE"""),"C")</f>
        <v>C</v>
      </c>
      <c r="L45" s="3" t="str">
        <f>IFERROR(__xludf.DUMMYFUNCTION("""COMPUTED_VALUE"""),"sftp://graphic@103.41.58.141/marketing/WarzTH_LE/Item%20Dict/bizon.png")</f>
        <v>sftp://graphic@103.41.58.141/marketing/WarzTH_LE/Item%20Dict/bizon.png</v>
      </c>
      <c r="M45" s="3"/>
      <c r="N45" s="3" t="str">
        <f>IFERROR(__xludf.DUMMYFUNCTION("""COMPUTED_VALUE"""),"The Bizon submachine gun was designed to fire a 9 mm round from a 64 round magazine delivering accurate fire on close range targets.")</f>
        <v>The Bizon submachine gun was designed to fire a 9 mm round from a 64 round magazine delivering accurate fire on close range targets.</v>
      </c>
      <c r="O45" s="3"/>
    </row>
    <row r="46">
      <c r="A46" s="3" t="b">
        <f>IFERROR(__xludf.DUMMYFUNCTION("""COMPUTED_VALUE"""),TRUE)</f>
        <v>1</v>
      </c>
      <c r="B46" s="3" t="str">
        <f>IFERROR(__xludf.DUMMYFUNCTION("""COMPUTED_VALUE"""),"")</f>
        <v/>
      </c>
      <c r="C46" s="3">
        <f>IFERROR(__xludf.DUMMYFUNCTION("""COMPUTED_VALUE"""),400047.0)</f>
        <v>400047</v>
      </c>
      <c r="D46" s="5" t="str">
        <f>IFERROR(__xludf.DUMMYFUNCTION("""COMPUTED_VALUE"""),"https://cdn.exe.in.th/marketing/WarzTH_LE/Item%20Dict/bizon_ammo.png")</f>
        <v>https://cdn.exe.in.th/marketing/WarzTH_LE/Item%20Dict/bizon_ammo.png</v>
      </c>
      <c r="E46" s="3" t="str">
        <f>IFERROR(__xludf.DUMMYFUNCTION("""COMPUTED_VALUE"""),"Bizon 64 ammo")</f>
        <v>Bizon 64 ammo</v>
      </c>
      <c r="F46" s="2">
        <f>IFERROR(__xludf.DUMMYFUNCTION("""COMPUTED_VALUE"""),1.5)</f>
        <v>1.5</v>
      </c>
      <c r="G46" s="2" t="str">
        <f>IFERROR(__xludf.DUMMYFUNCTION("""COMPUTED_VALUE"""),"-")</f>
        <v>-</v>
      </c>
      <c r="H46" s="2" t="str">
        <f>IFERROR(__xludf.DUMMYFUNCTION("""COMPUTED_VALUE"""),"1,200 Dollars")</f>
        <v>1,200 Dollars</v>
      </c>
      <c r="I46" s="3" t="str">
        <f>IFERROR(__xludf.DUMMYFUNCTION("""COMPUTED_VALUE"""),"Ammo")</f>
        <v>Ammo</v>
      </c>
      <c r="J46" s="3" t="str">
        <f>IFERROR(__xludf.DUMMYFUNCTION("""COMPUTED_VALUE"""),"Yes")</f>
        <v>Yes</v>
      </c>
      <c r="K46" s="3"/>
      <c r="L46" s="3" t="str">
        <f>IFERROR(__xludf.DUMMYFUNCTION("""COMPUTED_VALUE"""),"sftp://graphic@103.41.58.141/marketing/WarzTH_LE/Item%20Dict/bizon_ammo.png")</f>
        <v>sftp://graphic@103.41.58.141/marketing/WarzTH_LE/Item%20Dict/bizon_ammo.png</v>
      </c>
      <c r="M46" s="3"/>
      <c r="N46" s="3" t="str">
        <f>IFERROR(__xludf.DUMMYFUNCTION("""COMPUTED_VALUE"""),"Bizon sub machine gun clip. Clip contains 64 rounds of 9x18mm ammo")</f>
        <v>Bizon sub machine gun clip. Clip contains 64 rounds of 9x18mm ammo</v>
      </c>
      <c r="O46" s="3"/>
    </row>
    <row r="47">
      <c r="A47" s="3" t="b">
        <f>IFERROR(__xludf.DUMMYFUNCTION("""COMPUTED_VALUE"""),TRUE)</f>
        <v>1</v>
      </c>
      <c r="B47" s="3" t="str">
        <f>IFERROR(__xludf.DUMMYFUNCTION("""COMPUTED_VALUE"""),"")</f>
        <v/>
      </c>
      <c r="C47" s="3">
        <f>IFERROR(__xludf.DUMMYFUNCTION("""COMPUTED_VALUE"""),20032.0)</f>
        <v>20032</v>
      </c>
      <c r="D47" s="5" t="str">
        <f>IFERROR(__xludf.DUMMYFUNCTION("""COMPUTED_VALUE"""),"https://cdn.exe.in.th/marketing/WarzTH_LE/Item%20Dict/black_mask.png")</f>
        <v>https://cdn.exe.in.th/marketing/WarzTH_LE/Item%20Dict/black_mask.png</v>
      </c>
      <c r="E47" s="3" t="str">
        <f>IFERROR(__xludf.DUMMYFUNCTION("""COMPUTED_VALUE"""),"Black Mask")</f>
        <v>Black Mask</v>
      </c>
      <c r="F47" s="2">
        <f>IFERROR(__xludf.DUMMYFUNCTION("""COMPUTED_VALUE"""),1.0)</f>
        <v>1</v>
      </c>
      <c r="G47" s="2" t="str">
        <f>IFERROR(__xludf.DUMMYFUNCTION("""COMPUTED_VALUE"""),"-")</f>
        <v>-</v>
      </c>
      <c r="H47" s="2" t="str">
        <f>IFERROR(__xludf.DUMMYFUNCTION("""COMPUTED_VALUE"""),"1,000 Dollars")</f>
        <v>1,000 Dollars</v>
      </c>
      <c r="I47" s="3" t="str">
        <f>IFERROR(__xludf.DUMMYFUNCTION("""COMPUTED_VALUE"""),"Equipment")</f>
        <v>Equipment</v>
      </c>
      <c r="J47" s="3" t="str">
        <f>IFERROR(__xludf.DUMMYFUNCTION("""COMPUTED_VALUE"""),"No")</f>
        <v>No</v>
      </c>
      <c r="K47" s="3"/>
      <c r="L47" s="3" t="str">
        <f>IFERROR(__xludf.DUMMYFUNCTION("""COMPUTED_VALUE"""),"sftp://graphic@103.41.58.141/marketing/WarzTH_LE/Item%20Dict/black_mask.png")</f>
        <v>sftp://graphic@103.41.58.141/marketing/WarzTH_LE/Item%20Dict/black_mask.png</v>
      </c>
      <c r="M47" s="3"/>
      <c r="N47" s="3" t="str">
        <f>IFERROR(__xludf.DUMMYFUNCTION("""COMPUTED_VALUE"""),"The frightening Black Mask of Death, sure to give your enemies the chills.")</f>
        <v>The frightening Black Mask of Death, sure to give your enemies the chills.</v>
      </c>
      <c r="O47" s="3"/>
    </row>
    <row r="48">
      <c r="A48" s="3" t="b">
        <f>IFERROR(__xludf.DUMMYFUNCTION("""COMPUTED_VALUE"""),TRUE)</f>
        <v>1</v>
      </c>
      <c r="B48" s="3" t="str">
        <f>IFERROR(__xludf.DUMMYFUNCTION("""COMPUTED_VALUE"""),"")</f>
        <v/>
      </c>
      <c r="C48" s="3">
        <f>IFERROR(__xludf.DUMMYFUNCTION("""COMPUTED_VALUE"""),400038.0)</f>
        <v>400038</v>
      </c>
      <c r="D48" s="5" t="str">
        <f>IFERROR(__xludf.DUMMYFUNCTION("""COMPUTED_VALUE"""),"https://cdn.exe.in.th/marketing/WarzTH_LE/Item%20Dict/blackwater_long_rang.png")</f>
        <v>https://cdn.exe.in.th/marketing/WarzTH_LE/Item%20Dict/blackwater_long_rang.png</v>
      </c>
      <c r="E48" s="3" t="str">
        <f>IFERROR(__xludf.DUMMYFUNCTION("""COMPUTED_VALUE"""),"Blackwater Long Range")</f>
        <v>Blackwater Long Range</v>
      </c>
      <c r="F48" s="2">
        <f>IFERROR(__xludf.DUMMYFUNCTION("""COMPUTED_VALUE"""),3.0)</f>
        <v>3</v>
      </c>
      <c r="G48" s="2" t="str">
        <f>IFERROR(__xludf.DUMMYFUNCTION("""COMPUTED_VALUE"""),"30 GC")</f>
        <v>30 GC</v>
      </c>
      <c r="H48" s="2" t="str">
        <f>IFERROR(__xludf.DUMMYFUNCTION("""COMPUTED_VALUE"""),"3,000 Dollars")</f>
        <v>3,000 Dollars</v>
      </c>
      <c r="I48" s="3" t="str">
        <f>IFERROR(__xludf.DUMMYFUNCTION("""COMPUTED_VALUE"""),"Attachment")</f>
        <v>Attachment</v>
      </c>
      <c r="J48" s="3" t="str">
        <f>IFERROR(__xludf.DUMMYFUNCTION("""COMPUTED_VALUE"""),"No")</f>
        <v>No</v>
      </c>
      <c r="K48" s="3"/>
      <c r="L48" s="3" t="str">
        <f>IFERROR(__xludf.DUMMYFUNCTION("""COMPUTED_VALUE"""),"sftp://graphic@103.41.58.141/marketing/WarzTH_LE/Item%20Dict/blackwater_long_rang.png")</f>
        <v>sftp://graphic@103.41.58.141/marketing/WarzTH_LE/Item%20Dict/blackwater_long_rang.png</v>
      </c>
      <c r="M48" s="3"/>
      <c r="N48" s="3" t="str">
        <f>IFERROR(__xludf.DUMMYFUNCTION("""COMPUTED_VALUE"""),"The Blackwater Long Range scope is a 10x rail mounted scope designed to be used used at long ranges.")</f>
        <v>The Blackwater Long Range scope is a 10x rail mounted scope designed to be used used at long ranges.</v>
      </c>
      <c r="O48" s="3"/>
    </row>
    <row r="49">
      <c r="A49" s="3" t="b">
        <f>IFERROR(__xludf.DUMMYFUNCTION("""COMPUTED_VALUE"""),TRUE)</f>
        <v>1</v>
      </c>
      <c r="B49" s="3" t="str">
        <f>IFERROR(__xludf.DUMMYFUNCTION("""COMPUTED_VALUE"""),"")</f>
        <v/>
      </c>
      <c r="C49" s="3">
        <f>IFERROR(__xludf.DUMMYFUNCTION("""COMPUTED_VALUE"""),101247.0)</f>
        <v>101247</v>
      </c>
      <c r="D49" s="5" t="str">
        <f>IFERROR(__xludf.DUMMYFUNCTION("""COMPUTED_VALUE"""),"https://cdn.exe.in.th/marketing/WarzTH_LE/Item%20Dict/blaser_r93.png")</f>
        <v>https://cdn.exe.in.th/marketing/WarzTH_LE/Item%20Dict/blaser_r93.png</v>
      </c>
      <c r="E49" s="3" t="str">
        <f>IFERROR(__xludf.DUMMYFUNCTION("""COMPUTED_VALUE"""),"BLASER R93")</f>
        <v>BLASER R93</v>
      </c>
      <c r="F49" s="2">
        <f>IFERROR(__xludf.DUMMYFUNCTION("""COMPUTED_VALUE"""),7000.0)</f>
        <v>7000</v>
      </c>
      <c r="G49" s="2" t="str">
        <f>IFERROR(__xludf.DUMMYFUNCTION("""COMPUTED_VALUE"""),"-")</f>
        <v>-</v>
      </c>
      <c r="H49" s="2" t="str">
        <f>IFERROR(__xludf.DUMMYFUNCTION("""COMPUTED_VALUE"""),"-")</f>
        <v>-</v>
      </c>
      <c r="I49" s="3" t="str">
        <f>IFERROR(__xludf.DUMMYFUNCTION("""COMPUTED_VALUE"""),"Weapon")</f>
        <v>Weapon</v>
      </c>
      <c r="J49" s="3" t="str">
        <f>IFERROR(__xludf.DUMMYFUNCTION("""COMPUTED_VALUE"""),"No")</f>
        <v>No</v>
      </c>
      <c r="K49" s="3" t="str">
        <f>IFERROR(__xludf.DUMMYFUNCTION("""COMPUTED_VALUE"""),"S")</f>
        <v>S</v>
      </c>
      <c r="L49" s="3" t="str">
        <f>IFERROR(__xludf.DUMMYFUNCTION("""COMPUTED_VALUE"""),"sftp://graphic@103.41.58.141/marketing/WarzTH_LE/Item%20Dict/blaser_r93.png")</f>
        <v>sftp://graphic@103.41.58.141/marketing/WarzTH_LE/Item%20Dict/blaser_r93.png</v>
      </c>
      <c r="M49" s="3"/>
      <c r="N49" s="3" t="str">
        <f>IFERROR(__xludf.DUMMYFUNCTION("""COMPUTED_VALUE"""),"The Blaser is a bolt action sniper rifle, designed to fire a .308W round from a 5 round clip. It is a highly accurate weapon at longer ranges.")</f>
        <v>The Blaser is a bolt action sniper rifle, designed to fire a .308W round from a 5 round clip. It is a highly accurate weapon at longer ranges.</v>
      </c>
      <c r="O49" s="3"/>
    </row>
    <row r="50">
      <c r="A50" s="3" t="b">
        <f>IFERROR(__xludf.DUMMYFUNCTION("""COMPUTED_VALUE"""),TRUE)</f>
        <v>1</v>
      </c>
      <c r="B50" s="3" t="str">
        <f>IFERROR(__xludf.DUMMYFUNCTION("""COMPUTED_VALUE"""),"")</f>
        <v/>
      </c>
      <c r="C50" s="3">
        <f>IFERROR(__xludf.DUMMYFUNCTION("""COMPUTED_VALUE"""),101317.0)</f>
        <v>101317</v>
      </c>
      <c r="D50" s="5" t="str">
        <f>IFERROR(__xludf.DUMMYFUNCTION("""COMPUTED_VALUE"""),"https://cdn.exe.in.th/marketing/WarzTH_LE/Item%20Dict/wood_shield_barricade.png")</f>
        <v>https://cdn.exe.in.th/marketing/WarzTH_LE/Item%20Dict/wood_shield_barricade.png</v>
      </c>
      <c r="E50" s="3" t="str">
        <f>IFERROR(__xludf.DUMMYFUNCTION("""COMPUTED_VALUE"""),"Wood shield barricade")</f>
        <v>Wood shield barricade</v>
      </c>
      <c r="F50" s="2">
        <f>IFERROR(__xludf.DUMMYFUNCTION("""COMPUTED_VALUE"""),2.0)</f>
        <v>2</v>
      </c>
      <c r="G50" s="2" t="str">
        <f>IFERROR(__xludf.DUMMYFUNCTION("""COMPUTED_VALUE"""),"-")</f>
        <v>-</v>
      </c>
      <c r="H50" s="2" t="str">
        <f>IFERROR(__xludf.DUMMYFUNCTION("""COMPUTED_VALUE"""),"1,600 Dollars")</f>
        <v>1,600 Dollars</v>
      </c>
      <c r="I50" s="3" t="str">
        <f>IFERROR(__xludf.DUMMYFUNCTION("""COMPUTED_VALUE"""),"Consumable")</f>
        <v>Consumable</v>
      </c>
      <c r="J50" s="3" t="str">
        <f>IFERROR(__xludf.DUMMYFUNCTION("""COMPUTED_VALUE"""),"Yes")</f>
        <v>Yes</v>
      </c>
      <c r="K50" s="3"/>
      <c r="L50" s="3" t="str">
        <f>IFERROR(__xludf.DUMMYFUNCTION("""COMPUTED_VALUE"""),"sftp://graphic@103.41.58.141/marketing/WarzTH_LE/Item%20Dict/wood_shield_barricade.png")</f>
        <v>sftp://graphic@103.41.58.141/marketing/WarzTH_LE/Item%20Dict/wood_shield_barricade.png</v>
      </c>
      <c r="M50" s="3"/>
      <c r="N50" s="3" t="str">
        <f>IFERROR(__xludf.DUMMYFUNCTION("""COMPUTED_VALUE"""),"Great for blocking doorways to keep out those pesky infected")</f>
        <v>Great for blocking doorways to keep out those pesky infected</v>
      </c>
      <c r="O50" s="3"/>
    </row>
    <row r="51">
      <c r="A51" s="3" t="b">
        <f>IFERROR(__xludf.DUMMYFUNCTION("""COMPUTED_VALUE"""),TRUE)</f>
        <v>1</v>
      </c>
      <c r="B51" s="3" t="str">
        <f>IFERROR(__xludf.DUMMYFUNCTION("""COMPUTED_VALUE"""),"")</f>
        <v/>
      </c>
      <c r="C51" s="3">
        <f>IFERROR(__xludf.DUMMYFUNCTION("""COMPUTED_VALUE"""),20023.0)</f>
        <v>20023</v>
      </c>
      <c r="D51" s="5" t="str">
        <f>IFERROR(__xludf.DUMMYFUNCTION("""COMPUTED_VALUE"""),"https://cdn.exe.in.th/marketing/WarzTH_LE/Item%20Dict/boonie.png")</f>
        <v>https://cdn.exe.in.th/marketing/WarzTH_LE/Item%20Dict/boonie.png</v>
      </c>
      <c r="E51" s="3" t="str">
        <f>IFERROR(__xludf.DUMMYFUNCTION("""COMPUTED_VALUE"""),"Boonie Cover")</f>
        <v>Boonie Cover</v>
      </c>
      <c r="F51" s="2">
        <f>IFERROR(__xludf.DUMMYFUNCTION("""COMPUTED_VALUE"""),1.5)</f>
        <v>1.5</v>
      </c>
      <c r="G51" s="2" t="str">
        <f>IFERROR(__xludf.DUMMYFUNCTION("""COMPUTED_VALUE"""),"-")</f>
        <v>-</v>
      </c>
      <c r="H51" s="2" t="str">
        <f>IFERROR(__xludf.DUMMYFUNCTION("""COMPUTED_VALUE"""),"1,500 Dollars")</f>
        <v>1,500 Dollars</v>
      </c>
      <c r="I51" s="3" t="str">
        <f>IFERROR(__xludf.DUMMYFUNCTION("""COMPUTED_VALUE"""),"Equipment")</f>
        <v>Equipment</v>
      </c>
      <c r="J51" s="3" t="str">
        <f>IFERROR(__xludf.DUMMYFUNCTION("""COMPUTED_VALUE"""),"No")</f>
        <v>No</v>
      </c>
      <c r="K51" s="3"/>
      <c r="L51" s="3" t="str">
        <f>IFERROR(__xludf.DUMMYFUNCTION("""COMPUTED_VALUE"""),"sftp://graphic@103.41.58.141/marketing/WarzTH_LE/Item%20Dict/boonie.png")</f>
        <v>sftp://graphic@103.41.58.141/marketing/WarzTH_LE/Item%20Dict/boonie.png</v>
      </c>
      <c r="M51" s="3"/>
      <c r="N51" s="3" t="str">
        <f>IFERROR(__xludf.DUMMYFUNCTION("""COMPUTED_VALUE"""),"This Jungle Boonie cover is high speed, great for blending in and blocking out the sun and bugs but it won't stop bullets.")</f>
        <v>This Jungle Boonie cover is high speed, great for blending in and blocking out the sun and bugs but it won't stop bullets.</v>
      </c>
      <c r="O51" s="3"/>
    </row>
    <row r="52">
      <c r="A52" s="3" t="b">
        <f>IFERROR(__xludf.DUMMYFUNCTION("""COMPUTED_VALUE"""),TRUE)</f>
        <v>1</v>
      </c>
      <c r="B52" s="3" t="str">
        <f>IFERROR(__xludf.DUMMYFUNCTION("""COMPUTED_VALUE"""),"")</f>
        <v/>
      </c>
      <c r="C52" s="3">
        <f>IFERROR(__xludf.DUMMYFUNCTION("""COMPUTED_VALUE"""),20041.0)</f>
        <v>20041</v>
      </c>
      <c r="D52" s="5" t="str">
        <f>IFERROR(__xludf.DUMMYFUNCTION("""COMPUTED_VALUE"""),"https://cdn.exe.in.th/marketing/WarzTH_LE/Item%20Dict/boonie_desert.png")</f>
        <v>https://cdn.exe.in.th/marketing/WarzTH_LE/Item%20Dict/boonie_desert.png</v>
      </c>
      <c r="E52" s="3" t="str">
        <f>IFERROR(__xludf.DUMMYFUNCTION("""COMPUTED_VALUE"""),"Boonie Desert")</f>
        <v>Boonie Desert</v>
      </c>
      <c r="F52" s="2">
        <f>IFERROR(__xludf.DUMMYFUNCTION("""COMPUTED_VALUE"""),1.5)</f>
        <v>1.5</v>
      </c>
      <c r="G52" s="2" t="str">
        <f>IFERROR(__xludf.DUMMYFUNCTION("""COMPUTED_VALUE"""),"-")</f>
        <v>-</v>
      </c>
      <c r="H52" s="2" t="str">
        <f>IFERROR(__xludf.DUMMYFUNCTION("""COMPUTED_VALUE"""),"1,500 Dollars")</f>
        <v>1,500 Dollars</v>
      </c>
      <c r="I52" s="3" t="str">
        <f>IFERROR(__xludf.DUMMYFUNCTION("""COMPUTED_VALUE"""),"Equipment")</f>
        <v>Equipment</v>
      </c>
      <c r="J52" s="3" t="str">
        <f>IFERROR(__xludf.DUMMYFUNCTION("""COMPUTED_VALUE"""),"No")</f>
        <v>No</v>
      </c>
      <c r="K52" s="3"/>
      <c r="L52" s="3" t="str">
        <f>IFERROR(__xludf.DUMMYFUNCTION("""COMPUTED_VALUE"""),"sftp://graphic@103.41.58.141/marketing/WarzTH_LE/Item%20Dict/boonie_desert.png")</f>
        <v>sftp://graphic@103.41.58.141/marketing/WarzTH_LE/Item%20Dict/boonie_desert.png</v>
      </c>
      <c r="M52" s="3"/>
      <c r="N52" s="3" t="str">
        <f>IFERROR(__xludf.DUMMYFUNCTION("""COMPUTED_VALUE"""),"This boonie hat is great for desert ops, keeping you out of the sun and foiling those pesky bugs.")</f>
        <v>This boonie hat is great for desert ops, keeping you out of the sun and foiling those pesky bugs.</v>
      </c>
      <c r="O52" s="3"/>
    </row>
    <row r="53">
      <c r="A53" s="3" t="b">
        <f>IFERROR(__xludf.DUMMYFUNCTION("""COMPUTED_VALUE"""),TRUE)</f>
        <v>1</v>
      </c>
      <c r="B53" s="3" t="str">
        <f>IFERROR(__xludf.DUMMYFUNCTION("""COMPUTED_VALUE"""),"")</f>
        <v/>
      </c>
      <c r="C53" s="3">
        <f>IFERROR(__xludf.DUMMYFUNCTION("""COMPUTED_VALUE"""),20042.0)</f>
        <v>20042</v>
      </c>
      <c r="D53" s="5" t="str">
        <f>IFERROR(__xludf.DUMMYFUNCTION("""COMPUTED_VALUE"""),"https://cdn.exe.in.th/marketing/WarzTH_LE/Item%20Dict/boonie_green.png")</f>
        <v>https://cdn.exe.in.th/marketing/WarzTH_LE/Item%20Dict/boonie_green.png</v>
      </c>
      <c r="E53" s="3" t="str">
        <f>IFERROR(__xludf.DUMMYFUNCTION("""COMPUTED_VALUE"""),"Boonie Green")</f>
        <v>Boonie Green</v>
      </c>
      <c r="F53" s="2">
        <f>IFERROR(__xludf.DUMMYFUNCTION("""COMPUTED_VALUE"""),1.5)</f>
        <v>1.5</v>
      </c>
      <c r="G53" s="2" t="str">
        <f>IFERROR(__xludf.DUMMYFUNCTION("""COMPUTED_VALUE"""),"-")</f>
        <v>-</v>
      </c>
      <c r="H53" s="2" t="str">
        <f>IFERROR(__xludf.DUMMYFUNCTION("""COMPUTED_VALUE"""),"1,500 Dollars")</f>
        <v>1,500 Dollars</v>
      </c>
      <c r="I53" s="3" t="str">
        <f>IFERROR(__xludf.DUMMYFUNCTION("""COMPUTED_VALUE"""),"Equipment")</f>
        <v>Equipment</v>
      </c>
      <c r="J53" s="3" t="str">
        <f>IFERROR(__xludf.DUMMYFUNCTION("""COMPUTED_VALUE"""),"No")</f>
        <v>No</v>
      </c>
      <c r="K53" s="3"/>
      <c r="L53" s="3" t="str">
        <f>IFERROR(__xludf.DUMMYFUNCTION("""COMPUTED_VALUE"""),"sftp://graphic@103.41.58.141/marketing/WarzTH_LE/Item%20Dict/boonie_green.png")</f>
        <v>sftp://graphic@103.41.58.141/marketing/WarzTH_LE/Item%20Dict/boonie_green.png</v>
      </c>
      <c r="M53" s="3"/>
      <c r="N53" s="3" t="str">
        <f>IFERROR(__xludf.DUMMYFUNCTION("""COMPUTED_VALUE"""),"While not a bullet stopper this boonie hat will keep you cool and in camo in the wild places.")</f>
        <v>While not a bullet stopper this boonie hat will keep you cool and in camo in the wild places.</v>
      </c>
      <c r="O53" s="3"/>
    </row>
    <row r="54">
      <c r="A54" s="3" t="b">
        <f>IFERROR(__xludf.DUMMYFUNCTION("""COMPUTED_VALUE"""),TRUE)</f>
        <v>1</v>
      </c>
      <c r="B54" s="3" t="str">
        <f>IFERROR(__xludf.DUMMYFUNCTION("""COMPUTED_VALUE"""),"")</f>
        <v/>
      </c>
      <c r="C54" s="3">
        <f>IFERROR(__xludf.DUMMYFUNCTION("""COMPUTED_VALUE"""),20096.0)</f>
        <v>20096</v>
      </c>
      <c r="D54" s="5" t="str">
        <f>IFERROR(__xludf.DUMMYFUNCTION("""COMPUTED_VALUE"""),"https://cdn.exe.in.th/marketing/WarzTH_LE/Item%20Dict/boonie_hat_leather.png")</f>
        <v>https://cdn.exe.in.th/marketing/WarzTH_LE/Item%20Dict/boonie_hat_leather.png</v>
      </c>
      <c r="E54" s="3" t="str">
        <f>IFERROR(__xludf.DUMMYFUNCTION("""COMPUTED_VALUE"""),"Boonie Hat Leather")</f>
        <v>Boonie Hat Leather</v>
      </c>
      <c r="F54" s="2">
        <f>IFERROR(__xludf.DUMMYFUNCTION("""COMPUTED_VALUE"""),1.5)</f>
        <v>1.5</v>
      </c>
      <c r="G54" s="2" t="str">
        <f>IFERROR(__xludf.DUMMYFUNCTION("""COMPUTED_VALUE"""),"-")</f>
        <v>-</v>
      </c>
      <c r="H54" s="2" t="str">
        <f>IFERROR(__xludf.DUMMYFUNCTION("""COMPUTED_VALUE"""),"1,500 Dollars")</f>
        <v>1,500 Dollars</v>
      </c>
      <c r="I54" s="3" t="str">
        <f>IFERROR(__xludf.DUMMYFUNCTION("""COMPUTED_VALUE"""),"Equipment")</f>
        <v>Equipment</v>
      </c>
      <c r="J54" s="3" t="str">
        <f>IFERROR(__xludf.DUMMYFUNCTION("""COMPUTED_VALUE"""),"No")</f>
        <v>No</v>
      </c>
      <c r="K54" s="3"/>
      <c r="L54" s="3" t="str">
        <f>IFERROR(__xludf.DUMMYFUNCTION("""COMPUTED_VALUE"""),"sftp://graphic@103.41.58.141/marketing/WarzTH_LE/Item%20Dict/boonie_hat_leather.png")</f>
        <v>sftp://graphic@103.41.58.141/marketing/WarzTH_LE/Item%20Dict/boonie_hat_leather.png</v>
      </c>
      <c r="M54" s="3"/>
      <c r="N54" s="3" t="str">
        <f>IFERROR(__xludf.DUMMYFUNCTION("""COMPUTED_VALUE"""),"This is the boonie hat that comes with a bit of sophistication. It is all leather, which is bound to be a hit, but it will not stop one!")</f>
        <v>This is the boonie hat that comes with a bit of sophistication. It is all leather, which is bound to be a hit, but it will not stop one!</v>
      </c>
      <c r="O54" s="3"/>
    </row>
    <row r="55">
      <c r="A55" s="3" t="b">
        <f>IFERROR(__xludf.DUMMYFUNCTION("""COMPUTED_VALUE"""),TRUE)</f>
        <v>1</v>
      </c>
      <c r="B55" s="3" t="str">
        <f>IFERROR(__xludf.DUMMYFUNCTION("""COMPUTED_VALUE"""),"")</f>
        <v/>
      </c>
      <c r="C55" s="3">
        <f>IFERROR(__xludf.DUMMYFUNCTION("""COMPUTED_VALUE"""),310001.0)</f>
        <v>310001</v>
      </c>
      <c r="D55" s="5" t="str">
        <f>IFERROR(__xludf.DUMMYFUNCTION("""COMPUTED_VALUE"""),"https://cdn.exe.in.th/marketing/WarzTH_LE/Item%20Dict/Box_boss_lv1.png")</f>
        <v>https://cdn.exe.in.th/marketing/WarzTH_LE/Item%20Dict/Box_boss_lv1.png</v>
      </c>
      <c r="E55" s="3" t="str">
        <f>IFERROR(__xludf.DUMMYFUNCTION("""COMPUTED_VALUE"""),"Box Boss 1")</f>
        <v>Box Boss 1</v>
      </c>
      <c r="F55" s="2">
        <f>IFERROR(__xludf.DUMMYFUNCTION("""COMPUTED_VALUE"""),50.0)</f>
        <v>50</v>
      </c>
      <c r="G55" s="2" t="str">
        <f>IFERROR(__xludf.DUMMYFUNCTION("""COMPUTED_VALUE"""),"-")</f>
        <v>-</v>
      </c>
      <c r="H55" s="2" t="str">
        <f>IFERROR(__xludf.DUMMYFUNCTION("""COMPUTED_VALUE"""),"-")</f>
        <v>-</v>
      </c>
      <c r="I55" s="3" t="str">
        <f>IFERROR(__xludf.DUMMYFUNCTION("""COMPUTED_VALUE"""),"Box")</f>
        <v>Box</v>
      </c>
      <c r="J55" s="3" t="str">
        <f>IFERROR(__xludf.DUMMYFUNCTION("""COMPUTED_VALUE"""),"Yes")</f>
        <v>Yes</v>
      </c>
      <c r="K55" s="3"/>
      <c r="L55" s="3" t="str">
        <f>IFERROR(__xludf.DUMMYFUNCTION("""COMPUTED_VALUE"""),"sftp://graphic@103.41.58.141/marketing/WarzTH_LE/Item%20Dict/Box_boss_lv1.png")</f>
        <v>sftp://graphic@103.41.58.141/marketing/WarzTH_LE/Item%20Dict/Box_boss_lv1.png</v>
      </c>
      <c r="M55" s="3"/>
      <c r="N55" s="3"/>
      <c r="O55" s="3"/>
    </row>
    <row r="56">
      <c r="A56" s="3" t="b">
        <f>IFERROR(__xludf.DUMMYFUNCTION("""COMPUTED_VALUE"""),TRUE)</f>
        <v>1</v>
      </c>
      <c r="B56" s="3" t="str">
        <f>IFERROR(__xludf.DUMMYFUNCTION("""COMPUTED_VALUE"""),"")</f>
        <v/>
      </c>
      <c r="C56" s="3">
        <f>IFERROR(__xludf.DUMMYFUNCTION("""COMPUTED_VALUE"""),310002.0)</f>
        <v>310002</v>
      </c>
      <c r="D56" s="5" t="str">
        <f>IFERROR(__xludf.DUMMYFUNCTION("""COMPUTED_VALUE"""),"https://cdn.exe.in.th/marketing/WarzTH_LE/Item%20Dict/Box_boss_lv2.png")</f>
        <v>https://cdn.exe.in.th/marketing/WarzTH_LE/Item%20Dict/Box_boss_lv2.png</v>
      </c>
      <c r="E56" s="3" t="str">
        <f>IFERROR(__xludf.DUMMYFUNCTION("""COMPUTED_VALUE"""),"Box Boss 2")</f>
        <v>Box Boss 2</v>
      </c>
      <c r="F56" s="2">
        <f>IFERROR(__xludf.DUMMYFUNCTION("""COMPUTED_VALUE"""),400.0)</f>
        <v>400</v>
      </c>
      <c r="G56" s="2" t="str">
        <f>IFERROR(__xludf.DUMMYFUNCTION("""COMPUTED_VALUE"""),"-")</f>
        <v>-</v>
      </c>
      <c r="H56" s="2" t="str">
        <f>IFERROR(__xludf.DUMMYFUNCTION("""COMPUTED_VALUE"""),"-")</f>
        <v>-</v>
      </c>
      <c r="I56" s="3" t="str">
        <f>IFERROR(__xludf.DUMMYFUNCTION("""COMPUTED_VALUE"""),"Box")</f>
        <v>Box</v>
      </c>
      <c r="J56" s="3" t="str">
        <f>IFERROR(__xludf.DUMMYFUNCTION("""COMPUTED_VALUE"""),"Yes")</f>
        <v>Yes</v>
      </c>
      <c r="K56" s="3"/>
      <c r="L56" s="3" t="str">
        <f>IFERROR(__xludf.DUMMYFUNCTION("""COMPUTED_VALUE"""),"sftp://graphic@103.41.58.141/marketing/WarzTH_LE/Item%20Dict/Box_boss_lv2.png")</f>
        <v>sftp://graphic@103.41.58.141/marketing/WarzTH_LE/Item%20Dict/Box_boss_lv2.png</v>
      </c>
      <c r="M56" s="3"/>
      <c r="N56" s="3"/>
      <c r="O56" s="3"/>
    </row>
    <row r="57">
      <c r="A57" s="3" t="b">
        <f>IFERROR(__xludf.DUMMYFUNCTION("""COMPUTED_VALUE"""),TRUE)</f>
        <v>1</v>
      </c>
      <c r="B57" s="3" t="str">
        <f>IFERROR(__xludf.DUMMYFUNCTION("""COMPUTED_VALUE"""),"")</f>
        <v/>
      </c>
      <c r="C57" s="3">
        <f>IFERROR(__xludf.DUMMYFUNCTION("""COMPUTED_VALUE"""),310003.0)</f>
        <v>310003</v>
      </c>
      <c r="D57" s="5" t="str">
        <f>IFERROR(__xludf.DUMMYFUNCTION("""COMPUTED_VALUE"""),"https://cdn.exe.in.th/marketing/WarzTH_LE/Item%20Dict/BOX_Fish_lv1.png")</f>
        <v>https://cdn.exe.in.th/marketing/WarzTH_LE/Item%20Dict/BOX_Fish_lv1.png</v>
      </c>
      <c r="E57" s="3" t="str">
        <f>IFERROR(__xludf.DUMMYFUNCTION("""COMPUTED_VALUE"""),"Box Fish 1")</f>
        <v>Box Fish 1</v>
      </c>
      <c r="F57" s="2">
        <f>IFERROR(__xludf.DUMMYFUNCTION("""COMPUTED_VALUE"""),15.0)</f>
        <v>15</v>
      </c>
      <c r="G57" s="2" t="str">
        <f>IFERROR(__xludf.DUMMYFUNCTION("""COMPUTED_VALUE"""),"-")</f>
        <v>-</v>
      </c>
      <c r="H57" s="2" t="str">
        <f>IFERROR(__xludf.DUMMYFUNCTION("""COMPUTED_VALUE"""),"-")</f>
        <v>-</v>
      </c>
      <c r="I57" s="3" t="str">
        <f>IFERROR(__xludf.DUMMYFUNCTION("""COMPUTED_VALUE"""),"Box")</f>
        <v>Box</v>
      </c>
      <c r="J57" s="3" t="str">
        <f>IFERROR(__xludf.DUMMYFUNCTION("""COMPUTED_VALUE"""),"Yes")</f>
        <v>Yes</v>
      </c>
      <c r="K57" s="3"/>
      <c r="L57" s="3" t="str">
        <f>IFERROR(__xludf.DUMMYFUNCTION("""COMPUTED_VALUE"""),"sftp://graphic@103.41.58.141/marketing/WarzTH_LE/Item%20Dict/BOX_Fish_lv1.png")</f>
        <v>sftp://graphic@103.41.58.141/marketing/WarzTH_LE/Item%20Dict/BOX_Fish_lv1.png</v>
      </c>
      <c r="M57" s="3"/>
      <c r="N57" s="3"/>
      <c r="O57" s="3"/>
    </row>
    <row r="58">
      <c r="A58" s="3" t="b">
        <f>IFERROR(__xludf.DUMMYFUNCTION("""COMPUTED_VALUE"""),TRUE)</f>
        <v>1</v>
      </c>
      <c r="B58" s="3" t="str">
        <f>IFERROR(__xludf.DUMMYFUNCTION("""COMPUTED_VALUE"""),"")</f>
        <v/>
      </c>
      <c r="C58" s="3">
        <f>IFERROR(__xludf.DUMMYFUNCTION("""COMPUTED_VALUE"""),310004.0)</f>
        <v>310004</v>
      </c>
      <c r="D58" s="5" t="str">
        <f>IFERROR(__xludf.DUMMYFUNCTION("""COMPUTED_VALUE"""),"https://cdn.exe.in.th/marketing/WarzTH_LE/Item%20Dict/BOX_Fish_lv2.png")</f>
        <v>https://cdn.exe.in.th/marketing/WarzTH_LE/Item%20Dict/BOX_Fish_lv2.png</v>
      </c>
      <c r="E58" s="3" t="str">
        <f>IFERROR(__xludf.DUMMYFUNCTION("""COMPUTED_VALUE"""),"Box Fish 2")</f>
        <v>Box Fish 2</v>
      </c>
      <c r="F58" s="2">
        <f>IFERROR(__xludf.DUMMYFUNCTION("""COMPUTED_VALUE"""),30.0)</f>
        <v>30</v>
      </c>
      <c r="G58" s="2" t="str">
        <f>IFERROR(__xludf.DUMMYFUNCTION("""COMPUTED_VALUE"""),"-")</f>
        <v>-</v>
      </c>
      <c r="H58" s="2" t="str">
        <f>IFERROR(__xludf.DUMMYFUNCTION("""COMPUTED_VALUE"""),"-")</f>
        <v>-</v>
      </c>
      <c r="I58" s="3" t="str">
        <f>IFERROR(__xludf.DUMMYFUNCTION("""COMPUTED_VALUE"""),"Box")</f>
        <v>Box</v>
      </c>
      <c r="J58" s="3" t="str">
        <f>IFERROR(__xludf.DUMMYFUNCTION("""COMPUTED_VALUE"""),"Yes")</f>
        <v>Yes</v>
      </c>
      <c r="K58" s="3"/>
      <c r="L58" s="3" t="str">
        <f>IFERROR(__xludf.DUMMYFUNCTION("""COMPUTED_VALUE"""),"sftp://graphic@103.41.58.141/marketing/WarzTH_LE/Item%20Dict/BOX_Fish_lv2.png")</f>
        <v>sftp://graphic@103.41.58.141/marketing/WarzTH_LE/Item%20Dict/BOX_Fish_lv2.png</v>
      </c>
      <c r="M58" s="3"/>
      <c r="N58" s="3"/>
      <c r="O58" s="3"/>
    </row>
    <row r="59">
      <c r="A59" s="3" t="b">
        <f>IFERROR(__xludf.DUMMYFUNCTION("""COMPUTED_VALUE"""),TRUE)</f>
        <v>1</v>
      </c>
      <c r="B59" s="3" t="str">
        <f>IFERROR(__xludf.DUMMYFUNCTION("""COMPUTED_VALUE"""),"")</f>
        <v/>
      </c>
      <c r="C59" s="3">
        <f>IFERROR(__xludf.DUMMYFUNCTION("""COMPUTED_VALUE"""),101381.0)</f>
        <v>101381</v>
      </c>
      <c r="D59" s="5" t="str">
        <f>IFERROR(__xludf.DUMMYFUNCTION("""COMPUTED_VALUE"""),"https://cdn.exe.in.th/marketing/WarzTH_LE/Item%20Dict/butterfly_knife.png")</f>
        <v>https://cdn.exe.in.th/marketing/WarzTH_LE/Item%20Dict/butterfly_knife.png</v>
      </c>
      <c r="E59" s="3" t="str">
        <f>IFERROR(__xludf.DUMMYFUNCTION("""COMPUTED_VALUE"""),"Butterfly Knife")</f>
        <v>Butterfly Knife</v>
      </c>
      <c r="F59" s="2">
        <f>IFERROR(__xludf.DUMMYFUNCTION("""COMPUTED_VALUE"""),1.5)</f>
        <v>1.5</v>
      </c>
      <c r="G59" s="2" t="str">
        <f>IFERROR(__xludf.DUMMYFUNCTION("""COMPUTED_VALUE"""),"15 GC")</f>
        <v>15 GC</v>
      </c>
      <c r="H59" s="2" t="str">
        <f>IFERROR(__xludf.DUMMYFUNCTION("""COMPUTED_VALUE"""),"1,500 Dollars")</f>
        <v>1,500 Dollars</v>
      </c>
      <c r="I59" s="3" t="str">
        <f>IFERROR(__xludf.DUMMYFUNCTION("""COMPUTED_VALUE"""),"Weapon")</f>
        <v>Weapon</v>
      </c>
      <c r="J59" s="3" t="str">
        <f>IFERROR(__xludf.DUMMYFUNCTION("""COMPUTED_VALUE"""),"No")</f>
        <v>No</v>
      </c>
      <c r="K59" s="3"/>
      <c r="L59" s="3" t="str">
        <f>IFERROR(__xludf.DUMMYFUNCTION("""COMPUTED_VALUE"""),"sftp://graphic@103.41.58.141/marketing/WarzTH_LE/Item%20Dict/butterfly_knife.png")</f>
        <v>sftp://graphic@103.41.58.141/marketing/WarzTH_LE/Item%20Dict/butterfly_knife.png</v>
      </c>
      <c r="M59" s="3"/>
      <c r="N59" s="3" t="str">
        <f>IFERROR(__xludf.DUMMYFUNCTION("""COMPUTED_VALUE"""),"A folding knife with two handles counter rotating around the blade so that when its closed the blade concealed")</f>
        <v>A folding knife with two handles counter rotating around the blade so that when its closed the blade concealed</v>
      </c>
      <c r="O59" s="3"/>
    </row>
    <row r="60">
      <c r="A60" s="3" t="b">
        <f>IFERROR(__xludf.DUMMYFUNCTION("""COMPUTED_VALUE"""),TRUE)</f>
        <v>1</v>
      </c>
      <c r="B60" s="3" t="str">
        <f>IFERROR(__xludf.DUMMYFUNCTION("""COMPUTED_VALUE"""),"")</f>
        <v/>
      </c>
      <c r="C60" s="3">
        <f>IFERROR(__xludf.DUMMYFUNCTION("""COMPUTED_VALUE"""),101302.0)</f>
        <v>101302</v>
      </c>
      <c r="D60" s="5" t="str">
        <f>IFERROR(__xludf.DUMMYFUNCTION("""COMPUTED_VALUE"""),"https://cdn.exe.in.th/marketing/WarzTH_LE/Item%20Dict/vaccine_01.png")</f>
        <v>https://cdn.exe.in.th/marketing/WarzTH_LE/Item%20Dict/vaccine_01.png</v>
      </c>
      <c r="E60" s="3" t="str">
        <f>IFERROR(__xludf.DUMMYFUNCTION("""COMPUTED_VALUE"""),"C01-Vaccine")</f>
        <v>C01-Vaccine</v>
      </c>
      <c r="F60" s="2">
        <f>IFERROR(__xludf.DUMMYFUNCTION("""COMPUTED_VALUE"""),1.0)</f>
        <v>1</v>
      </c>
      <c r="G60" s="2" t="str">
        <f>IFERROR(__xludf.DUMMYFUNCTION("""COMPUTED_VALUE"""),"-")</f>
        <v>-</v>
      </c>
      <c r="H60" s="2" t="str">
        <f>IFERROR(__xludf.DUMMYFUNCTION("""COMPUTED_VALUE"""),"1,000 Dollars")</f>
        <v>1,000 Dollars</v>
      </c>
      <c r="I60" s="3" t="str">
        <f>IFERROR(__xludf.DUMMYFUNCTION("""COMPUTED_VALUE"""),"Consumable")</f>
        <v>Consumable</v>
      </c>
      <c r="J60" s="3" t="str">
        <f>IFERROR(__xludf.DUMMYFUNCTION("""COMPUTED_VALUE"""),"Yes")</f>
        <v>Yes</v>
      </c>
      <c r="K60" s="3"/>
      <c r="L60" s="3" t="str">
        <f>IFERROR(__xludf.DUMMYFUNCTION("""COMPUTED_VALUE"""),"sftp://graphic@103.41.58.141/marketing/WarzTH_LE/Item%20Dict/vaccine_01.png")</f>
        <v>sftp://graphic@103.41.58.141/marketing/WarzTH_LE/Item%20Dict/vaccine_01.png</v>
      </c>
      <c r="M60" s="3"/>
      <c r="N60" s="3" t="str">
        <f>IFERROR(__xludf.DUMMYFUNCTION("""COMPUTED_VALUE"""),"An early prototype vaccine that when injected into your bloodstream fights off the infection and lowers blood toxicity levels. Its effectiveness is low however in comparison to later developed vaccines.")</f>
        <v>An early prototype vaccine that when injected into your bloodstream fights off the infection and lowers blood toxicity levels. Its effectiveness is low however in comparison to later developed vaccines.</v>
      </c>
      <c r="O60" s="3"/>
    </row>
    <row r="61">
      <c r="A61" s="3" t="b">
        <f>IFERROR(__xludf.DUMMYFUNCTION("""COMPUTED_VALUE"""),TRUE)</f>
        <v>1</v>
      </c>
      <c r="B61" s="3" t="str">
        <f>IFERROR(__xludf.DUMMYFUNCTION("""COMPUTED_VALUE"""),"")</f>
        <v/>
      </c>
      <c r="C61" s="3">
        <f>IFERROR(__xludf.DUMMYFUNCTION("""COMPUTED_VALUE"""),101303.0)</f>
        <v>101303</v>
      </c>
      <c r="D61" s="5" t="str">
        <f>IFERROR(__xludf.DUMMYFUNCTION("""COMPUTED_VALUE"""),"https://cdn.exe.in.th/marketing/WarzTH_LE/Item%20Dict/vaccine_04.png")</f>
        <v>https://cdn.exe.in.th/marketing/WarzTH_LE/Item%20Dict/vaccine_04.png</v>
      </c>
      <c r="E61" s="3" t="str">
        <f>IFERROR(__xludf.DUMMYFUNCTION("""COMPUTED_VALUE"""),"C04-Vaccine")</f>
        <v>C04-Vaccine</v>
      </c>
      <c r="F61" s="2">
        <f>IFERROR(__xludf.DUMMYFUNCTION("""COMPUTED_VALUE"""),2.0)</f>
        <v>2</v>
      </c>
      <c r="G61" s="2" t="str">
        <f>IFERROR(__xludf.DUMMYFUNCTION("""COMPUTED_VALUE"""),"20 GC")</f>
        <v>20 GC</v>
      </c>
      <c r="H61" s="2" t="str">
        <f>IFERROR(__xludf.DUMMYFUNCTION("""COMPUTED_VALUE"""),"2,000 Dollars")</f>
        <v>2,000 Dollars</v>
      </c>
      <c r="I61" s="3" t="str">
        <f>IFERROR(__xludf.DUMMYFUNCTION("""COMPUTED_VALUE"""),"Consumable")</f>
        <v>Consumable</v>
      </c>
      <c r="J61" s="3" t="str">
        <f>IFERROR(__xludf.DUMMYFUNCTION("""COMPUTED_VALUE"""),"Yes")</f>
        <v>Yes</v>
      </c>
      <c r="K61" s="3"/>
      <c r="L61" s="3" t="str">
        <f>IFERROR(__xludf.DUMMYFUNCTION("""COMPUTED_VALUE"""),"sftp://graphic@103.41.58.141/marketing/WarzTH_LE/Item%20Dict/vaccine_04.png")</f>
        <v>sftp://graphic@103.41.58.141/marketing/WarzTH_LE/Item%20Dict/vaccine_04.png</v>
      </c>
      <c r="M61" s="3"/>
      <c r="N61" s="3" t="str">
        <f>IFERROR(__xludf.DUMMYFUNCTION("""COMPUTED_VALUE"""),"A cure to the infection that was developed only weeks after the initial signs of the infection. Having had only a few weeks of production before the infected had taken over, supply is very low and demand is extremely high for these valuable vaccines.")</f>
        <v>A cure to the infection that was developed only weeks after the initial signs of the infection. Having had only a few weeks of production before the infected had taken over, supply is very low and demand is extremely high for these valuable vaccines.</v>
      </c>
      <c r="O61" s="3"/>
    </row>
    <row r="62">
      <c r="A62" s="3" t="b">
        <f>IFERROR(__xludf.DUMMYFUNCTION("""COMPUTED_VALUE"""),TRUE)</f>
        <v>1</v>
      </c>
      <c r="B62" s="3" t="str">
        <f>IFERROR(__xludf.DUMMYFUNCTION("""COMPUTED_VALUE"""),"")</f>
        <v/>
      </c>
      <c r="C62" s="3">
        <f>IFERROR(__xludf.DUMMYFUNCTION("""COMPUTED_VALUE"""),101344.0)</f>
        <v>101344</v>
      </c>
      <c r="D62" s="5" t="str">
        <f>IFERROR(__xludf.DUMMYFUNCTION("""COMPUTED_VALUE"""),"https://cdn.exe.in.th/marketing/WarzTH_LE/Item%20Dict/canoe_paddle.png")</f>
        <v>https://cdn.exe.in.th/marketing/WarzTH_LE/Item%20Dict/canoe_paddle.png</v>
      </c>
      <c r="E62" s="3" t="str">
        <f>IFERROR(__xludf.DUMMYFUNCTION("""COMPUTED_VALUE"""),"Canoe Paddle")</f>
        <v>Canoe Paddle</v>
      </c>
      <c r="F62" s="2">
        <f>IFERROR(__xludf.DUMMYFUNCTION("""COMPUTED_VALUE"""),1.5)</f>
        <v>1.5</v>
      </c>
      <c r="G62" s="2" t="str">
        <f>IFERROR(__xludf.DUMMYFUNCTION("""COMPUTED_VALUE"""),"15 GC")</f>
        <v>15 GC</v>
      </c>
      <c r="H62" s="2" t="str">
        <f>IFERROR(__xludf.DUMMYFUNCTION("""COMPUTED_VALUE"""),"1,500 Dollars")</f>
        <v>1,500 Dollars</v>
      </c>
      <c r="I62" s="3" t="str">
        <f>IFERROR(__xludf.DUMMYFUNCTION("""COMPUTED_VALUE"""),"Weapon")</f>
        <v>Weapon</v>
      </c>
      <c r="J62" s="3" t="str">
        <f>IFERROR(__xludf.DUMMYFUNCTION("""COMPUTED_VALUE"""),"No")</f>
        <v>No</v>
      </c>
      <c r="K62" s="3"/>
      <c r="L62" s="3" t="str">
        <f>IFERROR(__xludf.DUMMYFUNCTION("""COMPUTED_VALUE"""),"sftp://graphic@103.41.58.141/marketing/WarzTH_LE/Item%20Dict/canoe_paddle.png")</f>
        <v>sftp://graphic@103.41.58.141/marketing/WarzTH_LE/Item%20Dict/canoe_paddle.png</v>
      </c>
      <c r="M62" s="3"/>
      <c r="N62" s="3" t="str">
        <f>IFERROR(__xludf.DUMMYFUNCTION("""COMPUTED_VALUE"""),"Wooden canoe paddle")</f>
        <v>Wooden canoe paddle</v>
      </c>
      <c r="O62" s="3"/>
    </row>
    <row r="63">
      <c r="A63" s="3" t="b">
        <f>IFERROR(__xludf.DUMMYFUNCTION("""COMPUTED_VALUE"""),TRUE)</f>
        <v>1</v>
      </c>
      <c r="B63" s="3" t="str">
        <f>IFERROR(__xludf.DUMMYFUNCTION("""COMPUTED_VALUE"""),"")</f>
        <v/>
      </c>
      <c r="C63" s="3">
        <f>IFERROR(__xludf.DUMMYFUNCTION("""COMPUTED_VALUE"""),101292.0)</f>
        <v>101292</v>
      </c>
      <c r="D63" s="5" t="str">
        <f>IFERROR(__xludf.DUMMYFUNCTION("""COMPUTED_VALUE"""),"https://cdn.exe.in.th/marketing/WarzTH_LE/Item%20Dict/can_of_ham.png")</f>
        <v>https://cdn.exe.in.th/marketing/WarzTH_LE/Item%20Dict/can_of_ham.png</v>
      </c>
      <c r="E63" s="3" t="str">
        <f>IFERROR(__xludf.DUMMYFUNCTION("""COMPUTED_VALUE"""),"Can of Ham")</f>
        <v>Can of Ham</v>
      </c>
      <c r="F63" s="2">
        <f>IFERROR(__xludf.DUMMYFUNCTION("""COMPUTED_VALUE"""),1.0)</f>
        <v>1</v>
      </c>
      <c r="G63" s="2" t="str">
        <f>IFERROR(__xludf.DUMMYFUNCTION("""COMPUTED_VALUE"""),"-")</f>
        <v>-</v>
      </c>
      <c r="H63" s="2" t="str">
        <f>IFERROR(__xludf.DUMMYFUNCTION("""COMPUTED_VALUE"""),"1,000 Dollars")</f>
        <v>1,000 Dollars</v>
      </c>
      <c r="I63" s="3" t="str">
        <f>IFERROR(__xludf.DUMMYFUNCTION("""COMPUTED_VALUE"""),"Consumable")</f>
        <v>Consumable</v>
      </c>
      <c r="J63" s="3" t="str">
        <f>IFERROR(__xludf.DUMMYFUNCTION("""COMPUTED_VALUE"""),"Yes")</f>
        <v>Yes</v>
      </c>
      <c r="K63" s="3"/>
      <c r="L63" s="3" t="str">
        <f>IFERROR(__xludf.DUMMYFUNCTION("""COMPUTED_VALUE"""),"sftp://graphic@103.41.58.141/marketing/WarzTH_LE/Item%20Dict/can_of_ham.png")</f>
        <v>sftp://graphic@103.41.58.141/marketing/WarzTH_LE/Item%20Dict/can_of_ham.png</v>
      </c>
      <c r="M63" s="3"/>
      <c r="N63" s="3" t="str">
        <f>IFERROR(__xludf.DUMMYFUNCTION("""COMPUTED_VALUE"""),"Mechanically separated Spiced Ham in a 5-ounce cans. May contain pig parts. Relieves moderate hunger.")</f>
        <v>Mechanically separated Spiced Ham in a 5-ounce cans. May contain pig parts. Relieves moderate hunger.</v>
      </c>
      <c r="O63" s="3"/>
    </row>
    <row r="64">
      <c r="A64" s="3" t="b">
        <f>IFERROR(__xludf.DUMMYFUNCTION("""COMPUTED_VALUE"""),TRUE)</f>
        <v>1</v>
      </c>
      <c r="B64" s="3" t="str">
        <f>IFERROR(__xludf.DUMMYFUNCTION("""COMPUTED_VALUE"""),"")</f>
        <v/>
      </c>
      <c r="C64" s="3">
        <f>IFERROR(__xludf.DUMMYFUNCTION("""COMPUTED_VALUE"""),101290.0)</f>
        <v>101290</v>
      </c>
      <c r="D64" s="5" t="str">
        <f>IFERROR(__xludf.DUMMYFUNCTION("""COMPUTED_VALUE"""),"https://cdn.exe.in.th/marketing/WarzTH_LE/Item%20Dict/can_of_pasta.png")</f>
        <v>https://cdn.exe.in.th/marketing/WarzTH_LE/Item%20Dict/can_of_pasta.png</v>
      </c>
      <c r="E64" s="3" t="str">
        <f>IFERROR(__xludf.DUMMYFUNCTION("""COMPUTED_VALUE"""),"Can of Pasta")</f>
        <v>Can of Pasta</v>
      </c>
      <c r="F64" s="2" t="str">
        <f>IFERROR(__xludf.DUMMYFUNCTION("""COMPUTED_VALUE"""),"-")</f>
        <v>-</v>
      </c>
      <c r="G64" s="2" t="str">
        <f>IFERROR(__xludf.DUMMYFUNCTION("""COMPUTED_VALUE"""),"-")</f>
        <v>-</v>
      </c>
      <c r="H64" s="2" t="str">
        <f>IFERROR(__xludf.DUMMYFUNCTION("""COMPUTED_VALUE"""),"-")</f>
        <v>-</v>
      </c>
      <c r="I64" s="3" t="str">
        <f>IFERROR(__xludf.DUMMYFUNCTION("""COMPUTED_VALUE"""),"Consumable")</f>
        <v>Consumable</v>
      </c>
      <c r="J64" s="3" t="str">
        <f>IFERROR(__xludf.DUMMYFUNCTION("""COMPUTED_VALUE"""),"Yes")</f>
        <v>Yes</v>
      </c>
      <c r="K64" s="3"/>
      <c r="L64" s="3" t="str">
        <f>IFERROR(__xludf.DUMMYFUNCTION("""COMPUTED_VALUE"""),"sftp://graphic@103.41.58.141/marketing/WarzTH_LE/Item%20Dict/can_of_pasta.png")</f>
        <v>sftp://graphic@103.41.58.141/marketing/WarzTH_LE/Item%20Dict/can_of_pasta.png</v>
      </c>
      <c r="M64" s="3"/>
      <c r="N64" s="3" t="str">
        <f>IFERROR(__xludf.DUMMYFUNCTION("""COMPUTED_VALUE"""),"A can of delicious Pasta-O's. Fortified with iron and vitamins. Low sugar and low fat. Suitable for Vegetarians. \r\nGluten Free")</f>
        <v>A can of delicious Pasta-O's. Fortified with iron and vitamins. Low sugar and low fat. Suitable for Vegetarians. \r\nGluten Free</v>
      </c>
      <c r="O64" s="3"/>
    </row>
    <row r="65">
      <c r="A65" s="3" t="b">
        <f>IFERROR(__xludf.DUMMYFUNCTION("""COMPUTED_VALUE"""),TRUE)</f>
        <v>1</v>
      </c>
      <c r="B65" s="3" t="str">
        <f>IFERROR(__xludf.DUMMYFUNCTION("""COMPUTED_VALUE"""),"")</f>
        <v/>
      </c>
      <c r="C65" s="3">
        <f>IFERROR(__xludf.DUMMYFUNCTION("""COMPUTED_VALUE"""),101296.0)</f>
        <v>101296</v>
      </c>
      <c r="D65" s="5" t="str">
        <f>IFERROR(__xludf.DUMMYFUNCTION("""COMPUTED_VALUE"""),"https://cdn.exe.in.th/marketing/WarzTH_LE/Item%20Dict/can_of_soda.png")</f>
        <v>https://cdn.exe.in.th/marketing/WarzTH_LE/Item%20Dict/can_of_soda.png</v>
      </c>
      <c r="E65" s="3" t="str">
        <f>IFERROR(__xludf.DUMMYFUNCTION("""COMPUTED_VALUE"""),"Can of soda")</f>
        <v>Can of soda</v>
      </c>
      <c r="F65" s="2" t="str">
        <f>IFERROR(__xludf.DUMMYFUNCTION("""COMPUTED_VALUE"""),"-")</f>
        <v>-</v>
      </c>
      <c r="G65" s="2" t="str">
        <f>IFERROR(__xludf.DUMMYFUNCTION("""COMPUTED_VALUE"""),"-")</f>
        <v>-</v>
      </c>
      <c r="H65" s="2" t="str">
        <f>IFERROR(__xludf.DUMMYFUNCTION("""COMPUTED_VALUE"""),"-")</f>
        <v>-</v>
      </c>
      <c r="I65" s="3" t="str">
        <f>IFERROR(__xludf.DUMMYFUNCTION("""COMPUTED_VALUE"""),"Consumable")</f>
        <v>Consumable</v>
      </c>
      <c r="J65" s="3" t="str">
        <f>IFERROR(__xludf.DUMMYFUNCTION("""COMPUTED_VALUE"""),"Yes")</f>
        <v>Yes</v>
      </c>
      <c r="K65" s="3"/>
      <c r="L65" s="3" t="str">
        <f>IFERROR(__xludf.DUMMYFUNCTION("""COMPUTED_VALUE"""),"sftp://graphic@103.41.58.141/marketing/WarzTH_LE/Item%20Dict/can_of_soda.png")</f>
        <v>sftp://graphic@103.41.58.141/marketing/WarzTH_LE/Item%20Dict/can_of_soda.png</v>
      </c>
      <c r="M65" s="3"/>
      <c r="N65" s="3" t="str">
        <f>IFERROR(__xludf.DUMMYFUNCTION("""COMPUTED_VALUE"""),"A carbonated beverage that when consumed quenches moderate thirst.")</f>
        <v>A carbonated beverage that when consumed quenches moderate thirst.</v>
      </c>
      <c r="O65" s="3"/>
    </row>
    <row r="66">
      <c r="A66" s="3" t="b">
        <f>IFERROR(__xludf.DUMMYFUNCTION("""COMPUTED_VALUE"""),TRUE)</f>
        <v>1</v>
      </c>
      <c r="B66" s="3" t="str">
        <f>IFERROR(__xludf.DUMMYFUNCTION("""COMPUTED_VALUE"""),"")</f>
        <v/>
      </c>
      <c r="C66" s="3">
        <f>IFERROR(__xludf.DUMMYFUNCTION("""COMPUTED_VALUE"""),101291.0)</f>
        <v>101291</v>
      </c>
      <c r="D66" s="5" t="str">
        <f>IFERROR(__xludf.DUMMYFUNCTION("""COMPUTED_VALUE"""),"https://cdn.exe.in.th/marketing/WarzTH_LE/Item%20Dict/can_of_soup.png")</f>
        <v>https://cdn.exe.in.th/marketing/WarzTH_LE/Item%20Dict/can_of_soup.png</v>
      </c>
      <c r="E66" s="3" t="str">
        <f>IFERROR(__xludf.DUMMYFUNCTION("""COMPUTED_VALUE"""),"Can of Soup")</f>
        <v>Can of Soup</v>
      </c>
      <c r="F66" s="2">
        <f>IFERROR(__xludf.DUMMYFUNCTION("""COMPUTED_VALUE"""),1.0)</f>
        <v>1</v>
      </c>
      <c r="G66" s="2" t="str">
        <f>IFERROR(__xludf.DUMMYFUNCTION("""COMPUTED_VALUE"""),"10 GC")</f>
        <v>10 GC</v>
      </c>
      <c r="H66" s="2" t="str">
        <f>IFERROR(__xludf.DUMMYFUNCTION("""COMPUTED_VALUE"""),"1,000 Dollars")</f>
        <v>1,000 Dollars</v>
      </c>
      <c r="I66" s="3" t="str">
        <f>IFERROR(__xludf.DUMMYFUNCTION("""COMPUTED_VALUE"""),"Consumable")</f>
        <v>Consumable</v>
      </c>
      <c r="J66" s="3" t="str">
        <f>IFERROR(__xludf.DUMMYFUNCTION("""COMPUTED_VALUE"""),"Yes")</f>
        <v>Yes</v>
      </c>
      <c r="K66" s="3"/>
      <c r="L66" s="3" t="str">
        <f>IFERROR(__xludf.DUMMYFUNCTION("""COMPUTED_VALUE"""),"sftp://graphic@103.41.58.141/marketing/WarzTH_LE/Item%20Dict/can_of_soup.png")</f>
        <v>sftp://graphic@103.41.58.141/marketing/WarzTH_LE/Item%20Dict/can_of_soup.png</v>
      </c>
      <c r="M66" s="3"/>
      <c r="N66" s="3" t="str">
        <f>IFERROR(__xludf.DUMMYFUNCTION("""COMPUTED_VALUE"""),"A can of creamy tomato soup. No need to add water. Relieves moderate hunger.")</f>
        <v>A can of creamy tomato soup. No need to add water. Relieves moderate hunger.</v>
      </c>
      <c r="O66" s="3"/>
    </row>
    <row r="67">
      <c r="A67" s="3" t="b">
        <f>IFERROR(__xludf.DUMMYFUNCTION("""COMPUTED_VALUE"""),TRUE)</f>
        <v>1</v>
      </c>
      <c r="B67" s="3" t="str">
        <f>IFERROR(__xludf.DUMMYFUNCTION("""COMPUTED_VALUE"""),"")</f>
        <v/>
      </c>
      <c r="C67" s="3">
        <f>IFERROR(__xludf.DUMMYFUNCTION("""COMPUTED_VALUE"""),101293.0)</f>
        <v>101293</v>
      </c>
      <c r="D67" s="5" t="str">
        <f>IFERROR(__xludf.DUMMYFUNCTION("""COMPUTED_VALUE"""),"https://cdn.exe.in.th/marketing/WarzTH_LE/Item%20Dict/can_of_tuna.png")</f>
        <v>https://cdn.exe.in.th/marketing/WarzTH_LE/Item%20Dict/can_of_tuna.png</v>
      </c>
      <c r="E67" s="3" t="str">
        <f>IFERROR(__xludf.DUMMYFUNCTION("""COMPUTED_VALUE"""),"Can of Tuna")</f>
        <v>Can of Tuna</v>
      </c>
      <c r="F67" s="2" t="str">
        <f>IFERROR(__xludf.DUMMYFUNCTION("""COMPUTED_VALUE"""),"-")</f>
        <v>-</v>
      </c>
      <c r="G67" s="2" t="str">
        <f>IFERROR(__xludf.DUMMYFUNCTION("""COMPUTED_VALUE"""),"-")</f>
        <v>-</v>
      </c>
      <c r="H67" s="2" t="str">
        <f>IFERROR(__xludf.DUMMYFUNCTION("""COMPUTED_VALUE"""),"-")</f>
        <v>-</v>
      </c>
      <c r="I67" s="3" t="str">
        <f>IFERROR(__xludf.DUMMYFUNCTION("""COMPUTED_VALUE"""),"Consumable")</f>
        <v>Consumable</v>
      </c>
      <c r="J67" s="3" t="str">
        <f>IFERROR(__xludf.DUMMYFUNCTION("""COMPUTED_VALUE"""),"Yes")</f>
        <v>Yes</v>
      </c>
      <c r="K67" s="3"/>
      <c r="L67" s="3" t="str">
        <f>IFERROR(__xludf.DUMMYFUNCTION("""COMPUTED_VALUE"""),"sftp://graphic@103.41.58.141/marketing/WarzTH_LE/Item%20Dict/can_of_tuna.png")</f>
        <v>sftp://graphic@103.41.58.141/marketing/WarzTH_LE/Item%20Dict/can_of_tuna.png</v>
      </c>
      <c r="M67" s="3"/>
      <c r="N67" s="3" t="str">
        <f>IFERROR(__xludf.DUMMYFUNCTION("""COMPUTED_VALUE"""),"Chunk lite savory tuna in water. Firm, flaky, fresh tasting that you can really tear into. Each serving relieves moderate hunger.")</f>
        <v>Chunk lite savory tuna in water. Firm, flaky, fresh tasting that you can really tear into. Each serving relieves moderate hunger.</v>
      </c>
      <c r="O67" s="3"/>
    </row>
    <row r="68">
      <c r="A68" s="3" t="b">
        <f>IFERROR(__xludf.DUMMYFUNCTION("""COMPUTED_VALUE"""),TRUE)</f>
        <v>1</v>
      </c>
      <c r="B68" s="3" t="str">
        <f>IFERROR(__xludf.DUMMYFUNCTION("""COMPUTED_VALUE"""),"")</f>
        <v/>
      </c>
      <c r="C68" s="3">
        <f>IFERROR(__xludf.DUMMYFUNCTION("""COMPUTED_VALUE"""),20199.0)</f>
        <v>20199</v>
      </c>
      <c r="D68" s="5" t="str">
        <f>IFERROR(__xludf.DUMMYFUNCTION("""COMPUTED_VALUE"""),"https://cdn.exe.in.th/marketing/WarzTH_LE/Item%20Dict/captain_jack_frost.png")</f>
        <v>https://cdn.exe.in.th/marketing/WarzTH_LE/Item%20Dict/captain_jack_frost.png</v>
      </c>
      <c r="E68" s="3" t="str">
        <f>IFERROR(__xludf.DUMMYFUNCTION("""COMPUTED_VALUE"""),"Captain Jack Frost")</f>
        <v>Captain Jack Frost</v>
      </c>
      <c r="F68" s="2" t="str">
        <f>IFERROR(__xludf.DUMMYFUNCTION("""COMPUTED_VALUE"""),"-")</f>
        <v>-</v>
      </c>
      <c r="G68" s="2" t="str">
        <f>IFERROR(__xludf.DUMMYFUNCTION("""COMPUTED_VALUE"""),"-")</f>
        <v>-</v>
      </c>
      <c r="H68" s="2" t="str">
        <f>IFERROR(__xludf.DUMMYFUNCTION("""COMPUTED_VALUE"""),"-")</f>
        <v>-</v>
      </c>
      <c r="I68" s="3" t="str">
        <f>IFERROR(__xludf.DUMMYFUNCTION("""COMPUTED_VALUE"""),"Equipment")</f>
        <v>Equipment</v>
      </c>
      <c r="J68" s="3" t="str">
        <f>IFERROR(__xludf.DUMMYFUNCTION("""COMPUTED_VALUE"""),"No")</f>
        <v>No</v>
      </c>
      <c r="K68" s="3"/>
      <c r="L68" s="3" t="str">
        <f>IFERROR(__xludf.DUMMYFUNCTION("""COMPUTED_VALUE"""),"sftp://graphic@103.41.58.141/marketing/WarzTH_LE/Item%20Dict/captain_jack_frost.png")</f>
        <v>sftp://graphic@103.41.58.141/marketing/WarzTH_LE/Item%20Dict/captain_jack_frost.png</v>
      </c>
      <c r="M68" s="3"/>
      <c r="N68" s="3" t="str">
        <f>IFERROR(__xludf.DUMMYFUNCTION("""COMPUTED_VALUE"""),"With a corncob pipe and a button nose...")</f>
        <v>With a corncob pipe and a button nose...</v>
      </c>
      <c r="O68" s="3"/>
    </row>
    <row r="69">
      <c r="A69" s="3" t="b">
        <f>IFERROR(__xludf.DUMMYFUNCTION("""COMPUTED_VALUE"""),TRUE)</f>
        <v>1</v>
      </c>
      <c r="B69" s="3" t="str">
        <f>IFERROR(__xludf.DUMMYFUNCTION("""COMPUTED_VALUE"""),"")</f>
        <v/>
      </c>
      <c r="C69" s="3">
        <f>IFERROR(__xludf.DUMMYFUNCTION("""COMPUTED_VALUE"""),101347.0)</f>
        <v>101347</v>
      </c>
      <c r="D69" s="5" t="str">
        <f>IFERROR(__xludf.DUMMYFUNCTION("""COMPUTED_VALUE"""),"https://cdn.exe.in.th/marketing/WarzTH_LE/Item%20Dict/chainsaw.png")</f>
        <v>https://cdn.exe.in.th/marketing/WarzTH_LE/Item%20Dict/chainsaw.png</v>
      </c>
      <c r="E69" s="3" t="str">
        <f>IFERROR(__xludf.DUMMYFUNCTION("""COMPUTED_VALUE"""),"Chainsaw")</f>
        <v>Chainsaw</v>
      </c>
      <c r="F69" s="2">
        <f>IFERROR(__xludf.DUMMYFUNCTION("""COMPUTED_VALUE"""),1.5)</f>
        <v>1.5</v>
      </c>
      <c r="G69" s="2" t="str">
        <f>IFERROR(__xludf.DUMMYFUNCTION("""COMPUTED_VALUE"""),"15 GC")</f>
        <v>15 GC</v>
      </c>
      <c r="H69" s="2" t="str">
        <f>IFERROR(__xludf.DUMMYFUNCTION("""COMPUTED_VALUE"""),"1,500 Dollars")</f>
        <v>1,500 Dollars</v>
      </c>
      <c r="I69" s="3" t="str">
        <f>IFERROR(__xludf.DUMMYFUNCTION("""COMPUTED_VALUE"""),"Weapon")</f>
        <v>Weapon</v>
      </c>
      <c r="J69" s="3" t="str">
        <f>IFERROR(__xludf.DUMMYFUNCTION("""COMPUTED_VALUE"""),"No")</f>
        <v>No</v>
      </c>
      <c r="K69" s="3"/>
      <c r="L69" s="3" t="str">
        <f>IFERROR(__xludf.DUMMYFUNCTION("""COMPUTED_VALUE"""),"sftp://graphic@103.41.58.141/marketing/WarzTH_LE/Item%20Dict/chainsaw.png")</f>
        <v>sftp://graphic@103.41.58.141/marketing/WarzTH_LE/Item%20Dict/chainsaw.png</v>
      </c>
      <c r="M69" s="3"/>
      <c r="N69" s="3" t="str">
        <f>IFERROR(__xludf.DUMMYFUNCTION("""COMPUTED_VALUE"""),"Tear through undead and living alike with this fearsome household tool")</f>
        <v>Tear through undead and living alike with this fearsome household tool</v>
      </c>
      <c r="O69" s="3"/>
    </row>
    <row r="70">
      <c r="A70" s="3" t="b">
        <f>IFERROR(__xludf.DUMMYFUNCTION("""COMPUTED_VALUE"""),TRUE)</f>
        <v>1</v>
      </c>
      <c r="B70" s="3" t="str">
        <f>IFERROR(__xludf.DUMMYFUNCTION("""COMPUTED_VALUE"""),"")</f>
        <v/>
      </c>
      <c r="C70" s="3">
        <f>IFERROR(__xludf.DUMMYFUNCTION("""COMPUTED_VALUE"""),101288.0)</f>
        <v>101288</v>
      </c>
      <c r="D70" s="5" t="str">
        <f>IFERROR(__xludf.DUMMYFUNCTION("""COMPUTED_VALUE"""),"https://cdn.exe.in.th/marketing/WarzTH_LE/Item%20Dict/chocolate_bar.png")</f>
        <v>https://cdn.exe.in.th/marketing/WarzTH_LE/Item%20Dict/chocolate_bar.png</v>
      </c>
      <c r="E70" s="3" t="str">
        <f>IFERROR(__xludf.DUMMYFUNCTION("""COMPUTED_VALUE"""),"Chocolate Bar")</f>
        <v>Chocolate Bar</v>
      </c>
      <c r="F70" s="2" t="str">
        <f>IFERROR(__xludf.DUMMYFUNCTION("""COMPUTED_VALUE"""),"-")</f>
        <v>-</v>
      </c>
      <c r="G70" s="2" t="str">
        <f>IFERROR(__xludf.DUMMYFUNCTION("""COMPUTED_VALUE"""),"-")</f>
        <v>-</v>
      </c>
      <c r="H70" s="2" t="str">
        <f>IFERROR(__xludf.DUMMYFUNCTION("""COMPUTED_VALUE"""),"-")</f>
        <v>-</v>
      </c>
      <c r="I70" s="3" t="str">
        <f>IFERROR(__xludf.DUMMYFUNCTION("""COMPUTED_VALUE"""),"Consumable")</f>
        <v>Consumable</v>
      </c>
      <c r="J70" s="3" t="str">
        <f>IFERROR(__xludf.DUMMYFUNCTION("""COMPUTED_VALUE"""),"Yes")</f>
        <v>Yes</v>
      </c>
      <c r="K70" s="3"/>
      <c r="L70" s="3" t="str">
        <f>IFERROR(__xludf.DUMMYFUNCTION("""COMPUTED_VALUE"""),"sftp://graphic@103.41.58.141/marketing/WarzTH_LE/Item%20Dict/chocolate_bar.png")</f>
        <v>sftp://graphic@103.41.58.141/marketing/WarzTH_LE/Item%20Dict/chocolate_bar.png</v>
      </c>
      <c r="M70" s="3"/>
      <c r="N70" s="3" t="str">
        <f>IFERROR(__xludf.DUMMYFUNCTION("""COMPUTED_VALUE"""),"A milk chocolate candy bar. The finest in gourmet chocolate. Each serving size provides minor sustenance.")</f>
        <v>A milk chocolate candy bar. The finest in gourmet chocolate. Each serving size provides minor sustenance.</v>
      </c>
      <c r="O70" s="3"/>
    </row>
    <row r="71">
      <c r="A71" s="3" t="b">
        <f>IFERROR(__xludf.DUMMYFUNCTION("""COMPUTED_VALUE"""),TRUE)</f>
        <v>1</v>
      </c>
      <c r="B71" s="3" t="str">
        <f>IFERROR(__xludf.DUMMYFUNCTION("""COMPUTED_VALUE"""),"")</f>
        <v/>
      </c>
      <c r="C71" s="3">
        <f>IFERROR(__xludf.DUMMYFUNCTION("""COMPUTED_VALUE"""),20197.0)</f>
        <v>20197</v>
      </c>
      <c r="D71" s="5" t="str">
        <f>IFERROR(__xludf.DUMMYFUNCTION("""COMPUTED_VALUE"""),"https://cdn.exe.in.th/marketing/WarzTH_LE/Item%20Dict/christmas_special.png")</f>
        <v>https://cdn.exe.in.th/marketing/WarzTH_LE/Item%20Dict/christmas_special.png</v>
      </c>
      <c r="E71" s="3" t="str">
        <f>IFERROR(__xludf.DUMMYFUNCTION("""COMPUTED_VALUE"""),"Christmas Special")</f>
        <v>Christmas Special</v>
      </c>
      <c r="F71" s="2" t="str">
        <f>IFERROR(__xludf.DUMMYFUNCTION("""COMPUTED_VALUE"""),"-")</f>
        <v>-</v>
      </c>
      <c r="G71" s="2" t="str">
        <f>IFERROR(__xludf.DUMMYFUNCTION("""COMPUTED_VALUE"""),"-")</f>
        <v>-</v>
      </c>
      <c r="H71" s="2" t="str">
        <f>IFERROR(__xludf.DUMMYFUNCTION("""COMPUTED_VALUE"""),"-")</f>
        <v>-</v>
      </c>
      <c r="I71" s="3" t="str">
        <f>IFERROR(__xludf.DUMMYFUNCTION("""COMPUTED_VALUE"""),"Equipment")</f>
        <v>Equipment</v>
      </c>
      <c r="J71" s="3" t="str">
        <f>IFERROR(__xludf.DUMMYFUNCTION("""COMPUTED_VALUE"""),"No")</f>
        <v>No</v>
      </c>
      <c r="K71" s="3"/>
      <c r="L71" s="3" t="str">
        <f>IFERROR(__xludf.DUMMYFUNCTION("""COMPUTED_VALUE"""),"sftp://graphic@103.41.58.141/marketing/WarzTH_LE/Item%20Dict/christmas_special.png")</f>
        <v>sftp://graphic@103.41.58.141/marketing/WarzTH_LE/Item%20Dict/christmas_special.png</v>
      </c>
      <c r="M71" s="3"/>
      <c r="N71" s="3" t="str">
        <f>IFERROR(__xludf.DUMMYFUNCTION("""COMPUTED_VALUE"""),"A yule tide treat")</f>
        <v>A yule tide treat</v>
      </c>
      <c r="O71" s="3"/>
    </row>
    <row r="72">
      <c r="A72" s="3" t="b">
        <f>IFERROR(__xludf.DUMMYFUNCTION("""COMPUTED_VALUE"""),TRUE)</f>
        <v>1</v>
      </c>
      <c r="B72" s="3" t="str">
        <f>IFERROR(__xludf.DUMMYFUNCTION("""COMPUTED_VALUE"""),"")</f>
        <v/>
      </c>
      <c r="C72" s="3">
        <f>IFERROR(__xludf.DUMMYFUNCTION("""COMPUTED_VALUE"""),20033.0)</f>
        <v>20033</v>
      </c>
      <c r="D72" s="5" t="str">
        <f>IFERROR(__xludf.DUMMYFUNCTION("""COMPUTED_VALUE"""),"https://cdn.exe.in.th/marketing/WarzTH_LE/Item%20Dict/clown_mask.png")</f>
        <v>https://cdn.exe.in.th/marketing/WarzTH_LE/Item%20Dict/clown_mask.png</v>
      </c>
      <c r="E72" s="3" t="str">
        <f>IFERROR(__xludf.DUMMYFUNCTION("""COMPUTED_VALUE"""),"Clown Mask")</f>
        <v>Clown Mask</v>
      </c>
      <c r="F72" s="2">
        <f>IFERROR(__xludf.DUMMYFUNCTION("""COMPUTED_VALUE"""),1.0)</f>
        <v>1</v>
      </c>
      <c r="G72" s="2" t="str">
        <f>IFERROR(__xludf.DUMMYFUNCTION("""COMPUTED_VALUE"""),"-")</f>
        <v>-</v>
      </c>
      <c r="H72" s="2" t="str">
        <f>IFERROR(__xludf.DUMMYFUNCTION("""COMPUTED_VALUE"""),"1,000 Dollars")</f>
        <v>1,000 Dollars</v>
      </c>
      <c r="I72" s="3" t="str">
        <f>IFERROR(__xludf.DUMMYFUNCTION("""COMPUTED_VALUE"""),"Equipment")</f>
        <v>Equipment</v>
      </c>
      <c r="J72" s="3" t="str">
        <f>IFERROR(__xludf.DUMMYFUNCTION("""COMPUTED_VALUE"""),"No")</f>
        <v>No</v>
      </c>
      <c r="K72" s="3"/>
      <c r="L72" s="3" t="str">
        <f>IFERROR(__xludf.DUMMYFUNCTION("""COMPUTED_VALUE"""),"sftp://graphic@103.41.58.141/marketing/WarzTH_LE/Item%20Dict/clown_mask.png")</f>
        <v>sftp://graphic@103.41.58.141/marketing/WarzTH_LE/Item%20Dict/clown_mask.png</v>
      </c>
      <c r="M72" s="3"/>
      <c r="N72" s="3" t="str">
        <f>IFERROR(__xludf.DUMMYFUNCTION("""COMPUTED_VALUE"""),"For all of you Jokers out there, we bring you the Clown Mask.")</f>
        <v>For all of you Jokers out there, we bring you the Clown Mask.</v>
      </c>
      <c r="O72" s="3"/>
    </row>
    <row r="73">
      <c r="A73" s="3" t="b">
        <f>IFERROR(__xludf.DUMMYFUNCTION("""COMPUTED_VALUE"""),TRUE)</f>
        <v>1</v>
      </c>
      <c r="B73" s="3" t="str">
        <f>IFERROR(__xludf.DUMMYFUNCTION("""COMPUTED_VALUE"""),"")</f>
        <v/>
      </c>
      <c r="C73" s="3">
        <f>IFERROR(__xludf.DUMMYFUNCTION("""COMPUTED_VALUE"""),101286.0)</f>
        <v>101286</v>
      </c>
      <c r="D73" s="5" t="str">
        <f>IFERROR(__xludf.DUMMYFUNCTION("""COMPUTED_VALUE"""),"https://cdn.exe.in.th/marketing/WarzTH_LE/Item%20Dict/coconut_water.png")</f>
        <v>https://cdn.exe.in.th/marketing/WarzTH_LE/Item%20Dict/coconut_water.png</v>
      </c>
      <c r="E73" s="3" t="str">
        <f>IFERROR(__xludf.DUMMYFUNCTION("""COMPUTED_VALUE"""),"Coconut Water")</f>
        <v>Coconut Water</v>
      </c>
      <c r="F73" s="2">
        <f>IFERROR(__xludf.DUMMYFUNCTION("""COMPUTED_VALUE"""),0.2)</f>
        <v>0.2</v>
      </c>
      <c r="G73" s="2" t="str">
        <f>IFERROR(__xludf.DUMMYFUNCTION("""COMPUTED_VALUE"""),"2 GC")</f>
        <v>2 GC</v>
      </c>
      <c r="H73" s="2" t="str">
        <f>IFERROR(__xludf.DUMMYFUNCTION("""COMPUTED_VALUE"""),"200 Dollars")</f>
        <v>200 Dollars</v>
      </c>
      <c r="I73" s="3" t="str">
        <f>IFERROR(__xludf.DUMMYFUNCTION("""COMPUTED_VALUE"""),"Consumable")</f>
        <v>Consumable</v>
      </c>
      <c r="J73" s="3" t="str">
        <f>IFERROR(__xludf.DUMMYFUNCTION("""COMPUTED_VALUE"""),"Yes")</f>
        <v>Yes</v>
      </c>
      <c r="K73" s="3"/>
      <c r="L73" s="3" t="str">
        <f>IFERROR(__xludf.DUMMYFUNCTION("""COMPUTED_VALUE"""),"sftp://graphic@103.41.58.141/marketing/WarzTH_LE/Item%20Dict/coconut_water.png")</f>
        <v>sftp://graphic@103.41.58.141/marketing/WarzTH_LE/Item%20Dict/coconut_water.png</v>
      </c>
      <c r="M73" s="3"/>
      <c r="N73" s="3" t="str">
        <f>IFERROR(__xludf.DUMMYFUNCTION("""COMPUTED_VALUE"""),"A bottle of delicious coconut water that when consumed quenches moderate thirst.")</f>
        <v>A bottle of delicious coconut water that when consumed quenches moderate thirst.</v>
      </c>
      <c r="O73" s="3"/>
    </row>
    <row r="74">
      <c r="A74" s="3" t="b">
        <f>IFERROR(__xludf.DUMMYFUNCTION("""COMPUTED_VALUE"""),TRUE)</f>
        <v>1</v>
      </c>
      <c r="B74" s="3" t="str">
        <f>IFERROR(__xludf.DUMMYFUNCTION("""COMPUTED_VALUE"""),"")</f>
        <v/>
      </c>
      <c r="C74" s="3">
        <f>IFERROR(__xludf.DUMMYFUNCTION("""COMPUTED_VALUE"""),101331.0)</f>
        <v>101331</v>
      </c>
      <c r="D74" s="5" t="str">
        <f>IFERROR(__xludf.DUMMYFUNCTION("""COMPUTED_VALUE"""),"https://cdn.exe.in.th/marketing/WarzTH_LE/Item%20Dict/colt_anaconda.png")</f>
        <v>https://cdn.exe.in.th/marketing/WarzTH_LE/Item%20Dict/colt_anaconda.png</v>
      </c>
      <c r="E74" s="3" t="str">
        <f>IFERROR(__xludf.DUMMYFUNCTION("""COMPUTED_VALUE"""),"Colt Anaconda")</f>
        <v>Colt Anaconda</v>
      </c>
      <c r="F74" s="2">
        <f>IFERROR(__xludf.DUMMYFUNCTION("""COMPUTED_VALUE"""),0.5)</f>
        <v>0.5</v>
      </c>
      <c r="G74" s="2" t="str">
        <f>IFERROR(__xludf.DUMMYFUNCTION("""COMPUTED_VALUE"""),"-")</f>
        <v>-</v>
      </c>
      <c r="H74" s="2" t="str">
        <f>IFERROR(__xludf.DUMMYFUNCTION("""COMPUTED_VALUE"""),"-")</f>
        <v>-</v>
      </c>
      <c r="I74" s="3" t="str">
        <f>IFERROR(__xludf.DUMMYFUNCTION("""COMPUTED_VALUE"""),"Weapon")</f>
        <v>Weapon</v>
      </c>
      <c r="J74" s="3" t="str">
        <f>IFERROR(__xludf.DUMMYFUNCTION("""COMPUTED_VALUE"""),"No")</f>
        <v>No</v>
      </c>
      <c r="K74" s="3" t="str">
        <f>IFERROR(__xludf.DUMMYFUNCTION("""COMPUTED_VALUE"""),"C")</f>
        <v>C</v>
      </c>
      <c r="L74" s="3" t="str">
        <f>IFERROR(__xludf.DUMMYFUNCTION("""COMPUTED_VALUE"""),"sftp://graphic@103.41.58.141/marketing/WarzTH_LE/Item%20Dict/colt_anaconda.png")</f>
        <v>sftp://graphic@103.41.58.141/marketing/WarzTH_LE/Item%20Dict/colt_anaconda.png</v>
      </c>
      <c r="M74" s="3"/>
      <c r="N74" s="3" t="str">
        <f>IFERROR(__xludf.DUMMYFUNCTION("""COMPUTED_VALUE"""),"Introduced in 1990, the Colt Anaconda is a large double action .44 caliber revolver featuring a six round cylinder, designed and produced by the Colt's Manufacturing Company")</f>
        <v>Introduced in 1990, the Colt Anaconda is a large double action .44 caliber revolver featuring a six round cylinder, designed and produced by the Colt's Manufacturing Company</v>
      </c>
      <c r="O74" s="3"/>
    </row>
    <row r="75">
      <c r="A75" s="3" t="b">
        <f>IFERROR(__xludf.DUMMYFUNCTION("""COMPUTED_VALUE"""),TRUE)</f>
        <v>1</v>
      </c>
      <c r="B75" s="3" t="str">
        <f>IFERROR(__xludf.DUMMYFUNCTION("""COMPUTED_VALUE"""),"")</f>
        <v/>
      </c>
      <c r="C75" s="3">
        <f>IFERROR(__xludf.DUMMYFUNCTION("""COMPUTED_VALUE"""),400019.0)</f>
        <v>400019</v>
      </c>
      <c r="D75" s="5" t="str">
        <f>IFERROR(__xludf.DUMMYFUNCTION("""COMPUTED_VALUE"""),"https://cdn.exe.in.th/marketing/WarzTH_LE/Item%20Dict/compact_scope.png")</f>
        <v>https://cdn.exe.in.th/marketing/WarzTH_LE/Item%20Dict/compact_scope.png</v>
      </c>
      <c r="E75" s="3" t="str">
        <f>IFERROR(__xludf.DUMMYFUNCTION("""COMPUTED_VALUE"""),"Compact Scope")</f>
        <v>Compact Scope</v>
      </c>
      <c r="F75" s="2">
        <f>IFERROR(__xludf.DUMMYFUNCTION("""COMPUTED_VALUE"""),5.0)</f>
        <v>5</v>
      </c>
      <c r="G75" s="2" t="str">
        <f>IFERROR(__xludf.DUMMYFUNCTION("""COMPUTED_VALUE"""),"-")</f>
        <v>-</v>
      </c>
      <c r="H75" s="2" t="str">
        <f>IFERROR(__xludf.DUMMYFUNCTION("""COMPUTED_VALUE"""),"5,000 Dollars")</f>
        <v>5,000 Dollars</v>
      </c>
      <c r="I75" s="3" t="str">
        <f>IFERROR(__xludf.DUMMYFUNCTION("""COMPUTED_VALUE"""),"Attachment")</f>
        <v>Attachment</v>
      </c>
      <c r="J75" s="3" t="str">
        <f>IFERROR(__xludf.DUMMYFUNCTION("""COMPUTED_VALUE"""),"No")</f>
        <v>No</v>
      </c>
      <c r="K75" s="3"/>
      <c r="L75" s="3" t="str">
        <f>IFERROR(__xludf.DUMMYFUNCTION("""COMPUTED_VALUE"""),"sftp://graphic@103.41.58.141/marketing/WarzTH_LE/Item%20Dict/compact_scope.png")</f>
        <v>sftp://graphic@103.41.58.141/marketing/WarzTH_LE/Item%20Dict/compact_scope.png</v>
      </c>
      <c r="M75" s="3"/>
      <c r="N75" s="3" t="str">
        <f>IFERROR(__xludf.DUMMYFUNCTION("""COMPUTED_VALUE"""),"The Swiss Compact Sight is a rail mounted scope used to extend a shooters accuracy at close and medium ranges.")</f>
        <v>The Swiss Compact Sight is a rail mounted scope used to extend a shooters accuracy at close and medium ranges.</v>
      </c>
      <c r="O75" s="3"/>
    </row>
    <row r="76">
      <c r="A76" s="3" t="b">
        <f>IFERROR(__xludf.DUMMYFUNCTION("""COMPUTED_VALUE"""),TRUE)</f>
        <v>1</v>
      </c>
      <c r="B76" s="3" t="str">
        <f>IFERROR(__xludf.DUMMYFUNCTION("""COMPUTED_VALUE"""),"")</f>
        <v/>
      </c>
      <c r="C76" s="3">
        <f>IFERROR(__xludf.DUMMYFUNCTION("""COMPUTED_VALUE"""),101322.0)</f>
        <v>101322</v>
      </c>
      <c r="D76" s="5" t="str">
        <f>IFERROR(__xludf.DUMMYFUNCTION("""COMPUTED_VALUE"""),"https://cdn.exe.in.th/marketing/WarzTH_LE/Item%20Dict/compound_crossbow.png")</f>
        <v>https://cdn.exe.in.th/marketing/WarzTH_LE/Item%20Dict/compound_crossbow.png</v>
      </c>
      <c r="E76" s="3" t="str">
        <f>IFERROR(__xludf.DUMMYFUNCTION("""COMPUTED_VALUE"""),"Compound Crossbow")</f>
        <v>Compound Crossbow</v>
      </c>
      <c r="F76" s="2">
        <f>IFERROR(__xludf.DUMMYFUNCTION("""COMPUTED_VALUE"""),0.5)</f>
        <v>0.5</v>
      </c>
      <c r="G76" s="2" t="str">
        <f>IFERROR(__xludf.DUMMYFUNCTION("""COMPUTED_VALUE"""),"-")</f>
        <v>-</v>
      </c>
      <c r="H76" s="2" t="str">
        <f>IFERROR(__xludf.DUMMYFUNCTION("""COMPUTED_VALUE"""),"-")</f>
        <v>-</v>
      </c>
      <c r="I76" s="3" t="str">
        <f>IFERROR(__xludf.DUMMYFUNCTION("""COMPUTED_VALUE"""),"Weapon")</f>
        <v>Weapon</v>
      </c>
      <c r="J76" s="3" t="str">
        <f>IFERROR(__xludf.DUMMYFUNCTION("""COMPUTED_VALUE"""),"No")</f>
        <v>No</v>
      </c>
      <c r="K76" s="3" t="str">
        <f>IFERROR(__xludf.DUMMYFUNCTION("""COMPUTED_VALUE"""),"C")</f>
        <v>C</v>
      </c>
      <c r="L76" s="3" t="str">
        <f>IFERROR(__xludf.DUMMYFUNCTION("""COMPUTED_VALUE"""),"sftp://graphic@103.41.58.141/marketing/WarzTH_LE/Item%20Dict/compound_crossbow.png")</f>
        <v>sftp://graphic@103.41.58.141/marketing/WarzTH_LE/Item%20Dict/compound_crossbow.png</v>
      </c>
      <c r="M76" s="3"/>
      <c r="N76" s="3" t="str">
        <f>IFERROR(__xludf.DUMMYFUNCTION("""COMPUTED_VALUE"""),"String drawn compound hunting crossbow for silent kills. Uses bow arrows for ammo")</f>
        <v>String drawn compound hunting crossbow for silent kills. Uses bow arrows for ammo</v>
      </c>
      <c r="O76" s="3"/>
    </row>
    <row r="77">
      <c r="A77" s="3" t="b">
        <f>IFERROR(__xludf.DUMMYFUNCTION("""COMPUTED_VALUE"""),TRUE)</f>
        <v>1</v>
      </c>
      <c r="B77" s="3" t="str">
        <f>IFERROR(__xludf.DUMMYFUNCTION("""COMPUTED_VALUE"""),"")</f>
        <v/>
      </c>
      <c r="C77" s="3">
        <f>IFERROR(__xludf.DUMMYFUNCTION("""COMPUTED_VALUE"""),101345.0)</f>
        <v>101345</v>
      </c>
      <c r="D77" s="5" t="str">
        <f>IFERROR(__xludf.DUMMYFUNCTION("""COMPUTED_VALUE"""),"https://cdn.exe.in.th/marketing/WarzTH_LE/Item%20Dict/cricket_bat.png")</f>
        <v>https://cdn.exe.in.th/marketing/WarzTH_LE/Item%20Dict/cricket_bat.png</v>
      </c>
      <c r="E77" s="3" t="str">
        <f>IFERROR(__xludf.DUMMYFUNCTION("""COMPUTED_VALUE"""),"Cricket bat")</f>
        <v>Cricket bat</v>
      </c>
      <c r="F77" s="2">
        <f>IFERROR(__xludf.DUMMYFUNCTION("""COMPUTED_VALUE"""),1.5)</f>
        <v>1.5</v>
      </c>
      <c r="G77" s="2" t="str">
        <f>IFERROR(__xludf.DUMMYFUNCTION("""COMPUTED_VALUE"""),"15 GC")</f>
        <v>15 GC</v>
      </c>
      <c r="H77" s="2" t="str">
        <f>IFERROR(__xludf.DUMMYFUNCTION("""COMPUTED_VALUE"""),"1,500 Dollars")</f>
        <v>1,500 Dollars</v>
      </c>
      <c r="I77" s="3" t="str">
        <f>IFERROR(__xludf.DUMMYFUNCTION("""COMPUTED_VALUE"""),"Weapon")</f>
        <v>Weapon</v>
      </c>
      <c r="J77" s="3" t="str">
        <f>IFERROR(__xludf.DUMMYFUNCTION("""COMPUTED_VALUE"""),"No")</f>
        <v>No</v>
      </c>
      <c r="K77" s="3"/>
      <c r="L77" s="3" t="str">
        <f>IFERROR(__xludf.DUMMYFUNCTION("""COMPUTED_VALUE"""),"sftp://graphic@103.41.58.141/marketing/WarzTH_LE/Item%20Dict/cricket_bat.png")</f>
        <v>sftp://graphic@103.41.58.141/marketing/WarzTH_LE/Item%20Dict/cricket_bat.png</v>
      </c>
      <c r="M77" s="3"/>
      <c r="N77" s="3" t="str">
        <f>IFERROR(__xludf.DUMMYFUNCTION("""COMPUTED_VALUE"""),"Score some runs and crush some skulls!")</f>
        <v>Score some runs and crush some skulls!</v>
      </c>
      <c r="O77" s="3"/>
    </row>
    <row r="78">
      <c r="A78" s="3" t="b">
        <f>IFERROR(__xludf.DUMMYFUNCTION("""COMPUTED_VALUE"""),TRUE)</f>
        <v>1</v>
      </c>
      <c r="B78" s="3" t="str">
        <f>IFERROR(__xludf.DUMMYFUNCTION("""COMPUTED_VALUE"""),"")</f>
        <v/>
      </c>
      <c r="C78" s="3">
        <f>IFERROR(__xludf.DUMMYFUNCTION("""COMPUTED_VALUE"""),101382.0)</f>
        <v>101382</v>
      </c>
      <c r="D78" s="5" t="str">
        <f>IFERROR(__xludf.DUMMYFUNCTION("""COMPUTED_VALUE"""),"https://cdn.exe.in.th/marketing/WarzTH_LE/Item%20Dict/crowbar.png")</f>
        <v>https://cdn.exe.in.th/marketing/WarzTH_LE/Item%20Dict/crowbar.png</v>
      </c>
      <c r="E78" s="3" t="str">
        <f>IFERROR(__xludf.DUMMYFUNCTION("""COMPUTED_VALUE"""),"Crowbar")</f>
        <v>Crowbar</v>
      </c>
      <c r="F78" s="2">
        <f>IFERROR(__xludf.DUMMYFUNCTION("""COMPUTED_VALUE"""),1.5)</f>
        <v>1.5</v>
      </c>
      <c r="G78" s="2" t="str">
        <f>IFERROR(__xludf.DUMMYFUNCTION("""COMPUTED_VALUE"""),"15 GC")</f>
        <v>15 GC</v>
      </c>
      <c r="H78" s="2" t="str">
        <f>IFERROR(__xludf.DUMMYFUNCTION("""COMPUTED_VALUE"""),"1,500 Dollars")</f>
        <v>1,500 Dollars</v>
      </c>
      <c r="I78" s="3" t="str">
        <f>IFERROR(__xludf.DUMMYFUNCTION("""COMPUTED_VALUE"""),"Weapon")</f>
        <v>Weapon</v>
      </c>
      <c r="J78" s="3" t="str">
        <f>IFERROR(__xludf.DUMMYFUNCTION("""COMPUTED_VALUE"""),"No")</f>
        <v>No</v>
      </c>
      <c r="K78" s="3"/>
      <c r="L78" s="3" t="str">
        <f>IFERROR(__xludf.DUMMYFUNCTION("""COMPUTED_VALUE"""),"sftp://graphic@103.41.58.141/marketing/WarzTH_LE/Item%20Dict/crowbar.png")</f>
        <v>sftp://graphic@103.41.58.141/marketing/WarzTH_LE/Item%20Dict/crowbar.png</v>
      </c>
      <c r="M78" s="3"/>
      <c r="N78" s="3" t="str">
        <f>IFERROR(__xludf.DUMMYFUNCTION("""COMPUTED_VALUE"""),"A multi use household tool, useful for construction or surviving an apocalyptic event")</f>
        <v>A multi use household tool, useful for construction or surviving an apocalyptic event</v>
      </c>
      <c r="O78" s="3"/>
    </row>
    <row r="79">
      <c r="A79" s="3" t="b">
        <f>IFERROR(__xludf.DUMMYFUNCTION("""COMPUTED_VALUE"""),TRUE)</f>
        <v>1</v>
      </c>
      <c r="B79" s="3" t="str">
        <f>IFERROR(__xludf.DUMMYFUNCTION("""COMPUTED_VALUE"""),"")</f>
        <v/>
      </c>
      <c r="C79" s="3">
        <f>IFERROR(__xludf.DUMMYFUNCTION("""COMPUTED_VALUE"""),20015.0)</f>
        <v>20015</v>
      </c>
      <c r="D79" s="5" t="str">
        <f>IFERROR(__xludf.DUMMYFUNCTION("""COMPUTED_VALUE"""),"https://cdn.exe.in.th/marketing/WarzTH_LE/Item%20Dict/custom_guerilla.png")</f>
        <v>https://cdn.exe.in.th/marketing/WarzTH_LE/Item%20Dict/custom_guerilla.png</v>
      </c>
      <c r="E79" s="3" t="str">
        <f>IFERROR(__xludf.DUMMYFUNCTION("""COMPUTED_VALUE"""),"Custom Guerilla")</f>
        <v>Custom Guerilla</v>
      </c>
      <c r="F79" s="2">
        <f>IFERROR(__xludf.DUMMYFUNCTION("""COMPUTED_VALUE"""),1.5)</f>
        <v>1.5</v>
      </c>
      <c r="G79" s="2" t="str">
        <f>IFERROR(__xludf.DUMMYFUNCTION("""COMPUTED_VALUE"""),"15 GC")</f>
        <v>15 GC</v>
      </c>
      <c r="H79" s="2" t="str">
        <f>IFERROR(__xludf.DUMMYFUNCTION("""COMPUTED_VALUE"""),"2,500 Dollars")</f>
        <v>2,500 Dollars</v>
      </c>
      <c r="I79" s="3" t="str">
        <f>IFERROR(__xludf.DUMMYFUNCTION("""COMPUTED_VALUE"""),"Equipment")</f>
        <v>Equipment</v>
      </c>
      <c r="J79" s="3" t="str">
        <f>IFERROR(__xludf.DUMMYFUNCTION("""COMPUTED_VALUE"""),"No")</f>
        <v>No</v>
      </c>
      <c r="K79" s="3"/>
      <c r="L79" s="3" t="str">
        <f>IFERROR(__xludf.DUMMYFUNCTION("""COMPUTED_VALUE"""),"sftp://graphic@103.41.58.141/marketing/WarzTH_LE/Item%20Dict/custom_guerilla.png")</f>
        <v>sftp://graphic@103.41.58.141/marketing/WarzTH_LE/Item%20Dict/custom_guerilla.png</v>
      </c>
      <c r="M79" s="3"/>
      <c r="N79" s="3" t="str">
        <f>IFERROR(__xludf.DUMMYFUNCTION("""COMPUTED_VALUE"""),"Custom designed guerilla field gear and body armor that allows for decent protection under fast moving conditions. Level 2 Protection")</f>
        <v>Custom designed guerilla field gear and body armor that allows for decent protection under fast moving conditions. Level 2 Protection</v>
      </c>
      <c r="O79" s="3"/>
    </row>
    <row r="80">
      <c r="A80" s="3" t="b">
        <f>IFERROR(__xludf.DUMMYFUNCTION("""COMPUTED_VALUE"""),TRUE)</f>
        <v>1</v>
      </c>
      <c r="B80" s="3" t="str">
        <f>IFERROR(__xludf.DUMMYFUNCTION("""COMPUTED_VALUE"""),"")</f>
        <v/>
      </c>
      <c r="C80" s="3">
        <f>IFERROR(__xludf.DUMMYFUNCTION("""COMPUTED_VALUE"""),400049.0)</f>
        <v>400049</v>
      </c>
      <c r="D80" s="5" t="str">
        <f>IFERROR(__xludf.DUMMYFUNCTION("""COMPUTED_VALUE"""),"https://cdn.exe.in.th/marketing/WarzTH_LE/Item%20Dict/evo_3_ammo.png")</f>
        <v>https://cdn.exe.in.th/marketing/WarzTH_LE/Item%20Dict/evo_3_ammo.png</v>
      </c>
      <c r="E80" s="3" t="str">
        <f>IFERROR(__xludf.DUMMYFUNCTION("""COMPUTED_VALUE"""),"CZ Scorpion EVO-3 ammo")</f>
        <v>CZ Scorpion EVO-3 ammo</v>
      </c>
      <c r="F80" s="2">
        <f>IFERROR(__xludf.DUMMYFUNCTION("""COMPUTED_VALUE"""),2.5)</f>
        <v>2.5</v>
      </c>
      <c r="G80" s="2" t="str">
        <f>IFERROR(__xludf.DUMMYFUNCTION("""COMPUTED_VALUE"""),"-")</f>
        <v>-</v>
      </c>
      <c r="H80" s="2" t="str">
        <f>IFERROR(__xludf.DUMMYFUNCTION("""COMPUTED_VALUE"""),"2,000 Dollars")</f>
        <v>2,000 Dollars</v>
      </c>
      <c r="I80" s="3" t="str">
        <f>IFERROR(__xludf.DUMMYFUNCTION("""COMPUTED_VALUE"""),"Ammo")</f>
        <v>Ammo</v>
      </c>
      <c r="J80" s="3" t="str">
        <f>IFERROR(__xludf.DUMMYFUNCTION("""COMPUTED_VALUE"""),"Yes")</f>
        <v>Yes</v>
      </c>
      <c r="K80" s="3"/>
      <c r="L80" s="3" t="str">
        <f>IFERROR(__xludf.DUMMYFUNCTION("""COMPUTED_VALUE"""),"sftp://graphic@103.41.58.141/marketing/WarzTH_LE/Item%20Dict/evo_3_ammo.png")</f>
        <v>sftp://graphic@103.41.58.141/marketing/WarzTH_LE/Item%20Dict/evo_3_ammo.png</v>
      </c>
      <c r="M80" s="3"/>
      <c r="N80" s="3" t="str">
        <f>IFERROR(__xludf.DUMMYFUNCTION("""COMPUTED_VALUE"""),"30 rounds of 9x19mm ammo for the CZ Scorpion EVO-3 submachine gun")</f>
        <v>30 rounds of 9x19mm ammo for the CZ Scorpion EVO-3 submachine gun</v>
      </c>
      <c r="O80" s="3"/>
    </row>
    <row r="81">
      <c r="A81" s="3" t="b">
        <f>IFERROR(__xludf.DUMMYFUNCTION("""COMPUTED_VALUE"""),TRUE)</f>
        <v>1</v>
      </c>
      <c r="B81" s="3" t="str">
        <f>IFERROR(__xludf.DUMMYFUNCTION("""COMPUTED_VALUE"""),"")</f>
        <v/>
      </c>
      <c r="C81" s="3">
        <f>IFERROR(__xludf.DUMMYFUNCTION("""COMPUTED_VALUE"""),101180.0)</f>
        <v>101180</v>
      </c>
      <c r="D81" s="5" t="str">
        <f>IFERROR(__xludf.DUMMYFUNCTION("""COMPUTED_VALUE"""),"https://cdn.exe.in.th/marketing/WarzTH_LE/Item%20Dict/desert_eagle.png")</f>
        <v>https://cdn.exe.in.th/marketing/WarzTH_LE/Item%20Dict/desert_eagle.png</v>
      </c>
      <c r="E81" s="3" t="str">
        <f>IFERROR(__xludf.DUMMYFUNCTION("""COMPUTED_VALUE"""),"Desert Eagle")</f>
        <v>Desert Eagle</v>
      </c>
      <c r="F81" s="2">
        <f>IFERROR(__xludf.DUMMYFUNCTION("""COMPUTED_VALUE"""),1.0)</f>
        <v>1</v>
      </c>
      <c r="G81" s="2" t="str">
        <f>IFERROR(__xludf.DUMMYFUNCTION("""COMPUTED_VALUE"""),"-")</f>
        <v>-</v>
      </c>
      <c r="H81" s="2" t="str">
        <f>IFERROR(__xludf.DUMMYFUNCTION("""COMPUTED_VALUE"""),"-")</f>
        <v>-</v>
      </c>
      <c r="I81" s="3" t="str">
        <f>IFERROR(__xludf.DUMMYFUNCTION("""COMPUTED_VALUE"""),"Weapon")</f>
        <v>Weapon</v>
      </c>
      <c r="J81" s="3" t="str">
        <f>IFERROR(__xludf.DUMMYFUNCTION("""COMPUTED_VALUE"""),"No")</f>
        <v>No</v>
      </c>
      <c r="K81" s="3" t="str">
        <f>IFERROR(__xludf.DUMMYFUNCTION("""COMPUTED_VALUE"""),"C")</f>
        <v>C</v>
      </c>
      <c r="L81" s="3" t="str">
        <f>IFERROR(__xludf.DUMMYFUNCTION("""COMPUTED_VALUE"""),"sftp://graphic@103.41.58.141/marketing/WarzTH_LE/Item%20Dict/desert_eagle.png")</f>
        <v>sftp://graphic@103.41.58.141/marketing/WarzTH_LE/Item%20Dict/desert_eagle.png</v>
      </c>
      <c r="M81" s="3"/>
      <c r="N81" s="3" t="str">
        <f>IFERROR(__xludf.DUMMYFUNCTION("""COMPUTED_VALUE"""),"The Desert Eagle handgun was designed to fire a .50 caliber round and deals a substancial amount of damage to targets at close ranges.")</f>
        <v>The Desert Eagle handgun was designed to fire a .50 caliber round and deals a substancial amount of damage to targets at close ranges.</v>
      </c>
      <c r="O81" s="3"/>
    </row>
    <row r="82">
      <c r="A82" s="3" t="b">
        <f>IFERROR(__xludf.DUMMYFUNCTION("""COMPUTED_VALUE"""),TRUE)</f>
        <v>1</v>
      </c>
      <c r="B82" s="3" t="str">
        <f>IFERROR(__xludf.DUMMYFUNCTION("""COMPUTED_VALUE"""),"")</f>
        <v/>
      </c>
      <c r="C82" s="3">
        <f>IFERROR(__xludf.DUMMYFUNCTION("""COMPUTED_VALUE"""),400086.0)</f>
        <v>400086</v>
      </c>
      <c r="D82" s="5" t="str">
        <f>IFERROR(__xludf.DUMMYFUNCTION("""COMPUTED_VALUE"""),"https://cdn.exe.in.th/marketing/WarzTH_LE/Item%20Dict/desert_eagle_ammo.png")</f>
        <v>https://cdn.exe.in.th/marketing/WarzTH_LE/Item%20Dict/desert_eagle_ammo.png</v>
      </c>
      <c r="E82" s="3" t="str">
        <f>IFERROR(__xludf.DUMMYFUNCTION("""COMPUTED_VALUE"""),"Desert Eagle ammo")</f>
        <v>Desert Eagle ammo</v>
      </c>
      <c r="F82" s="2">
        <f>IFERROR(__xludf.DUMMYFUNCTION("""COMPUTED_VALUE"""),1.0)</f>
        <v>1</v>
      </c>
      <c r="G82" s="2" t="str">
        <f>IFERROR(__xludf.DUMMYFUNCTION("""COMPUTED_VALUE"""),"10 GC")</f>
        <v>10 GC</v>
      </c>
      <c r="H82" s="2" t="str">
        <f>IFERROR(__xludf.DUMMYFUNCTION("""COMPUTED_VALUE"""),"1,000 Dollars")</f>
        <v>1,000 Dollars</v>
      </c>
      <c r="I82" s="3" t="str">
        <f>IFERROR(__xludf.DUMMYFUNCTION("""COMPUTED_VALUE"""),"Ammo")</f>
        <v>Ammo</v>
      </c>
      <c r="J82" s="3" t="str">
        <f>IFERROR(__xludf.DUMMYFUNCTION("""COMPUTED_VALUE"""),"Yes")</f>
        <v>Yes</v>
      </c>
      <c r="K82" s="3"/>
      <c r="L82" s="3" t="str">
        <f>IFERROR(__xludf.DUMMYFUNCTION("""COMPUTED_VALUE"""),"sftp://graphic@103.41.58.141/marketing/WarzTH_LE/Item%20Dict/desert_eagle_ammo.png")</f>
        <v>sftp://graphic@103.41.58.141/marketing/WarzTH_LE/Item%20Dict/desert_eagle_ammo.png</v>
      </c>
      <c r="M82" s="3"/>
      <c r="N82" s="3" t="str">
        <f>IFERROR(__xludf.DUMMYFUNCTION("""COMPUTED_VALUE"""),".50 Action Express 7 round magazine for Desert Eagle handgun.")</f>
        <v>.50 Action Express 7 round magazine for Desert Eagle handgun.</v>
      </c>
      <c r="O82" s="3"/>
    </row>
    <row r="83">
      <c r="A83" s="3" t="b">
        <f>IFERROR(__xludf.DUMMYFUNCTION("""COMPUTED_VALUE"""),TRUE)</f>
        <v>1</v>
      </c>
      <c r="B83" s="3" t="str">
        <f>IFERROR(__xludf.DUMMYFUNCTION("""COMPUTED_VALUE"""),"")</f>
        <v/>
      </c>
      <c r="C83" s="3">
        <f>IFERROR(__xludf.DUMMYFUNCTION("""COMPUTED_VALUE"""),0.0)</f>
        <v>0</v>
      </c>
      <c r="D83" s="5" t="str">
        <f>IFERROR(__xludf.DUMMYFUNCTION("""COMPUTED_VALUE"""),"https://cdn.exe.in.th/marketing/WarzTH_LE/Item%20Dict/dollars.png")</f>
        <v>https://cdn.exe.in.th/marketing/WarzTH_LE/Item%20Dict/dollars.png</v>
      </c>
      <c r="E83" s="3" t="str">
        <f>IFERROR(__xludf.DUMMYFUNCTION("""COMPUTED_VALUE"""),"Dollars")</f>
        <v>Dollars</v>
      </c>
      <c r="F83" s="3"/>
      <c r="G83" s="3"/>
      <c r="H83" s="3"/>
      <c r="I83" s="3" t="str">
        <f>IFERROR(__xludf.DUMMYFUNCTION("""COMPUTED_VALUE"""),"Game Currency")</f>
        <v>Game Currency</v>
      </c>
      <c r="J83" s="3" t="str">
        <f>IFERROR(__xludf.DUMMYFUNCTION("""COMPUTED_VALUE"""),"Yes")</f>
        <v>Yes</v>
      </c>
      <c r="K83" s="3"/>
      <c r="L83" s="3" t="str">
        <f>IFERROR(__xludf.DUMMYFUNCTION("""COMPUTED_VALUE"""),"sftp://graphic@103.41.58.141/marketing/WarzTH_LE/Item%20Dict/dollars.png")</f>
        <v>sftp://graphic@103.41.58.141/marketing/WarzTH_LE/Item%20Dict/dollars.png</v>
      </c>
      <c r="M83" s="3"/>
      <c r="N83" s="3"/>
      <c r="O83" s="3"/>
    </row>
    <row r="84">
      <c r="A84" s="3" t="b">
        <f>IFERROR(__xludf.DUMMYFUNCTION("""COMPUTED_VALUE"""),TRUE)</f>
        <v>1</v>
      </c>
      <c r="B84" s="3" t="str">
        <f>IFERROR(__xludf.DUMMYFUNCTION("""COMPUTED_VALUE"""),"")</f>
        <v/>
      </c>
      <c r="C84" s="3">
        <f>IFERROR(__xludf.DUMMYFUNCTION("""COMPUTED_VALUE"""),101321.0)</f>
        <v>101321</v>
      </c>
      <c r="D84" s="5" t="str">
        <f>IFERROR(__xludf.DUMMYFUNCTION("""COMPUTED_VALUE"""),"https://cdn.exe.in.th/marketing/WarzTH_LE/Item%20Dict/double_barrel.png")</f>
        <v>https://cdn.exe.in.th/marketing/WarzTH_LE/Item%20Dict/double_barrel.png</v>
      </c>
      <c r="E84" s="3" t="str">
        <f>IFERROR(__xludf.DUMMYFUNCTION("""COMPUTED_VALUE"""),"Double Barrel")</f>
        <v>Double Barrel</v>
      </c>
      <c r="F84" s="2">
        <f>IFERROR(__xludf.DUMMYFUNCTION("""COMPUTED_VALUE"""),0.5)</f>
        <v>0.5</v>
      </c>
      <c r="G84" s="2" t="str">
        <f>IFERROR(__xludf.DUMMYFUNCTION("""COMPUTED_VALUE"""),"-")</f>
        <v>-</v>
      </c>
      <c r="H84" s="2" t="str">
        <f>IFERROR(__xludf.DUMMYFUNCTION("""COMPUTED_VALUE"""),"-")</f>
        <v>-</v>
      </c>
      <c r="I84" s="3" t="str">
        <f>IFERROR(__xludf.DUMMYFUNCTION("""COMPUTED_VALUE"""),"Weapon")</f>
        <v>Weapon</v>
      </c>
      <c r="J84" s="3" t="str">
        <f>IFERROR(__xludf.DUMMYFUNCTION("""COMPUTED_VALUE"""),"No")</f>
        <v>No</v>
      </c>
      <c r="K84" s="3" t="str">
        <f>IFERROR(__xludf.DUMMYFUNCTION("""COMPUTED_VALUE"""),"C")</f>
        <v>C</v>
      </c>
      <c r="L84" s="3" t="str">
        <f>IFERROR(__xludf.DUMMYFUNCTION("""COMPUTED_VALUE"""),"sftp://graphic@103.41.58.141/marketing/WarzTH_LE/Item%20Dict/double_barrel.png")</f>
        <v>sftp://graphic@103.41.58.141/marketing/WarzTH_LE/Item%20Dict/double_barrel.png</v>
      </c>
      <c r="M84" s="3"/>
      <c r="N84" s="3" t="str">
        <f>IFERROR(__xludf.DUMMYFUNCTION("""COMPUTED_VALUE"""),"Also known as Doubles or Broomsticks, this powerful shotgun allows two shots to be fired in quick succession before reloading")</f>
        <v>Also known as Doubles or Broomsticks, this powerful shotgun allows two shots to be fired in quick succession before reloading</v>
      </c>
      <c r="O84" s="3"/>
    </row>
    <row r="85">
      <c r="A85" s="3" t="b">
        <f>IFERROR(__xludf.DUMMYFUNCTION("""COMPUTED_VALUE"""),TRUE)</f>
        <v>1</v>
      </c>
      <c r="B85" s="3" t="str">
        <f>IFERROR(__xludf.DUMMYFUNCTION("""COMPUTED_VALUE"""),"")</f>
        <v/>
      </c>
      <c r="C85" s="3">
        <f>IFERROR(__xludf.DUMMYFUNCTION("""COMPUTED_VALUE"""),101295.0)</f>
        <v>101295</v>
      </c>
      <c r="D85" s="5" t="str">
        <f>IFERROR(__xludf.DUMMYFUNCTION("""COMPUTED_VALUE"""),"https://cdn.exe.in.th/marketing/WarzTH_LE/Item%20Dict/electro_aid.png")</f>
        <v>https://cdn.exe.in.th/marketing/WarzTH_LE/Item%20Dict/electro_aid.png</v>
      </c>
      <c r="E85" s="3" t="str">
        <f>IFERROR(__xludf.DUMMYFUNCTION("""COMPUTED_VALUE"""),"Electro-AID")</f>
        <v>Electro-AID</v>
      </c>
      <c r="F85" s="2">
        <f>IFERROR(__xludf.DUMMYFUNCTION("""COMPUTED_VALUE"""),2.5)</f>
        <v>2.5</v>
      </c>
      <c r="G85" s="2" t="str">
        <f>IFERROR(__xludf.DUMMYFUNCTION("""COMPUTED_VALUE"""),"-")</f>
        <v>-</v>
      </c>
      <c r="H85" s="2" t="str">
        <f>IFERROR(__xludf.DUMMYFUNCTION("""COMPUTED_VALUE"""),"2,000 Dollars")</f>
        <v>2,000 Dollars</v>
      </c>
      <c r="I85" s="3" t="str">
        <f>IFERROR(__xludf.DUMMYFUNCTION("""COMPUTED_VALUE"""),"Consumable")</f>
        <v>Consumable</v>
      </c>
      <c r="J85" s="3" t="str">
        <f>IFERROR(__xludf.DUMMYFUNCTION("""COMPUTED_VALUE"""),"Yes")</f>
        <v>Yes</v>
      </c>
      <c r="K85" s="3"/>
      <c r="L85" s="3" t="str">
        <f>IFERROR(__xludf.DUMMYFUNCTION("""COMPUTED_VALUE"""),"sftp://graphic@103.41.58.141/marketing/WarzTH_LE/Item%20Dict/electro_aid.png")</f>
        <v>sftp://graphic@103.41.58.141/marketing/WarzTH_LE/Item%20Dict/electro_aid.png</v>
      </c>
      <c r="M85" s="3"/>
      <c r="N85" s="3" t="str">
        <f>IFERROR(__xludf.DUMMYFUNCTION("""COMPUTED_VALUE"""),"A flavored drink with electrolytes that when consumed quenches moderate thirst.")</f>
        <v>A flavored drink with electrolytes that when consumed quenches moderate thirst.</v>
      </c>
      <c r="O85" s="3"/>
    </row>
    <row r="86">
      <c r="A86" s="3" t="b">
        <f>IFERROR(__xludf.DUMMYFUNCTION("""COMPUTED_VALUE"""),TRUE)</f>
        <v>1</v>
      </c>
      <c r="B86" s="3" t="str">
        <f>IFERROR(__xludf.DUMMYFUNCTION("""COMPUTED_VALUE"""),"")</f>
        <v/>
      </c>
      <c r="C86" s="3">
        <f>IFERROR(__xludf.DUMMYFUNCTION("""COMPUTED_VALUE"""),101294.0)</f>
        <v>101294</v>
      </c>
      <c r="D86" s="5" t="str">
        <f>IFERROR(__xludf.DUMMYFUNCTION("""COMPUTED_VALUE"""),"https://cdn.exe.in.th/marketing/WarzTH_LE/Item%20Dict/energy_drink.png")</f>
        <v>https://cdn.exe.in.th/marketing/WarzTH_LE/Item%20Dict/energy_drink.png</v>
      </c>
      <c r="E86" s="3" t="str">
        <f>IFERROR(__xludf.DUMMYFUNCTION("""COMPUTED_VALUE"""),"Energy drink")</f>
        <v>Energy drink</v>
      </c>
      <c r="F86" s="2">
        <f>IFERROR(__xludf.DUMMYFUNCTION("""COMPUTED_VALUE"""),1.0)</f>
        <v>1</v>
      </c>
      <c r="G86" s="2" t="str">
        <f>IFERROR(__xludf.DUMMYFUNCTION("""COMPUTED_VALUE"""),"-")</f>
        <v>-</v>
      </c>
      <c r="H86" s="2" t="str">
        <f>IFERROR(__xludf.DUMMYFUNCTION("""COMPUTED_VALUE"""),"700 Dollars")</f>
        <v>700 Dollars</v>
      </c>
      <c r="I86" s="3" t="str">
        <f>IFERROR(__xludf.DUMMYFUNCTION("""COMPUTED_VALUE"""),"Consumable")</f>
        <v>Consumable</v>
      </c>
      <c r="J86" s="3" t="str">
        <f>IFERROR(__xludf.DUMMYFUNCTION("""COMPUTED_VALUE"""),"Yes")</f>
        <v>Yes</v>
      </c>
      <c r="K86" s="3"/>
      <c r="L86" s="3" t="str">
        <f>IFERROR(__xludf.DUMMYFUNCTION("""COMPUTED_VALUE"""),"sftp://graphic@103.41.58.141/marketing/WarzTH_LE/Item%20Dict/energy_drink.png")</f>
        <v>sftp://graphic@103.41.58.141/marketing/WarzTH_LE/Item%20Dict/energy_drink.png</v>
      </c>
      <c r="M86" s="3"/>
      <c r="N86" s="3" t="str">
        <f>IFERROR(__xludf.DUMMYFUNCTION("""COMPUTED_VALUE"""),"A caffeine jump-start that when consumed quenches moderate thirst.")</f>
        <v>A caffeine jump-start that when consumed quenches moderate thirst.</v>
      </c>
      <c r="O86" s="3"/>
    </row>
    <row r="87">
      <c r="A87" s="3" t="b">
        <f>IFERROR(__xludf.DUMMYFUNCTION("""COMPUTED_VALUE"""),TRUE)</f>
        <v>1</v>
      </c>
      <c r="B87" s="3" t="str">
        <f>IFERROR(__xludf.DUMMYFUNCTION("""COMPUTED_VALUE"""),"")</f>
        <v/>
      </c>
      <c r="C87" s="3">
        <f>IFERROR(__xludf.DUMMYFUNCTION("""COMPUTED_VALUE"""),101108.0)</f>
        <v>101108</v>
      </c>
      <c r="D87" s="5" t="str">
        <f>IFERROR(__xludf.DUMMYFUNCTION("""COMPUTED_VALUE"""),"https://cdn.exe.in.th/marketing/WarzTH_LE/Item%20Dict/evo-3.png")</f>
        <v>https://cdn.exe.in.th/marketing/WarzTH_LE/Item%20Dict/evo-3.png</v>
      </c>
      <c r="E87" s="3" t="str">
        <f>IFERROR(__xludf.DUMMYFUNCTION("""COMPUTED_VALUE"""),"EVO-3")</f>
        <v>EVO-3</v>
      </c>
      <c r="F87" s="2">
        <f>IFERROR(__xludf.DUMMYFUNCTION("""COMPUTED_VALUE"""),2.0)</f>
        <v>2</v>
      </c>
      <c r="G87" s="2" t="str">
        <f>IFERROR(__xludf.DUMMYFUNCTION("""COMPUTED_VALUE"""),"-")</f>
        <v>-</v>
      </c>
      <c r="H87" s="2" t="str">
        <f>IFERROR(__xludf.DUMMYFUNCTION("""COMPUTED_VALUE"""),"-")</f>
        <v>-</v>
      </c>
      <c r="I87" s="3" t="str">
        <f>IFERROR(__xludf.DUMMYFUNCTION("""COMPUTED_VALUE"""),"Weapon")</f>
        <v>Weapon</v>
      </c>
      <c r="J87" s="3" t="str">
        <f>IFERROR(__xludf.DUMMYFUNCTION("""COMPUTED_VALUE"""),"No")</f>
        <v>No</v>
      </c>
      <c r="K87" s="3" t="str">
        <f>IFERROR(__xludf.DUMMYFUNCTION("""COMPUTED_VALUE"""),"C")</f>
        <v>C</v>
      </c>
      <c r="L87" s="3" t="str">
        <f>IFERROR(__xludf.DUMMYFUNCTION("""COMPUTED_VALUE"""),"sftp://graphic@103.41.58.141/marketing/WarzTH_LE/Item%20Dict/evo-3.png")</f>
        <v>sftp://graphic@103.41.58.141/marketing/WarzTH_LE/Item%20Dict/evo-3.png</v>
      </c>
      <c r="M87" s="3"/>
      <c r="N87" s="3" t="str">
        <f>IFERROR(__xludf.DUMMYFUNCTION("""COMPUTED_VALUE"""),"The EVO-3 submachine gun was designed to effectively fire 9 mm rounds from a 25 round magazine at close ranged targets at a very high rate of fire..")</f>
        <v>The EVO-3 submachine gun was designed to effectively fire 9 mm rounds from a 25 round magazine at close ranged targets at a very high rate of fire..</v>
      </c>
      <c r="O87" s="3"/>
    </row>
    <row r="88">
      <c r="A88" s="3" t="b">
        <f>IFERROR(__xludf.DUMMYFUNCTION("""COMPUTED_VALUE"""),TRUE)</f>
        <v>1</v>
      </c>
      <c r="B88" s="3" t="str">
        <f>IFERROR(__xludf.DUMMYFUNCTION("""COMPUTED_VALUE"""),"")</f>
        <v/>
      </c>
      <c r="C88" s="3">
        <f>IFERROR(__xludf.DUMMYFUNCTION("""COMPUTED_VALUE"""),20182.0)</f>
        <v>20182</v>
      </c>
      <c r="D88" s="5" t="str">
        <f>IFERROR(__xludf.DUMMYFUNCTION("""COMPUTED_VALUE"""),"https://cdn.exe.in.th/marketing/WarzTH_LE/Item%20Dict/ex_cage_fighter.png")</f>
        <v>https://cdn.exe.in.th/marketing/WarzTH_LE/Item%20Dict/ex_cage_fighter.png</v>
      </c>
      <c r="E88" s="3" t="str">
        <f>IFERROR(__xludf.DUMMYFUNCTION("""COMPUTED_VALUE"""),"Ex cage fighter")</f>
        <v>Ex cage fighter</v>
      </c>
      <c r="F88" s="2">
        <f>IFERROR(__xludf.DUMMYFUNCTION("""COMPUTED_VALUE"""),90.0)</f>
        <v>90</v>
      </c>
      <c r="G88" s="2" t="str">
        <f>IFERROR(__xludf.DUMMYFUNCTION("""COMPUTED_VALUE"""),"900 GC")</f>
        <v>900 GC</v>
      </c>
      <c r="H88" s="2" t="str">
        <f>IFERROR(__xludf.DUMMYFUNCTION("""COMPUTED_VALUE"""),"72,000 Dollars")</f>
        <v>72,000 Dollars</v>
      </c>
      <c r="I88" s="3" t="str">
        <f>IFERROR(__xludf.DUMMYFUNCTION("""COMPUTED_VALUE"""),"Character")</f>
        <v>Character</v>
      </c>
      <c r="J88" s="3" t="str">
        <f>IFERROR(__xludf.DUMMYFUNCTION("""COMPUTED_VALUE"""),"No")</f>
        <v>No</v>
      </c>
      <c r="K88" s="3"/>
      <c r="L88" s="3" t="str">
        <f>IFERROR(__xludf.DUMMYFUNCTION("""COMPUTED_VALUE"""),"sftp://graphic@103.41.58.141/marketing/WarzTH_LE/Item%20Dict/ex_cage_fighter.png")</f>
        <v>sftp://graphic@103.41.58.141/marketing/WarzTH_LE/Item%20Dict/ex_cage_fighter.png</v>
      </c>
      <c r="M88" s="3"/>
      <c r="N88" s="3" t="str">
        <f>IFERROR(__xludf.DUMMYFUNCTION("""COMPUTED_VALUE"""),"-")</f>
        <v>-</v>
      </c>
      <c r="O88" s="3"/>
    </row>
    <row r="89">
      <c r="A89" s="3" t="b">
        <f>IFERROR(__xludf.DUMMYFUNCTION("""COMPUTED_VALUE"""),TRUE)</f>
        <v>1</v>
      </c>
      <c r="B89" s="3" t="str">
        <f>IFERROR(__xludf.DUMMYFUNCTION("""COMPUTED_VALUE"""),"")</f>
        <v/>
      </c>
      <c r="C89" s="3">
        <f>IFERROR(__xludf.DUMMYFUNCTION("""COMPUTED_VALUE"""),20174.0)</f>
        <v>20174</v>
      </c>
      <c r="D89" s="5" t="str">
        <f>IFERROR(__xludf.DUMMYFUNCTION("""COMPUTED_VALUE"""),"https://cdn.exe.in.th/marketing/WarzTH_LE/Item%20Dict/ex_military.png")</f>
        <v>https://cdn.exe.in.th/marketing/WarzTH_LE/Item%20Dict/ex_military.png</v>
      </c>
      <c r="E89" s="3" t="str">
        <f>IFERROR(__xludf.DUMMYFUNCTION("""COMPUTED_VALUE"""),"Ex Military")</f>
        <v>Ex Military</v>
      </c>
      <c r="F89" s="2" t="str">
        <f>IFERROR(__xludf.DUMMYFUNCTION("""COMPUTED_VALUE"""),"-")</f>
        <v>-</v>
      </c>
      <c r="G89" s="2" t="str">
        <f>IFERROR(__xludf.DUMMYFUNCTION("""COMPUTED_VALUE"""),"-")</f>
        <v>-</v>
      </c>
      <c r="H89" s="2" t="str">
        <f>IFERROR(__xludf.DUMMYFUNCTION("""COMPUTED_VALUE"""),"-")</f>
        <v>-</v>
      </c>
      <c r="I89" s="3" t="str">
        <f>IFERROR(__xludf.DUMMYFUNCTION("""COMPUTED_VALUE"""),"Character")</f>
        <v>Character</v>
      </c>
      <c r="J89" s="3" t="str">
        <f>IFERROR(__xludf.DUMMYFUNCTION("""COMPUTED_VALUE"""),"No")</f>
        <v>No</v>
      </c>
      <c r="K89" s="3"/>
      <c r="L89" s="3" t="str">
        <f>IFERROR(__xludf.DUMMYFUNCTION("""COMPUTED_VALUE"""),"sftp://graphic@103.41.58.141/marketing/WarzTH_LE/Item%20Dict/ex_military.png")</f>
        <v>sftp://graphic@103.41.58.141/marketing/WarzTH_LE/Item%20Dict/ex_military.png</v>
      </c>
      <c r="M89" s="3"/>
      <c r="N89" s="3" t="str">
        <f>IFERROR(__xludf.DUMMYFUNCTION("""COMPUTED_VALUE"""),"-")</f>
        <v>-</v>
      </c>
      <c r="O89" s="3"/>
    </row>
    <row r="90">
      <c r="A90" s="3" t="b">
        <f>IFERROR(__xludf.DUMMYFUNCTION("""COMPUTED_VALUE"""),TRUE)</f>
        <v>1</v>
      </c>
      <c r="B90" s="3"/>
      <c r="C90" s="3">
        <f>IFERROR(__xludf.DUMMYFUNCTION("""COMPUTED_VALUE"""),2.0)</f>
        <v>2</v>
      </c>
      <c r="D90" s="3"/>
      <c r="E90" s="3" t="str">
        <f>IFERROR(__xludf.DUMMYFUNCTION("""COMPUTED_VALUE"""),"EXP")</f>
        <v>EXP</v>
      </c>
      <c r="F90" s="3"/>
      <c r="G90" s="3"/>
      <c r="H90" s="3"/>
      <c r="I90" s="3" t="str">
        <f>IFERROR(__xludf.DUMMYFUNCTION("""COMPUTED_VALUE"""),"Game Currency")</f>
        <v>Game Currency</v>
      </c>
      <c r="J90" s="3" t="str">
        <f>IFERROR(__xludf.DUMMYFUNCTION("""COMPUTED_VALUE"""),"Yes")</f>
        <v>Yes</v>
      </c>
      <c r="K90" s="3"/>
      <c r="L90" s="3"/>
      <c r="M90" s="3"/>
      <c r="N90" s="3"/>
      <c r="O90" s="3"/>
    </row>
    <row r="91">
      <c r="A91" s="3" t="b">
        <f>IFERROR(__xludf.DUMMYFUNCTION("""COMPUTED_VALUE"""),TRUE)</f>
        <v>1</v>
      </c>
      <c r="B91" s="3" t="str">
        <f>IFERROR(__xludf.DUMMYFUNCTION("""COMPUTED_VALUE"""),"")</f>
        <v/>
      </c>
      <c r="C91" s="3">
        <f>IFERROR(__xludf.DUMMYFUNCTION("""COMPUTED_VALUE"""),101001.0)</f>
        <v>101001</v>
      </c>
      <c r="D91" s="5" t="str">
        <f>IFERROR(__xludf.DUMMYFUNCTION("""COMPUTED_VALUE"""),"https://cdn.exe.in.th/marketing/WarzTH_LE/Item%20Dict/famas.png")</f>
        <v>https://cdn.exe.in.th/marketing/WarzTH_LE/Item%20Dict/famas.png</v>
      </c>
      <c r="E91" s="3" t="str">
        <f>IFERROR(__xludf.DUMMYFUNCTION("""COMPUTED_VALUE"""),"Famas")</f>
        <v>Famas</v>
      </c>
      <c r="F91" s="2">
        <f>IFERROR(__xludf.DUMMYFUNCTION("""COMPUTED_VALUE"""),700.0)</f>
        <v>700</v>
      </c>
      <c r="G91" s="2" t="str">
        <f>IFERROR(__xludf.DUMMYFUNCTION("""COMPUTED_VALUE"""),"-")</f>
        <v>-</v>
      </c>
      <c r="H91" s="2" t="str">
        <f>IFERROR(__xludf.DUMMYFUNCTION("""COMPUTED_VALUE"""),"-")</f>
        <v>-</v>
      </c>
      <c r="I91" s="3" t="str">
        <f>IFERROR(__xludf.DUMMYFUNCTION("""COMPUTED_VALUE"""),"Weapon")</f>
        <v>Weapon</v>
      </c>
      <c r="J91" s="3" t="str">
        <f>IFERROR(__xludf.DUMMYFUNCTION("""COMPUTED_VALUE"""),"No")</f>
        <v>No</v>
      </c>
      <c r="K91" s="3" t="str">
        <f>IFERROR(__xludf.DUMMYFUNCTION("""COMPUTED_VALUE"""),"SR")</f>
        <v>SR</v>
      </c>
      <c r="L91" s="3" t="str">
        <f>IFERROR(__xludf.DUMMYFUNCTION("""COMPUTED_VALUE"""),"sftp://graphic@103.41.58.141/marketing/WarzTH_LE/Item%20Dict/famas.png")</f>
        <v>sftp://graphic@103.41.58.141/marketing/WarzTH_LE/Item%20Dict/famas.png</v>
      </c>
      <c r="M91" s="3"/>
      <c r="N91" s="3" t="str">
        <f>IFERROR(__xludf.DUMMYFUNCTION("""COMPUTED_VALUE"""),"The Famas rifle is a gas operated standard infantry assault rifle, chambered for 5.56x45mm NATO round.")</f>
        <v>The Famas rifle is a gas operated standard infantry assault rifle, chambered for 5.56x45mm NATO round.</v>
      </c>
      <c r="O91" s="3"/>
    </row>
    <row r="92">
      <c r="A92" s="3" t="b">
        <f>IFERROR(__xludf.DUMMYFUNCTION("""COMPUTED_VALUE"""),TRUE)</f>
        <v>1</v>
      </c>
      <c r="B92" s="3" t="str">
        <f>IFERROR(__xludf.DUMMYFUNCTION("""COMPUTED_VALUE"""),"")</f>
        <v/>
      </c>
      <c r="C92" s="3">
        <f>IFERROR(__xludf.DUMMYFUNCTION("""COMPUTED_VALUE"""),101383.0)</f>
        <v>101383</v>
      </c>
      <c r="D92" s="5" t="str">
        <f>IFERROR(__xludf.DUMMYFUNCTION("""COMPUTED_VALUE"""),"https://cdn.exe.in.th/marketing/WarzTH_LE/Item%20Dict/fire_axe.png")</f>
        <v>https://cdn.exe.in.th/marketing/WarzTH_LE/Item%20Dict/fire_axe.png</v>
      </c>
      <c r="E92" s="3" t="str">
        <f>IFERROR(__xludf.DUMMYFUNCTION("""COMPUTED_VALUE"""),"Fire Axe")</f>
        <v>Fire Axe</v>
      </c>
      <c r="F92" s="2">
        <f>IFERROR(__xludf.DUMMYFUNCTION("""COMPUTED_VALUE"""),1.5)</f>
        <v>1.5</v>
      </c>
      <c r="G92" s="2" t="str">
        <f>IFERROR(__xludf.DUMMYFUNCTION("""COMPUTED_VALUE"""),"15 GC")</f>
        <v>15 GC</v>
      </c>
      <c r="H92" s="2" t="str">
        <f>IFERROR(__xludf.DUMMYFUNCTION("""COMPUTED_VALUE"""),"1,500 Dollars")</f>
        <v>1,500 Dollars</v>
      </c>
      <c r="I92" s="3" t="str">
        <f>IFERROR(__xludf.DUMMYFUNCTION("""COMPUTED_VALUE"""),"Weapon")</f>
        <v>Weapon</v>
      </c>
      <c r="J92" s="3" t="str">
        <f>IFERROR(__xludf.DUMMYFUNCTION("""COMPUTED_VALUE"""),"No")</f>
        <v>No</v>
      </c>
      <c r="K92" s="3"/>
      <c r="L92" s="3" t="str">
        <f>IFERROR(__xludf.DUMMYFUNCTION("""COMPUTED_VALUE"""),"sftp://graphic@103.41.58.141/marketing/WarzTH_LE/Item%20Dict/fire_axe.png")</f>
        <v>sftp://graphic@103.41.58.141/marketing/WarzTH_LE/Item%20Dict/fire_axe.png</v>
      </c>
      <c r="M92" s="3"/>
      <c r="N92" s="3" t="str">
        <f>IFERROR(__xludf.DUMMYFUNCTION("""COMPUTED_VALUE"""),"Standard issue axe used by firefighters to enter buildings and remove dangerous debris")</f>
        <v>Standard issue axe used by firefighters to enter buildings and remove dangerous debris</v>
      </c>
      <c r="O92" s="3"/>
    </row>
    <row r="93">
      <c r="A93" s="3" t="b">
        <f>IFERROR(__xludf.DUMMYFUNCTION("""COMPUTED_VALUE"""),TRUE)</f>
        <v>1</v>
      </c>
      <c r="B93" s="3" t="str">
        <f>IFERROR(__xludf.DUMMYFUNCTION("""COMPUTED_VALUE"""),"")</f>
        <v/>
      </c>
      <c r="C93" s="3">
        <f>IFERROR(__xludf.DUMMYFUNCTION("""COMPUTED_VALUE"""),20097.0)</f>
        <v>20097</v>
      </c>
      <c r="D93" s="5" t="str">
        <f>IFERROR(__xludf.DUMMYFUNCTION("""COMPUTED_VALUE"""),"https://cdn.exe.in.th/marketing/WarzTH_LE/Item%20Dict/fireman_helmet.png")</f>
        <v>https://cdn.exe.in.th/marketing/WarzTH_LE/Item%20Dict/fireman_helmet.png</v>
      </c>
      <c r="E93" s="3" t="str">
        <f>IFERROR(__xludf.DUMMYFUNCTION("""COMPUTED_VALUE"""),"Fireman Helmet")</f>
        <v>Fireman Helmet</v>
      </c>
      <c r="F93" s="2">
        <f>IFERROR(__xludf.DUMMYFUNCTION("""COMPUTED_VALUE"""),1.0)</f>
        <v>1</v>
      </c>
      <c r="G93" s="2" t="str">
        <f>IFERROR(__xludf.DUMMYFUNCTION("""COMPUTED_VALUE"""),"-")</f>
        <v>-</v>
      </c>
      <c r="H93" s="2" t="str">
        <f>IFERROR(__xludf.DUMMYFUNCTION("""COMPUTED_VALUE"""),"1,000 Dollars")</f>
        <v>1,000 Dollars</v>
      </c>
      <c r="I93" s="3" t="str">
        <f>IFERROR(__xludf.DUMMYFUNCTION("""COMPUTED_VALUE"""),"Equipment")</f>
        <v>Equipment</v>
      </c>
      <c r="J93" s="3" t="str">
        <f>IFERROR(__xludf.DUMMYFUNCTION("""COMPUTED_VALUE"""),"No")</f>
        <v>No</v>
      </c>
      <c r="K93" s="3"/>
      <c r="L93" s="3" t="str">
        <f>IFERROR(__xludf.DUMMYFUNCTION("""COMPUTED_VALUE"""),"sftp://graphic@103.41.58.141/marketing/WarzTH_LE/Item%20Dict/fireman_helmet.png")</f>
        <v>sftp://graphic@103.41.58.141/marketing/WarzTH_LE/Item%20Dict/fireman_helmet.png</v>
      </c>
      <c r="M93" s="3"/>
      <c r="N93" s="3" t="str">
        <f>IFERROR(__xludf.DUMMYFUNCTION("""COMPUTED_VALUE"""),"The traditional Firefighters helmet has been saving men for years. Give it a try if you want to be different in the battlezone.")</f>
        <v>The traditional Firefighters helmet has been saving men for years. Give it a try if you want to be different in the battlezone.</v>
      </c>
      <c r="O93" s="3"/>
    </row>
    <row r="94">
      <c r="A94" s="3" t="b">
        <f>IFERROR(__xludf.DUMMYFUNCTION("""COMPUTED_VALUE"""),TRUE)</f>
        <v>1</v>
      </c>
      <c r="B94" s="3" t="str">
        <f>IFERROR(__xludf.DUMMYFUNCTION("""COMPUTED_VALUE"""),"")</f>
        <v/>
      </c>
      <c r="C94" s="3">
        <f>IFERROR(__xludf.DUMMYFUNCTION("""COMPUTED_VALUE"""),400012.0)</f>
        <v>400012</v>
      </c>
      <c r="D94" s="5" t="str">
        <f>IFERROR(__xludf.DUMMYFUNCTION("""COMPUTED_VALUE"""),"https://cdn.exe.in.th/marketing/WarzTH_LE/Item%20Dict/fh.png")</f>
        <v>https://cdn.exe.in.th/marketing/WarzTH_LE/Item%20Dict/fh.png</v>
      </c>
      <c r="E94" s="3" t="str">
        <f>IFERROR(__xludf.DUMMYFUNCTION("""COMPUTED_VALUE"""),"Flash Hider")</f>
        <v>Flash Hider</v>
      </c>
      <c r="F94" s="2">
        <f>IFERROR(__xludf.DUMMYFUNCTION("""COMPUTED_VALUE"""),2.0)</f>
        <v>2</v>
      </c>
      <c r="G94" s="2" t="str">
        <f>IFERROR(__xludf.DUMMYFUNCTION("""COMPUTED_VALUE"""),"-")</f>
        <v>-</v>
      </c>
      <c r="H94" s="2" t="str">
        <f>IFERROR(__xludf.DUMMYFUNCTION("""COMPUTED_VALUE"""),"2,000 Dollars")</f>
        <v>2,000 Dollars</v>
      </c>
      <c r="I94" s="3" t="str">
        <f>IFERROR(__xludf.DUMMYFUNCTION("""COMPUTED_VALUE"""),"Attachment")</f>
        <v>Attachment</v>
      </c>
      <c r="J94" s="3" t="str">
        <f>IFERROR(__xludf.DUMMYFUNCTION("""COMPUTED_VALUE"""),"No")</f>
        <v>No</v>
      </c>
      <c r="K94" s="3"/>
      <c r="L94" s="3" t="str">
        <f>IFERROR(__xludf.DUMMYFUNCTION("""COMPUTED_VALUE"""),"sftp://graphic@103.41.58.141/marketing/WarzTH_LE/Item%20Dict/fh.png")</f>
        <v>sftp://graphic@103.41.58.141/marketing/WarzTH_LE/Item%20Dict/fh.png</v>
      </c>
      <c r="M94" s="3"/>
      <c r="N94" s="3" t="str">
        <f>IFERROR(__xludf.DUMMYFUNCTION("""COMPUTED_VALUE"""),"The Muzzle FlashHider will lower the visual flash of a weapon when fired at normal or rapid speeds.")</f>
        <v>The Muzzle FlashHider will lower the visual flash of a weapon when fired at normal or rapid speeds.</v>
      </c>
      <c r="O94" s="3"/>
    </row>
    <row r="95">
      <c r="A95" s="3" t="b">
        <f>IFERROR(__xludf.DUMMYFUNCTION("""COMPUTED_VALUE"""),TRUE)</f>
        <v>1</v>
      </c>
      <c r="B95" s="3" t="str">
        <f>IFERROR(__xludf.DUMMYFUNCTION("""COMPUTED_VALUE"""),"")</f>
        <v/>
      </c>
      <c r="C95" s="3">
        <f>IFERROR(__xludf.DUMMYFUNCTION("""COMPUTED_VALUE"""),101306.0)</f>
        <v>101306</v>
      </c>
      <c r="D95" s="5" t="str">
        <f>IFERROR(__xludf.DUMMYFUNCTION("""COMPUTED_VALUE"""),"https://cdn.exe.in.th/marketing/WarzTH_LE/Item%20Dict/flashlight.png")</f>
        <v>https://cdn.exe.in.th/marketing/WarzTH_LE/Item%20Dict/flashlight.png</v>
      </c>
      <c r="E95" s="3" t="str">
        <f>IFERROR(__xludf.DUMMYFUNCTION("""COMPUTED_VALUE"""),"Flashlight")</f>
        <v>Flashlight</v>
      </c>
      <c r="F95" s="2">
        <f>IFERROR(__xludf.DUMMYFUNCTION("""COMPUTED_VALUE"""),0.1)</f>
        <v>0.1</v>
      </c>
      <c r="G95" s="2" t="str">
        <f>IFERROR(__xludf.DUMMYFUNCTION("""COMPUTED_VALUE"""),"-")</f>
        <v>-</v>
      </c>
      <c r="H95" s="2" t="str">
        <f>IFERROR(__xludf.DUMMYFUNCTION("""COMPUTED_VALUE"""),"-")</f>
        <v>-</v>
      </c>
      <c r="I95" s="3" t="str">
        <f>IFERROR(__xludf.DUMMYFUNCTION("""COMPUTED_VALUE"""),"Weapon")</f>
        <v>Weapon</v>
      </c>
      <c r="J95" s="3" t="str">
        <f>IFERROR(__xludf.DUMMYFUNCTION("""COMPUTED_VALUE"""),"No")</f>
        <v>No</v>
      </c>
      <c r="K95" s="3"/>
      <c r="L95" s="3" t="str">
        <f>IFERROR(__xludf.DUMMYFUNCTION("""COMPUTED_VALUE"""),"sftp://graphic@103.41.58.141/marketing/WarzTH_LE/Item%20Dict/flashlight.png")</f>
        <v>sftp://graphic@103.41.58.141/marketing/WarzTH_LE/Item%20Dict/flashlight.png</v>
      </c>
      <c r="M95" s="3"/>
      <c r="N95" s="3" t="str">
        <f>IFERROR(__xludf.DUMMYFUNCTION("""COMPUTED_VALUE"""),"Flashlight for night time, also blinds other players and doubles as a last resort blunt object to bash in the heads of the infected")</f>
        <v>Flashlight for night time, also blinds other players and doubles as a last resort blunt object to bash in the heads of the infected</v>
      </c>
      <c r="O95" s="3"/>
    </row>
    <row r="96">
      <c r="A96" s="3" t="b">
        <f>IFERROR(__xludf.DUMMYFUNCTION("""COMPUTED_VALUE"""),TRUE)</f>
        <v>1</v>
      </c>
      <c r="B96" s="3" t="str">
        <f>IFERROR(__xludf.DUMMYFUNCTION("""COMPUTED_VALUE"""),"")</f>
        <v/>
      </c>
      <c r="C96" s="3">
        <f>IFERROR(__xludf.DUMMYFUNCTION("""COMPUTED_VALUE"""),101004.0)</f>
        <v>101004</v>
      </c>
      <c r="D96" s="5" t="str">
        <f>IFERROR(__xludf.DUMMYFUNCTION("""COMPUTED_VALUE"""),"https://cdn.exe.in.th/marketing/WarzTH_LE/Item%20Dict/fn_five_seven.png")</f>
        <v>https://cdn.exe.in.th/marketing/WarzTH_LE/Item%20Dict/fn_five_seven.png</v>
      </c>
      <c r="E96" s="3" t="str">
        <f>IFERROR(__xludf.DUMMYFUNCTION("""COMPUTED_VALUE"""),"FN FiveSeven")</f>
        <v>FN FiveSeven</v>
      </c>
      <c r="F96" s="2">
        <f>IFERROR(__xludf.DUMMYFUNCTION("""COMPUTED_VALUE"""),0.5)</f>
        <v>0.5</v>
      </c>
      <c r="G96" s="2" t="str">
        <f>IFERROR(__xludf.DUMMYFUNCTION("""COMPUTED_VALUE"""),"-")</f>
        <v>-</v>
      </c>
      <c r="H96" s="2" t="str">
        <f>IFERROR(__xludf.DUMMYFUNCTION("""COMPUTED_VALUE"""),"-")</f>
        <v>-</v>
      </c>
      <c r="I96" s="3" t="str">
        <f>IFERROR(__xludf.DUMMYFUNCTION("""COMPUTED_VALUE"""),"Weapon")</f>
        <v>Weapon</v>
      </c>
      <c r="J96" s="3" t="str">
        <f>IFERROR(__xludf.DUMMYFUNCTION("""COMPUTED_VALUE"""),"No")</f>
        <v>No</v>
      </c>
      <c r="K96" s="3" t="str">
        <f>IFERROR(__xludf.DUMMYFUNCTION("""COMPUTED_VALUE"""),"C")</f>
        <v>C</v>
      </c>
      <c r="L96" s="3" t="str">
        <f>IFERROR(__xludf.DUMMYFUNCTION("""COMPUTED_VALUE"""),"sftp://graphic@103.41.58.141/marketing/WarzTH_LE/Item%20Dict/fn_five_seven.png")</f>
        <v>sftp://graphic@103.41.58.141/marketing/WarzTH_LE/Item%20Dict/fn_five_seven.png</v>
      </c>
      <c r="M96" s="3"/>
      <c r="N96" s="3" t="str">
        <f>IFERROR(__xludf.DUMMYFUNCTION("""COMPUTED_VALUE"""),"The FN Five Seven is a standard issue handgun that was designed to fire a 5.7 mm round. It is an effective weapon against close range targets.")</f>
        <v>The FN Five Seven is a standard issue handgun that was designed to fire a 5.7 mm round. It is an effective weapon against close range targets.</v>
      </c>
      <c r="O96" s="3"/>
    </row>
    <row r="97">
      <c r="A97" s="3" t="b">
        <f>IFERROR(__xludf.DUMMYFUNCTION("""COMPUTED_VALUE"""),TRUE)</f>
        <v>1</v>
      </c>
      <c r="B97" s="3" t="str">
        <f>IFERROR(__xludf.DUMMYFUNCTION("""COMPUTED_VALUE"""),"")</f>
        <v/>
      </c>
      <c r="C97" s="3">
        <f>IFERROR(__xludf.DUMMYFUNCTION("""COMPUTED_VALUE"""),101095.0)</f>
        <v>101095</v>
      </c>
      <c r="D97" s="5" t="str">
        <f>IFERROR(__xludf.DUMMYFUNCTION("""COMPUTED_VALUE"""),"https://cdn.exe.in.th/marketing/WarzTH_LE/Item%20Dict/fn_m249.png")</f>
        <v>https://cdn.exe.in.th/marketing/WarzTH_LE/Item%20Dict/fn_m249.png</v>
      </c>
      <c r="E97" s="3" t="str">
        <f>IFERROR(__xludf.DUMMYFUNCTION("""COMPUTED_VALUE"""),"FN M249")</f>
        <v>FN M249</v>
      </c>
      <c r="F97" s="2">
        <f>IFERROR(__xludf.DUMMYFUNCTION("""COMPUTED_VALUE"""),10.0)</f>
        <v>10</v>
      </c>
      <c r="G97" s="2" t="str">
        <f>IFERROR(__xludf.DUMMYFUNCTION("""COMPUTED_VALUE"""),"-")</f>
        <v>-</v>
      </c>
      <c r="H97" s="2" t="str">
        <f>IFERROR(__xludf.DUMMYFUNCTION("""COMPUTED_VALUE"""),"-")</f>
        <v>-</v>
      </c>
      <c r="I97" s="3" t="str">
        <f>IFERROR(__xludf.DUMMYFUNCTION("""COMPUTED_VALUE"""),"Weapon")</f>
        <v>Weapon</v>
      </c>
      <c r="J97" s="3" t="str">
        <f>IFERROR(__xludf.DUMMYFUNCTION("""COMPUTED_VALUE"""),"No")</f>
        <v>No</v>
      </c>
      <c r="K97" s="3" t="str">
        <f>IFERROR(__xludf.DUMMYFUNCTION("""COMPUTED_VALUE"""),"C")</f>
        <v>C</v>
      </c>
      <c r="L97" s="3" t="str">
        <f>IFERROR(__xludf.DUMMYFUNCTION("""COMPUTED_VALUE"""),"sftp://graphic@103.41.58.141/marketing/WarzTH_LE/Item%20Dict/fn_m249.png")</f>
        <v>sftp://graphic@103.41.58.141/marketing/WarzTH_LE/Item%20Dict/fn_m249.png</v>
      </c>
      <c r="M97" s="3"/>
      <c r="N97" s="3" t="str">
        <f>IFERROR(__xludf.DUMMYFUNCTION("""COMPUTED_VALUE"""),"The FN M249 machine gun fires a 5.56 mm round from a belt fed system. It is highly effective against targets at close and medium ranges.")</f>
        <v>The FN M249 machine gun fires a 5.56 mm round from a belt fed system. It is highly effective against targets at close and medium ranges.</v>
      </c>
      <c r="O97" s="3"/>
    </row>
    <row r="98">
      <c r="A98" s="3" t="b">
        <f>IFERROR(__xludf.DUMMYFUNCTION("""COMPUTED_VALUE"""),TRUE)</f>
        <v>1</v>
      </c>
      <c r="B98" s="3" t="str">
        <f>IFERROR(__xludf.DUMMYFUNCTION("""COMPUTED_VALUE"""),"")</f>
        <v/>
      </c>
      <c r="C98" s="3">
        <f>IFERROR(__xludf.DUMMYFUNCTION("""COMPUTED_VALUE"""),101107.0)</f>
        <v>101107</v>
      </c>
      <c r="D98" s="5" t="str">
        <f>IFERROR(__xludf.DUMMYFUNCTION("""COMPUTED_VALUE"""),"https://cdn.exe.in.th/marketing/WarzTH_LE/Item%20Dict/fn_p90.png")</f>
        <v>https://cdn.exe.in.th/marketing/WarzTH_LE/Item%20Dict/fn_p90.png</v>
      </c>
      <c r="E98" s="3" t="str">
        <f>IFERROR(__xludf.DUMMYFUNCTION("""COMPUTED_VALUE"""),"FN P90")</f>
        <v>FN P90</v>
      </c>
      <c r="F98" s="2">
        <f>IFERROR(__xludf.DUMMYFUNCTION("""COMPUTED_VALUE"""),2.0)</f>
        <v>2</v>
      </c>
      <c r="G98" s="2" t="str">
        <f>IFERROR(__xludf.DUMMYFUNCTION("""COMPUTED_VALUE"""),"-")</f>
        <v>-</v>
      </c>
      <c r="H98" s="2" t="str">
        <f>IFERROR(__xludf.DUMMYFUNCTION("""COMPUTED_VALUE"""),"-")</f>
        <v>-</v>
      </c>
      <c r="I98" s="3" t="str">
        <f>IFERROR(__xludf.DUMMYFUNCTION("""COMPUTED_VALUE"""),"Weapon")</f>
        <v>Weapon</v>
      </c>
      <c r="J98" s="3" t="str">
        <f>IFERROR(__xludf.DUMMYFUNCTION("""COMPUTED_VALUE"""),"No")</f>
        <v>No</v>
      </c>
      <c r="K98" s="3" t="str">
        <f>IFERROR(__xludf.DUMMYFUNCTION("""COMPUTED_VALUE"""),"C")</f>
        <v>C</v>
      </c>
      <c r="L98" s="3" t="str">
        <f>IFERROR(__xludf.DUMMYFUNCTION("""COMPUTED_VALUE"""),"sftp://graphic@103.41.58.141/marketing/WarzTH_LE/Item%20Dict/fn_p90.png")</f>
        <v>sftp://graphic@103.41.58.141/marketing/WarzTH_LE/Item%20Dict/fn_p90.png</v>
      </c>
      <c r="M98" s="3"/>
      <c r="N98" s="3" t="str">
        <f>IFERROR(__xludf.DUMMYFUNCTION("""COMPUTED_VALUE"""),"The FN P90 submachine gun was designed to fire 9 mm rounds from a large 50 round magazine. It is very effective on close range targets.")</f>
        <v>The FN P90 submachine gun was designed to fire 9 mm rounds from a large 50 round magazine. It is very effective on close range targets.</v>
      </c>
      <c r="O98" s="3"/>
    </row>
    <row r="99">
      <c r="A99" s="3" t="b">
        <f>IFERROR(__xludf.DUMMYFUNCTION("""COMPUTED_VALUE"""),TRUE)</f>
        <v>1</v>
      </c>
      <c r="B99" s="3" t="str">
        <f>IFERROR(__xludf.DUMMYFUNCTION("""COMPUTED_VALUE"""),"")</f>
        <v/>
      </c>
      <c r="C99" s="3">
        <f>IFERROR(__xludf.DUMMYFUNCTION("""COMPUTED_VALUE"""),101246.0)</f>
        <v>101246</v>
      </c>
      <c r="D99" s="5" t="str">
        <f>IFERROR(__xludf.DUMMYFUNCTION("""COMPUTED_VALUE"""),"https://cdn.exe.in.th/marketing/WarzTH_LE/Item%20Dict/fn_p90_s.png")</f>
        <v>https://cdn.exe.in.th/marketing/WarzTH_LE/Item%20Dict/fn_p90_s.png</v>
      </c>
      <c r="E99" s="3" t="str">
        <f>IFERROR(__xludf.DUMMYFUNCTION("""COMPUTED_VALUE"""),"FN P90 S")</f>
        <v>FN P90 S</v>
      </c>
      <c r="F99" s="2">
        <f>IFERROR(__xludf.DUMMYFUNCTION("""COMPUTED_VALUE"""),2.0)</f>
        <v>2</v>
      </c>
      <c r="G99" s="2" t="str">
        <f>IFERROR(__xludf.DUMMYFUNCTION("""COMPUTED_VALUE"""),"-")</f>
        <v>-</v>
      </c>
      <c r="H99" s="2" t="str">
        <f>IFERROR(__xludf.DUMMYFUNCTION("""COMPUTED_VALUE"""),"-")</f>
        <v>-</v>
      </c>
      <c r="I99" s="3" t="str">
        <f>IFERROR(__xludf.DUMMYFUNCTION("""COMPUTED_VALUE"""),"Weapon")</f>
        <v>Weapon</v>
      </c>
      <c r="J99" s="3" t="str">
        <f>IFERROR(__xludf.DUMMYFUNCTION("""COMPUTED_VALUE"""),"No")</f>
        <v>No</v>
      </c>
      <c r="K99" s="3" t="str">
        <f>IFERROR(__xludf.DUMMYFUNCTION("""COMPUTED_VALUE"""),"C")</f>
        <v>C</v>
      </c>
      <c r="L99" s="3" t="str">
        <f>IFERROR(__xludf.DUMMYFUNCTION("""COMPUTED_VALUE"""),"sftp://graphic@103.41.58.141/marketing/WarzTH_LE/Item%20Dict/fn_p90_s.png")</f>
        <v>sftp://graphic@103.41.58.141/marketing/WarzTH_LE/Item%20Dict/fn_p90_s.png</v>
      </c>
      <c r="M99" s="3"/>
      <c r="N99" s="3" t="str">
        <f>IFERROR(__xludf.DUMMYFUNCTION("""COMPUTED_VALUE"""),"The FN P90S submachine gun is a highly effective weapon that carries a unique 50 round magazine. It fires a standard 5.56 mm round.")</f>
        <v>The FN P90S submachine gun is a highly effective weapon that carries a unique 50 round magazine. It fires a standard 5.56 mm round.</v>
      </c>
      <c r="O99" s="3"/>
    </row>
    <row r="100">
      <c r="A100" s="3" t="b">
        <f>IFERROR(__xludf.DUMMYFUNCTION("""COMPUTED_VALUE"""),TRUE)</f>
        <v>1</v>
      </c>
      <c r="B100" s="3" t="str">
        <f>IFERROR(__xludf.DUMMYFUNCTION("""COMPUTED_VALUE"""),"")</f>
        <v/>
      </c>
      <c r="C100" s="3">
        <f>IFERROR(__xludf.DUMMYFUNCTION("""COMPUTED_VALUE"""),101193.0)</f>
        <v>101193</v>
      </c>
      <c r="D100" s="5" t="str">
        <f>IFERROR(__xludf.DUMMYFUNCTION("""COMPUTED_VALUE"""),"https://cdn.exe.in.th/marketing/WarzTH_LE/Item%20Dict/fn_scar_cqc.png")</f>
        <v>https://cdn.exe.in.th/marketing/WarzTH_LE/Item%20Dict/fn_scar_cqc.png</v>
      </c>
      <c r="E100" s="3" t="str">
        <f>IFERROR(__xludf.DUMMYFUNCTION("""COMPUTED_VALUE"""),"FN SCAR CQC")</f>
        <v>FN SCAR CQC</v>
      </c>
      <c r="F100" s="2">
        <f>IFERROR(__xludf.DUMMYFUNCTION("""COMPUTED_VALUE"""),80.0)</f>
        <v>80</v>
      </c>
      <c r="G100" s="2" t="str">
        <f>IFERROR(__xludf.DUMMYFUNCTION("""COMPUTED_VALUE"""),"-")</f>
        <v>-</v>
      </c>
      <c r="H100" s="2" t="str">
        <f>IFERROR(__xludf.DUMMYFUNCTION("""COMPUTED_VALUE"""),"-")</f>
        <v>-</v>
      </c>
      <c r="I100" s="3" t="str">
        <f>IFERROR(__xludf.DUMMYFUNCTION("""COMPUTED_VALUE"""),"Weapon")</f>
        <v>Weapon</v>
      </c>
      <c r="J100" s="3" t="str">
        <f>IFERROR(__xludf.DUMMYFUNCTION("""COMPUTED_VALUE"""),"No")</f>
        <v>No</v>
      </c>
      <c r="K100" s="3" t="str">
        <f>IFERROR(__xludf.DUMMYFUNCTION("""COMPUTED_VALUE"""),"S")</f>
        <v>S</v>
      </c>
      <c r="L100" s="3" t="str">
        <f>IFERROR(__xludf.DUMMYFUNCTION("""COMPUTED_VALUE"""),"sftp://graphic@103.41.58.141/marketing/WarzTH_LE/Item%20Dict/fn_scar_cqc.png")</f>
        <v>sftp://graphic@103.41.58.141/marketing/WarzTH_LE/Item%20Dict/fn_scar_cqc.png</v>
      </c>
      <c r="M100" s="3"/>
      <c r="N100" s="3" t="str">
        <f>IFERROR(__xludf.DUMMYFUNCTION("""COMPUTED_VALUE"""),"The SCAR 16 CQC is an advanced assault rifle that fires standard 5.56 x 45 mm rounds effectively out to medium ranges.")</f>
        <v>The SCAR 16 CQC is an advanced assault rifle that fires standard 5.56 x 45 mm rounds effectively out to medium ranges.</v>
      </c>
      <c r="O100" s="3"/>
    </row>
    <row r="101">
      <c r="A101" s="3" t="b">
        <f>IFERROR(__xludf.DUMMYFUNCTION("""COMPUTED_VALUE"""),TRUE)</f>
        <v>1</v>
      </c>
      <c r="B101" s="3" t="str">
        <f>IFERROR(__xludf.DUMMYFUNCTION("""COMPUTED_VALUE"""),"")</f>
        <v/>
      </c>
      <c r="C101" s="3">
        <f>IFERROR(__xludf.DUMMYFUNCTION("""COMPUTED_VALUE"""),101210.0)</f>
        <v>101210</v>
      </c>
      <c r="D101" s="5" t="str">
        <f>IFERROR(__xludf.DUMMYFUNCTION("""COMPUTED_VALUE"""),"https://cdn.exe.in.th/marketing/WarzTH_LE/Item%20Dict/fn_scar_night_stalker.png")</f>
        <v>https://cdn.exe.in.th/marketing/WarzTH_LE/Item%20Dict/fn_scar_night_stalker.png</v>
      </c>
      <c r="E101" s="3" t="str">
        <f>IFERROR(__xludf.DUMMYFUNCTION("""COMPUTED_VALUE"""),"FN SCAR NIGHT STALKER")</f>
        <v>FN SCAR NIGHT STALKER</v>
      </c>
      <c r="F101" s="2">
        <f>IFERROR(__xludf.DUMMYFUNCTION("""COMPUTED_VALUE"""),500.0)</f>
        <v>500</v>
      </c>
      <c r="G101" s="2" t="str">
        <f>IFERROR(__xludf.DUMMYFUNCTION("""COMPUTED_VALUE"""),"-")</f>
        <v>-</v>
      </c>
      <c r="H101" s="2" t="str">
        <f>IFERROR(__xludf.DUMMYFUNCTION("""COMPUTED_VALUE"""),"-")</f>
        <v>-</v>
      </c>
      <c r="I101" s="3" t="str">
        <f>IFERROR(__xludf.DUMMYFUNCTION("""COMPUTED_VALUE"""),"Weapon")</f>
        <v>Weapon</v>
      </c>
      <c r="J101" s="3" t="str">
        <f>IFERROR(__xludf.DUMMYFUNCTION("""COMPUTED_VALUE"""),"No")</f>
        <v>No</v>
      </c>
      <c r="K101" s="3" t="str">
        <f>IFERROR(__xludf.DUMMYFUNCTION("""COMPUTED_VALUE"""),"SR")</f>
        <v>SR</v>
      </c>
      <c r="L101" s="3" t="str">
        <f>IFERROR(__xludf.DUMMYFUNCTION("""COMPUTED_VALUE"""),"sftp://graphic@103.41.58.141/marketing/WarzTH_LE/Item%20Dict/fn_scar_night_stalker.png")</f>
        <v>sftp://graphic@103.41.58.141/marketing/WarzTH_LE/Item%20Dict/fn_scar_night_stalker.png</v>
      </c>
      <c r="M101" s="3"/>
      <c r="N101" s="3" t="str">
        <f>IFERROR(__xludf.DUMMYFUNCTION("""COMPUTED_VALUE"""),"The Scar 17 CQC Nightstalker is a assault rifle that fires standard 5.56 x 45 mm rounds effectively out to medium ranges.")</f>
        <v>The Scar 17 CQC Nightstalker is a assault rifle that fires standard 5.56 x 45 mm rounds effectively out to medium ranges.</v>
      </c>
      <c r="O101" s="3"/>
    </row>
    <row r="102">
      <c r="A102" s="3" t="b">
        <f>IFERROR(__xludf.DUMMYFUNCTION("""COMPUTED_VALUE"""),TRUE)</f>
        <v>1</v>
      </c>
      <c r="B102" s="3" t="str">
        <f>IFERROR(__xludf.DUMMYFUNCTION("""COMPUTED_VALUE"""),"")</f>
        <v/>
      </c>
      <c r="C102" s="3">
        <f>IFERROR(__xludf.DUMMYFUNCTION("""COMPUTED_VALUE"""),400000.0)</f>
        <v>400000</v>
      </c>
      <c r="D102" s="5" t="str">
        <f>IFERROR(__xludf.DUMMYFUNCTION("""COMPUTED_VALUE"""),"https://cdn.exe.in.th/marketing/WarzTH_LE/Item%20Dict/forward_grip.png")</f>
        <v>https://cdn.exe.in.th/marketing/WarzTH_LE/Item%20Dict/forward_grip.png</v>
      </c>
      <c r="E102" s="3" t="str">
        <f>IFERROR(__xludf.DUMMYFUNCTION("""COMPUTED_VALUE"""),"Forward Grip")</f>
        <v>Forward Grip</v>
      </c>
      <c r="F102" s="2">
        <f>IFERROR(__xludf.DUMMYFUNCTION("""COMPUTED_VALUE"""),1.0)</f>
        <v>1</v>
      </c>
      <c r="G102" s="2" t="str">
        <f>IFERROR(__xludf.DUMMYFUNCTION("""COMPUTED_VALUE"""),"10 GC")</f>
        <v>10 GC</v>
      </c>
      <c r="H102" s="2" t="str">
        <f>IFERROR(__xludf.DUMMYFUNCTION("""COMPUTED_VALUE"""),"1,000 Dollars")</f>
        <v>1,000 Dollars</v>
      </c>
      <c r="I102" s="3" t="str">
        <f>IFERROR(__xludf.DUMMYFUNCTION("""COMPUTED_VALUE"""),"Attachment")</f>
        <v>Attachment</v>
      </c>
      <c r="J102" s="3" t="str">
        <f>IFERROR(__xludf.DUMMYFUNCTION("""COMPUTED_VALUE"""),"No")</f>
        <v>No</v>
      </c>
      <c r="K102" s="3"/>
      <c r="L102" s="3" t="str">
        <f>IFERROR(__xludf.DUMMYFUNCTION("""COMPUTED_VALUE"""),"sftp://graphic@103.41.58.141/marketing/WarzTH_LE/Item%20Dict/forward_grip.png")</f>
        <v>sftp://graphic@103.41.58.141/marketing/WarzTH_LE/Item%20Dict/forward_grip.png</v>
      </c>
      <c r="M102" s="3"/>
      <c r="N102" s="3" t="str">
        <f>IFERROR(__xludf.DUMMYFUNCTION("""COMPUTED_VALUE"""),"The bottom rail grip will allow the shooter more control of the weapon by use of the attached grip.")</f>
        <v>The bottom rail grip will allow the shooter more control of the weapon by use of the attached grip.</v>
      </c>
      <c r="O102" s="3"/>
    </row>
    <row r="103">
      <c r="A103" s="3" t="b">
        <f>IFERROR(__xludf.DUMMYFUNCTION("""COMPUTED_VALUE"""),TRUE)</f>
        <v>1</v>
      </c>
      <c r="B103" s="3" t="str">
        <f>IFERROR(__xludf.DUMMYFUNCTION("""COMPUTED_VALUE"""),"")</f>
        <v/>
      </c>
      <c r="C103" s="3">
        <f>IFERROR(__xludf.DUMMYFUNCTION("""COMPUTED_VALUE"""),101310.0)</f>
        <v>101310</v>
      </c>
      <c r="D103" s="5" t="str">
        <f>IFERROR(__xludf.DUMMYFUNCTION("""COMPUTED_VALUE"""),"https://cdn.exe.in.th/marketing/WarzTH_LE/Item%20Dict/frag_grenade.png")</f>
        <v>https://cdn.exe.in.th/marketing/WarzTH_LE/Item%20Dict/frag_grenade.png</v>
      </c>
      <c r="E103" s="3" t="str">
        <f>IFERROR(__xludf.DUMMYFUNCTION("""COMPUTED_VALUE"""),"Frag Grenade")</f>
        <v>Frag Grenade</v>
      </c>
      <c r="F103" s="2">
        <f>IFERROR(__xludf.DUMMYFUNCTION("""COMPUTED_VALUE"""),5.0)</f>
        <v>5</v>
      </c>
      <c r="G103" s="2" t="str">
        <f>IFERROR(__xludf.DUMMYFUNCTION("""COMPUTED_VALUE"""),"50 GC")</f>
        <v>50 GC</v>
      </c>
      <c r="H103" s="2" t="str">
        <f>IFERROR(__xludf.DUMMYFUNCTION("""COMPUTED_VALUE"""),"5,000 Dollars")</f>
        <v>5,000 Dollars</v>
      </c>
      <c r="I103" s="3" t="str">
        <f>IFERROR(__xludf.DUMMYFUNCTION("""COMPUTED_VALUE"""),"Weapon")</f>
        <v>Weapon</v>
      </c>
      <c r="J103" s="3" t="str">
        <f>IFERROR(__xludf.DUMMYFUNCTION("""COMPUTED_VALUE"""),"Yes")</f>
        <v>Yes</v>
      </c>
      <c r="K103" s="3"/>
      <c r="L103" s="3" t="str">
        <f>IFERROR(__xludf.DUMMYFUNCTION("""COMPUTED_VALUE"""),"sftp://graphic@103.41.58.141/marketing/WarzTH_LE/Item%20Dict/frag_grenade.png")</f>
        <v>sftp://graphic@103.41.58.141/marketing/WarzTH_LE/Item%20Dict/frag_grenade.png</v>
      </c>
      <c r="M103" s="3"/>
      <c r="N103" s="3" t="str">
        <f>IFERROR(__xludf.DUMMYFUNCTION("""COMPUTED_VALUE"""),"The fragmentation grenade is used to spray shrapnel upon exploding. Pull the pin and dont forget to throw it far.. Fire in the hole!")</f>
        <v>The fragmentation grenade is used to spray shrapnel upon exploding. Pull the pin and dont forget to throw it far.. Fire in the hole!</v>
      </c>
      <c r="O103" s="3"/>
    </row>
    <row r="104">
      <c r="A104" s="3" t="b">
        <f>IFERROR(__xludf.DUMMYFUNCTION("""COMPUTED_VALUE"""),TRUE)</f>
        <v>1</v>
      </c>
      <c r="B104" s="3" t="str">
        <f>IFERROR(__xludf.DUMMYFUNCTION("""COMPUTED_VALUE"""),"")</f>
        <v/>
      </c>
      <c r="C104" s="3">
        <f>IFERROR(__xludf.DUMMYFUNCTION("""COMPUTED_VALUE"""),101384.0)</f>
        <v>101384</v>
      </c>
      <c r="D104" s="5" t="str">
        <f>IFERROR(__xludf.DUMMYFUNCTION("""COMPUTED_VALUE"""),"https://cdn.exe.in.th/marketing/WarzTH_LE/Item%20Dict/frying_pan.png")</f>
        <v>https://cdn.exe.in.th/marketing/WarzTH_LE/Item%20Dict/frying_pan.png</v>
      </c>
      <c r="E104" s="3" t="str">
        <f>IFERROR(__xludf.DUMMYFUNCTION("""COMPUTED_VALUE"""),"Frying Pan")</f>
        <v>Frying Pan</v>
      </c>
      <c r="F104" s="2">
        <f>IFERROR(__xludf.DUMMYFUNCTION("""COMPUTED_VALUE"""),1.5)</f>
        <v>1.5</v>
      </c>
      <c r="G104" s="2" t="str">
        <f>IFERROR(__xludf.DUMMYFUNCTION("""COMPUTED_VALUE"""),"15 GC")</f>
        <v>15 GC</v>
      </c>
      <c r="H104" s="2" t="str">
        <f>IFERROR(__xludf.DUMMYFUNCTION("""COMPUTED_VALUE"""),"1,500 Dollars")</f>
        <v>1,500 Dollars</v>
      </c>
      <c r="I104" s="3" t="str">
        <f>IFERROR(__xludf.DUMMYFUNCTION("""COMPUTED_VALUE"""),"Weapon")</f>
        <v>Weapon</v>
      </c>
      <c r="J104" s="3" t="str">
        <f>IFERROR(__xludf.DUMMYFUNCTION("""COMPUTED_VALUE"""),"No")</f>
        <v>No</v>
      </c>
      <c r="K104" s="3"/>
      <c r="L104" s="3" t="str">
        <f>IFERROR(__xludf.DUMMYFUNCTION("""COMPUTED_VALUE"""),"sftp://graphic@103.41.58.141/marketing/WarzTH_LE/Item%20Dict/frying_pan.png")</f>
        <v>sftp://graphic@103.41.58.141/marketing/WarzTH_LE/Item%20Dict/frying_pan.png</v>
      </c>
      <c r="M104" s="3"/>
      <c r="N104" s="6" t="str">
        <f>IFERROR(__xludf.DUMMYFUNCTION("""COMPUTED_VALUE"""),"Whether frying an egg or flattening a face, the common household frying pan has many uses")</f>
        <v>Whether frying an egg or flattening a face, the common household frying pan has many uses</v>
      </c>
      <c r="O104" s="3"/>
    </row>
    <row r="105">
      <c r="A105" s="3" t="b">
        <f>IFERROR(__xludf.DUMMYFUNCTION("""COMPUTED_VALUE"""),TRUE)</f>
        <v>1</v>
      </c>
      <c r="B105" s="3" t="str">
        <f>IFERROR(__xludf.DUMMYFUNCTION("""COMPUTED_VALUE"""),"")</f>
        <v/>
      </c>
      <c r="C105" s="3">
        <f>IFERROR(__xludf.DUMMYFUNCTION("""COMPUTED_VALUE"""),101005.0)</f>
        <v>101005</v>
      </c>
      <c r="D105" s="5" t="str">
        <f>IFERROR(__xludf.DUMMYFUNCTION("""COMPUTED_VALUE"""),"https://cdn.exe.in.th/marketing/WarzTH_LE/Item%20Dict/g36.png")</f>
        <v>https://cdn.exe.in.th/marketing/WarzTH_LE/Item%20Dict/g36.png</v>
      </c>
      <c r="E105" s="3" t="str">
        <f>IFERROR(__xludf.DUMMYFUNCTION("""COMPUTED_VALUE"""),"G36")</f>
        <v>G36</v>
      </c>
      <c r="F105" s="2">
        <f>IFERROR(__xludf.DUMMYFUNCTION("""COMPUTED_VALUE"""),10.0)</f>
        <v>10</v>
      </c>
      <c r="G105" s="2" t="str">
        <f>IFERROR(__xludf.DUMMYFUNCTION("""COMPUTED_VALUE"""),"-")</f>
        <v>-</v>
      </c>
      <c r="H105" s="2" t="str">
        <f>IFERROR(__xludf.DUMMYFUNCTION("""COMPUTED_VALUE"""),"-")</f>
        <v>-</v>
      </c>
      <c r="I105" s="3" t="str">
        <f>IFERROR(__xludf.DUMMYFUNCTION("""COMPUTED_VALUE"""),"Weapon")</f>
        <v>Weapon</v>
      </c>
      <c r="J105" s="3" t="str">
        <f>IFERROR(__xludf.DUMMYFUNCTION("""COMPUTED_VALUE"""),"No")</f>
        <v>No</v>
      </c>
      <c r="K105" s="3" t="str">
        <f>IFERROR(__xludf.DUMMYFUNCTION("""COMPUTED_VALUE"""),"B")</f>
        <v>B</v>
      </c>
      <c r="L105" s="3" t="str">
        <f>IFERROR(__xludf.DUMMYFUNCTION("""COMPUTED_VALUE"""),"sftp://graphic@103.41.58.141/marketing/WarzTH_LE/Item%20Dict/g36.png")</f>
        <v>sftp://graphic@103.41.58.141/marketing/WarzTH_LE/Item%20Dict/g36.png</v>
      </c>
      <c r="M105" s="3"/>
      <c r="N105" s="3" t="str">
        <f>IFERROR(__xludf.DUMMYFUNCTION("""COMPUTED_VALUE"""),"The MTAC X36 assault rifle fires a 5.56 mm round. Its high rate of fire and medium recoil deliver a reasonably tight spread on impact of targets up to medium ranges.")</f>
        <v>The MTAC X36 assault rifle fires a 5.56 mm round. Its high rate of fire and medium recoil deliver a reasonably tight spread on impact of targets up to medium ranges.</v>
      </c>
      <c r="O105" s="3"/>
    </row>
    <row r="106">
      <c r="A106" s="3" t="b">
        <f>IFERROR(__xludf.DUMMYFUNCTION("""COMPUTED_VALUE"""),TRUE)</f>
        <v>1</v>
      </c>
      <c r="B106" s="3" t="str">
        <f>IFERROR(__xludf.DUMMYFUNCTION("""COMPUTED_VALUE"""),"")</f>
        <v/>
      </c>
      <c r="C106" s="3">
        <f>IFERROR(__xludf.DUMMYFUNCTION("""COMPUTED_VALUE"""),400029.0)</f>
        <v>400029</v>
      </c>
      <c r="D106" s="5" t="str">
        <f>IFERROR(__xludf.DUMMYFUNCTION("""COMPUTED_VALUE"""),"https://cdn.exe.in.th/marketing/WarzTH_LE/Item%20Dict/g36_ammo.png")</f>
        <v>https://cdn.exe.in.th/marketing/WarzTH_LE/Item%20Dict/g36_ammo.png</v>
      </c>
      <c r="E106" s="3" t="str">
        <f>IFERROR(__xludf.DUMMYFUNCTION("""COMPUTED_VALUE"""),"G36 ammo")</f>
        <v>G36 ammo</v>
      </c>
      <c r="F106" s="2">
        <f>IFERROR(__xludf.DUMMYFUNCTION("""COMPUTED_VALUE"""),0.6)</f>
        <v>0.6</v>
      </c>
      <c r="G106" s="2" t="str">
        <f>IFERROR(__xludf.DUMMYFUNCTION("""COMPUTED_VALUE"""),"-")</f>
        <v>-</v>
      </c>
      <c r="H106" s="2" t="str">
        <f>IFERROR(__xludf.DUMMYFUNCTION("""COMPUTED_VALUE"""),"500 Dollars")</f>
        <v>500 Dollars</v>
      </c>
      <c r="I106" s="3" t="str">
        <f>IFERROR(__xludf.DUMMYFUNCTION("""COMPUTED_VALUE"""),"Ammo")</f>
        <v>Ammo</v>
      </c>
      <c r="J106" s="3" t="str">
        <f>IFERROR(__xludf.DUMMYFUNCTION("""COMPUTED_VALUE"""),"Yes")</f>
        <v>Yes</v>
      </c>
      <c r="K106" s="3"/>
      <c r="L106" s="3" t="str">
        <f>IFERROR(__xludf.DUMMYFUNCTION("""COMPUTED_VALUE"""),"sftp://graphic@103.41.58.141/marketing/WarzTH_LE/Item%20Dict/g36_ammo.png")</f>
        <v>sftp://graphic@103.41.58.141/marketing/WarzTH_LE/Item%20Dict/g36_ammo.png</v>
      </c>
      <c r="M106" s="3"/>
      <c r="N106" s="3" t="str">
        <f>IFERROR(__xludf.DUMMYFUNCTION("""COMPUTED_VALUE"""),"This is a 30 round magazine of 5.56x45mm specially designed for the G36 Assault Rifle")</f>
        <v>This is a 30 round magazine of 5.56x45mm specially designed for the G36 Assault Rifle</v>
      </c>
      <c r="O106" s="3"/>
    </row>
    <row r="107">
      <c r="A107" s="3" t="b">
        <f>IFERROR(__xludf.DUMMYFUNCTION("""COMPUTED_VALUE"""),TRUE)</f>
        <v>1</v>
      </c>
      <c r="B107" s="3" t="str">
        <f>IFERROR(__xludf.DUMMYFUNCTION("""COMPUTED_VALUE"""),"")</f>
        <v/>
      </c>
      <c r="C107" s="3">
        <f>IFERROR(__xludf.DUMMYFUNCTION("""COMPUTED_VALUE"""),400099.0)</f>
        <v>400099</v>
      </c>
      <c r="D107" s="5" t="str">
        <f>IFERROR(__xludf.DUMMYFUNCTION("""COMPUTED_VALUE"""),"https://cdn.exe.in.th/marketing/WarzTH_LE/Item%20Dict/g36_cmag.png")</f>
        <v>https://cdn.exe.in.th/marketing/WarzTH_LE/Item%20Dict/g36_cmag.png</v>
      </c>
      <c r="E107" s="3" t="str">
        <f>IFERROR(__xludf.DUMMYFUNCTION("""COMPUTED_VALUE"""),"G36 C-Mag")</f>
        <v>G36 C-Mag</v>
      </c>
      <c r="F107" s="2">
        <f>IFERROR(__xludf.DUMMYFUNCTION("""COMPUTED_VALUE"""),1.5)</f>
        <v>1.5</v>
      </c>
      <c r="G107" s="2" t="str">
        <f>IFERROR(__xludf.DUMMYFUNCTION("""COMPUTED_VALUE"""),"15 GC")</f>
        <v>15 GC</v>
      </c>
      <c r="H107" s="2" t="str">
        <f>IFERROR(__xludf.DUMMYFUNCTION("""COMPUTED_VALUE"""),"3,000 Dollars")</f>
        <v>3,000 Dollars</v>
      </c>
      <c r="I107" s="3" t="str">
        <f>IFERROR(__xludf.DUMMYFUNCTION("""COMPUTED_VALUE"""),"Ammo")</f>
        <v>Ammo</v>
      </c>
      <c r="J107" s="3" t="str">
        <f>IFERROR(__xludf.DUMMYFUNCTION("""COMPUTED_VALUE"""),"Yes")</f>
        <v>Yes</v>
      </c>
      <c r="K107" s="3"/>
      <c r="L107" s="3" t="str">
        <f>IFERROR(__xludf.DUMMYFUNCTION("""COMPUTED_VALUE"""),"sftp://graphic@103.41.58.141/marketing/WarzTH_LE/Item%20Dict/g36_cmag.png")</f>
        <v>sftp://graphic@103.41.58.141/marketing/WarzTH_LE/Item%20Dict/g36_cmag.png</v>
      </c>
      <c r="M107" s="3"/>
      <c r="N107" s="3" t="str">
        <f>IFERROR(__xludf.DUMMYFUNCTION("""COMPUTED_VALUE"""),"""This is a 5.56x45mm, 100 round drum magazine specially designed for for the G36 Assault Rifle""")</f>
        <v>"This is a 5.56x45mm, 100 round drum magazine specially designed for for the G36 Assault Rifle"</v>
      </c>
      <c r="O107" s="3"/>
    </row>
    <row r="108">
      <c r="A108" s="3" t="b">
        <f>IFERROR(__xludf.DUMMYFUNCTION("""COMPUTED_VALUE"""),TRUE)</f>
        <v>1</v>
      </c>
      <c r="B108" s="3" t="str">
        <f>IFERROR(__xludf.DUMMYFUNCTION("""COMPUTED_VALUE"""),"")</f>
        <v/>
      </c>
      <c r="C108" s="3">
        <f>IFERROR(__xludf.DUMMYFUNCTION("""COMPUTED_VALUE"""),101385.0)</f>
        <v>101385</v>
      </c>
      <c r="D108" s="5" t="str">
        <f>IFERROR(__xludf.DUMMYFUNCTION("""COMPUTED_VALUE"""),"https://cdn.exe.in.th/marketing/WarzTH_LE/Item%20Dict/garden_shears.png")</f>
        <v>https://cdn.exe.in.th/marketing/WarzTH_LE/Item%20Dict/garden_shears.png</v>
      </c>
      <c r="E108" s="6" t="str">
        <f>IFERROR(__xludf.DUMMYFUNCTION("""COMPUTED_VALUE"""),"Garden Shears")</f>
        <v>Garden Shears</v>
      </c>
      <c r="F108" s="2">
        <f>IFERROR(__xludf.DUMMYFUNCTION("""COMPUTED_VALUE"""),1.5)</f>
        <v>1.5</v>
      </c>
      <c r="G108" s="2" t="str">
        <f>IFERROR(__xludf.DUMMYFUNCTION("""COMPUTED_VALUE"""),"15 GC")</f>
        <v>15 GC</v>
      </c>
      <c r="H108" s="2" t="str">
        <f>IFERROR(__xludf.DUMMYFUNCTION("""COMPUTED_VALUE"""),"1,500 Dollars")</f>
        <v>1,500 Dollars</v>
      </c>
      <c r="I108" s="3" t="str">
        <f>IFERROR(__xludf.DUMMYFUNCTION("""COMPUTED_VALUE"""),"Weapon")</f>
        <v>Weapon</v>
      </c>
      <c r="J108" s="3" t="str">
        <f>IFERROR(__xludf.DUMMYFUNCTION("""COMPUTED_VALUE"""),"No")</f>
        <v>No</v>
      </c>
      <c r="K108" s="3"/>
      <c r="L108" s="3" t="str">
        <f>IFERROR(__xludf.DUMMYFUNCTION("""COMPUTED_VALUE"""),"sftp://graphic@103.41.58.141/marketing/WarzTH_LE/Item%20Dict/garden_shears.png")</f>
        <v>sftp://graphic@103.41.58.141/marketing/WarzTH_LE/Item%20Dict/garden_shears.png</v>
      </c>
      <c r="M108" s="3"/>
      <c r="N108" s="3" t="str">
        <f>IFERROR(__xludf.DUMMYFUNCTION("""COMPUTED_VALUE"""),"Whether shortening hedges or heads these shears are sure to come in handy")</f>
        <v>Whether shortening hedges or heads these shears are sure to come in handy</v>
      </c>
      <c r="O108" s="3"/>
    </row>
    <row r="109">
      <c r="A109" s="3" t="b">
        <f>IFERROR(__xludf.DUMMYFUNCTION("""COMPUTED_VALUE"""),TRUE)</f>
        <v>1</v>
      </c>
      <c r="B109" s="3" t="str">
        <f>IFERROR(__xludf.DUMMYFUNCTION("""COMPUTED_VALUE"""),"")</f>
        <v/>
      </c>
      <c r="C109" s="3">
        <f>IFERROR(__xludf.DUMMYFUNCTION("""COMPUTED_VALUE"""),20177.0)</f>
        <v>20177</v>
      </c>
      <c r="D109" s="5" t="str">
        <f>IFERROR(__xludf.DUMMYFUNCTION("""COMPUTED_VALUE"""),"https://cdn.exe.in.th/marketing/WarzTH_LE/Item%20Dict/gas_mask.png")</f>
        <v>https://cdn.exe.in.th/marketing/WarzTH_LE/Item%20Dict/gas_mask.png</v>
      </c>
      <c r="E109" s="3" t="str">
        <f>IFERROR(__xludf.DUMMYFUNCTION("""COMPUTED_VALUE"""),"Gas Mask")</f>
        <v>Gas Mask</v>
      </c>
      <c r="F109" s="2">
        <f>IFERROR(__xludf.DUMMYFUNCTION("""COMPUTED_VALUE"""),1.0)</f>
        <v>1</v>
      </c>
      <c r="G109" s="2" t="str">
        <f>IFERROR(__xludf.DUMMYFUNCTION("""COMPUTED_VALUE"""),"-")</f>
        <v>-</v>
      </c>
      <c r="H109" s="2" t="str">
        <f>IFERROR(__xludf.DUMMYFUNCTION("""COMPUTED_VALUE"""),"1,000 Dollars")</f>
        <v>1,000 Dollars</v>
      </c>
      <c r="I109" s="3" t="str">
        <f>IFERROR(__xludf.DUMMYFUNCTION("""COMPUTED_VALUE"""),"Equipment")</f>
        <v>Equipment</v>
      </c>
      <c r="J109" s="3" t="str">
        <f>IFERROR(__xludf.DUMMYFUNCTION("""COMPUTED_VALUE"""),"No")</f>
        <v>No</v>
      </c>
      <c r="K109" s="3"/>
      <c r="L109" s="3" t="str">
        <f>IFERROR(__xludf.DUMMYFUNCTION("""COMPUTED_VALUE"""),"sftp://graphic@103.41.58.141/marketing/WarzTH_LE/Item%20Dict/gas_mask.png")</f>
        <v>sftp://graphic@103.41.58.141/marketing/WarzTH_LE/Item%20Dict/gas_mask.png</v>
      </c>
      <c r="M109" s="3"/>
      <c r="N109" s="3" t="str">
        <f>IFERROR(__xludf.DUMMYFUNCTION("""COMPUTED_VALUE"""),"A mask put over your face to protect from inhaling airborn pollutants and toxic gasses")</f>
        <v>A mask put over your face to protect from inhaling airborn pollutants and toxic gasses</v>
      </c>
      <c r="O109" s="3"/>
    </row>
    <row r="110">
      <c r="A110" s="3" t="b">
        <f>IFERROR(__xludf.DUMMYFUNCTION("""COMPUTED_VALUE"""),TRUE)</f>
        <v>1</v>
      </c>
      <c r="B110" s="3" t="str">
        <f>IFERROR(__xludf.DUMMYFUNCTION("""COMPUTED_VALUE"""),"")</f>
        <v/>
      </c>
      <c r="C110" s="3">
        <f>IFERROR(__xludf.DUMMYFUNCTION("""COMPUTED_VALUE"""),20178.0)</f>
        <v>20178</v>
      </c>
      <c r="D110" s="5" t="str">
        <f>IFERROR(__xludf.DUMMYFUNCTION("""COMPUTED_VALUE"""),"https://cdn.exe.in.th/marketing/WarzTH_LE/Item%20Dict/gas_mask2.png")</f>
        <v>https://cdn.exe.in.th/marketing/WarzTH_LE/Item%20Dict/gas_mask2.png</v>
      </c>
      <c r="E110" s="3" t="str">
        <f>IFERROR(__xludf.DUMMYFUNCTION("""COMPUTED_VALUE"""),"Gas Mask 2")</f>
        <v>Gas Mask 2</v>
      </c>
      <c r="F110" s="2">
        <f>IFERROR(__xludf.DUMMYFUNCTION("""COMPUTED_VALUE"""),1.5)</f>
        <v>1.5</v>
      </c>
      <c r="G110" s="2" t="str">
        <f>IFERROR(__xludf.DUMMYFUNCTION("""COMPUTED_VALUE"""),"-")</f>
        <v>-</v>
      </c>
      <c r="H110" s="2" t="str">
        <f>IFERROR(__xludf.DUMMYFUNCTION("""COMPUTED_VALUE"""),"1,500 Dollars")</f>
        <v>1,500 Dollars</v>
      </c>
      <c r="I110" s="3" t="str">
        <f>IFERROR(__xludf.DUMMYFUNCTION("""COMPUTED_VALUE"""),"Equipment")</f>
        <v>Equipment</v>
      </c>
      <c r="J110" s="3" t="str">
        <f>IFERROR(__xludf.DUMMYFUNCTION("""COMPUTED_VALUE"""),"No")</f>
        <v>No</v>
      </c>
      <c r="K110" s="3"/>
      <c r="L110" s="3" t="str">
        <f>IFERROR(__xludf.DUMMYFUNCTION("""COMPUTED_VALUE"""),"sftp://graphic@103.41.58.141/marketing/WarzTH_LE/Item%20Dict/gas_mask2.png")</f>
        <v>sftp://graphic@103.41.58.141/marketing/WarzTH_LE/Item%20Dict/gas_mask2.png</v>
      </c>
      <c r="M110" s="3"/>
      <c r="N110" s="3" t="str">
        <f>IFERROR(__xludf.DUMMYFUNCTION("""COMPUTED_VALUE"""),"A mask put over your face to protect from inhaling airborn pollutants and toxic gasses")</f>
        <v>A mask put over your face to protect from inhaling airborn pollutants and toxic gasses</v>
      </c>
      <c r="O110" s="3"/>
    </row>
    <row r="111">
      <c r="A111" s="3" t="b">
        <f>IFERROR(__xludf.DUMMYFUNCTION("""COMPUTED_VALUE"""),TRUE)</f>
        <v>1</v>
      </c>
      <c r="B111" s="3" t="str">
        <f>IFERROR(__xludf.DUMMYFUNCTION("""COMPUTED_VALUE"""),"")</f>
        <v/>
      </c>
      <c r="C111" s="3">
        <f>IFERROR(__xludf.DUMMYFUNCTION("""COMPUTED_VALUE"""),1.0)</f>
        <v>1</v>
      </c>
      <c r="D111" s="5" t="str">
        <f>IFERROR(__xludf.DUMMYFUNCTION("""COMPUTED_VALUE"""),"https://cdn.exe.in.th/marketing/WarzTH_LE/Item%20Dict/GC.png")</f>
        <v>https://cdn.exe.in.th/marketing/WarzTH_LE/Item%20Dict/GC.png</v>
      </c>
      <c r="E111" s="3" t="str">
        <f>IFERROR(__xludf.DUMMYFUNCTION("""COMPUTED_VALUE"""),"GC")</f>
        <v>GC</v>
      </c>
      <c r="F111" s="2">
        <f>IFERROR(__xludf.DUMMYFUNCTION("""COMPUTED_VALUE"""),0.1)</f>
        <v>0.1</v>
      </c>
      <c r="G111" s="2" t="str">
        <f>IFERROR(__xludf.DUMMYFUNCTION("""COMPUTED_VALUE"""),"1 GC")</f>
        <v>1 GC</v>
      </c>
      <c r="H111" s="2" t="str">
        <f>IFERROR(__xludf.DUMMYFUNCTION("""COMPUTED_VALUE"""),"-")</f>
        <v>-</v>
      </c>
      <c r="I111" s="3" t="str">
        <f>IFERROR(__xludf.DUMMYFUNCTION("""COMPUTED_VALUE"""),"Game Currency")</f>
        <v>Game Currency</v>
      </c>
      <c r="J111" s="3" t="str">
        <f>IFERROR(__xludf.DUMMYFUNCTION("""COMPUTED_VALUE"""),"Yes")</f>
        <v>Yes</v>
      </c>
      <c r="K111" s="3"/>
      <c r="L111" s="3" t="str">
        <f>IFERROR(__xludf.DUMMYFUNCTION("""COMPUTED_VALUE"""),"sftp://graphic@103.41.58.141/marketing/WarzTH_LE/Item%20Dict/GC.png")</f>
        <v>sftp://graphic@103.41.58.141/marketing/WarzTH_LE/Item%20Dict/GC.png</v>
      </c>
      <c r="M111" s="3"/>
      <c r="N111" s="3"/>
      <c r="O111" s="3"/>
    </row>
    <row r="112">
      <c r="A112" s="3" t="b">
        <f>IFERROR(__xludf.DUMMYFUNCTION("""COMPUTED_VALUE"""),TRUE)</f>
        <v>1</v>
      </c>
      <c r="B112" s="3" t="str">
        <f>IFERROR(__xludf.DUMMYFUNCTION("""COMPUTED_VALUE"""),"")</f>
        <v/>
      </c>
      <c r="C112" s="3">
        <f>IFERROR(__xludf.DUMMYFUNCTION("""COMPUTED_VALUE"""),20196.0)</f>
        <v>20196</v>
      </c>
      <c r="D112" s="5" t="str">
        <f>IFERROR(__xludf.DUMMYFUNCTION("""COMPUTED_VALUE"""),"https://cdn.exe.in.th/marketing/WarzTH_LE/Item%20Dict/gamespot_backpack.png")</f>
        <v>https://cdn.exe.in.th/marketing/WarzTH_LE/Item%20Dict/gamespot_backpack.png</v>
      </c>
      <c r="E112" s="3" t="str">
        <f>IFERROR(__xludf.DUMMYFUNCTION("""COMPUTED_VALUE"""),"Gear_Backpack_GameSpot")</f>
        <v>Gear_Backpack_GameSpot</v>
      </c>
      <c r="F112" s="2" t="str">
        <f>IFERROR(__xludf.DUMMYFUNCTION("""COMPUTED_VALUE"""),"-")</f>
        <v>-</v>
      </c>
      <c r="G112" s="2" t="str">
        <f>IFERROR(__xludf.DUMMYFUNCTION("""COMPUTED_VALUE"""),"-")</f>
        <v>-</v>
      </c>
      <c r="H112" s="2" t="str">
        <f>IFERROR(__xludf.DUMMYFUNCTION("""COMPUTED_VALUE"""),"-")</f>
        <v>-</v>
      </c>
      <c r="I112" s="3" t="str">
        <f>IFERROR(__xludf.DUMMYFUNCTION("""COMPUTED_VALUE"""),"Equipment")</f>
        <v>Equipment</v>
      </c>
      <c r="J112" s="3" t="str">
        <f>IFERROR(__xludf.DUMMYFUNCTION("""COMPUTED_VALUE"""),"No")</f>
        <v>No</v>
      </c>
      <c r="K112" s="3"/>
      <c r="L112" s="3" t="str">
        <f>IFERROR(__xludf.DUMMYFUNCTION("""COMPUTED_VALUE"""),"sftp://graphic@103.41.58.141/marketing/WarzTH_LE/Item%20Dict/gamespot_backpack.png")</f>
        <v>sftp://graphic@103.41.58.141/marketing/WarzTH_LE/Item%20Dict/gamespot_backpack.png</v>
      </c>
      <c r="M112" s="3"/>
      <c r="N112" s="3" t="str">
        <f>IFERROR(__xludf.DUMMYFUNCTION("""COMPUTED_VALUE"""),"-")</f>
        <v>-</v>
      </c>
      <c r="O112" s="3"/>
    </row>
    <row r="113">
      <c r="A113" s="3" t="b">
        <f>IFERROR(__xludf.DUMMYFUNCTION("""COMPUTED_VALUE"""),TRUE)</f>
        <v>1</v>
      </c>
      <c r="B113" s="3" t="str">
        <f>IFERROR(__xludf.DUMMYFUNCTION("""COMPUTED_VALUE"""),"")</f>
        <v/>
      </c>
      <c r="C113" s="3">
        <f>IFERROR(__xludf.DUMMYFUNCTION("""COMPUTED_VALUE"""),101386.0)</f>
        <v>101386</v>
      </c>
      <c r="D113" s="5" t="str">
        <f>IFERROR(__xludf.DUMMYFUNCTION("""COMPUTED_VALUE"""),"https://cdn.exe.in.th/marketing/WarzTH_LE/Item%20Dict/golf_club.png")</f>
        <v>https://cdn.exe.in.th/marketing/WarzTH_LE/Item%20Dict/golf_club.png</v>
      </c>
      <c r="E113" s="6" t="str">
        <f>IFERROR(__xludf.DUMMYFUNCTION("""COMPUTED_VALUE"""),"Golf Club")</f>
        <v>Golf Club</v>
      </c>
      <c r="F113" s="2">
        <f>IFERROR(__xludf.DUMMYFUNCTION("""COMPUTED_VALUE"""),1.5)</f>
        <v>1.5</v>
      </c>
      <c r="G113" s="2" t="str">
        <f>IFERROR(__xludf.DUMMYFUNCTION("""COMPUTED_VALUE"""),"15 GC")</f>
        <v>15 GC</v>
      </c>
      <c r="H113" s="2" t="str">
        <f>IFERROR(__xludf.DUMMYFUNCTION("""COMPUTED_VALUE"""),"1,500 Dollars")</f>
        <v>1,500 Dollars</v>
      </c>
      <c r="I113" s="3" t="str">
        <f>IFERROR(__xludf.DUMMYFUNCTION("""COMPUTED_VALUE"""),"Weapon")</f>
        <v>Weapon</v>
      </c>
      <c r="J113" s="3" t="str">
        <f>IFERROR(__xludf.DUMMYFUNCTION("""COMPUTED_VALUE"""),"No")</f>
        <v>No</v>
      </c>
      <c r="K113" s="3"/>
      <c r="L113" s="3" t="str">
        <f>IFERROR(__xludf.DUMMYFUNCTION("""COMPUTED_VALUE"""),"sftp://graphic@103.41.58.141/marketing/WarzTH_LE/Item%20Dict/golf_club.png")</f>
        <v>sftp://graphic@103.41.58.141/marketing/WarzTH_LE/Item%20Dict/golf_club.png</v>
      </c>
      <c r="M113" s="3"/>
      <c r="N113" s="3" t="str">
        <f>IFERROR(__xludf.DUMMYFUNCTION("""COMPUTED_VALUE"""),"Best used for long drives. FORE!")</f>
        <v>Best used for long drives. FORE!</v>
      </c>
      <c r="O113" s="3"/>
    </row>
    <row r="114">
      <c r="A114" s="3" t="b">
        <f>IFERROR(__xludf.DUMMYFUNCTION("""COMPUTED_VALUE"""),TRUE)</f>
        <v>1</v>
      </c>
      <c r="B114" s="3" t="str">
        <f>IFERROR(__xludf.DUMMYFUNCTION("""COMPUTED_VALUE"""),"")</f>
        <v/>
      </c>
      <c r="C114" s="3">
        <f>IFERROR(__xludf.DUMMYFUNCTION("""COMPUTED_VALUE"""),101289.0)</f>
        <v>101289</v>
      </c>
      <c r="D114" s="5" t="str">
        <f>IFERROR(__xludf.DUMMYFUNCTION("""COMPUTED_VALUE"""),"https://cdn.exe.in.th/marketing/WarzTH_LE/Item%20Dict/granola_bar.png")</f>
        <v>https://cdn.exe.in.th/marketing/WarzTH_LE/Item%20Dict/granola_bar.png</v>
      </c>
      <c r="E114" s="3" t="str">
        <f>IFERROR(__xludf.DUMMYFUNCTION("""COMPUTED_VALUE"""),"Granola Bar")</f>
        <v>Granola Bar</v>
      </c>
      <c r="F114" s="2" t="str">
        <f>IFERROR(__xludf.DUMMYFUNCTION("""COMPUTED_VALUE"""),"-")</f>
        <v>-</v>
      </c>
      <c r="G114" s="2" t="str">
        <f>IFERROR(__xludf.DUMMYFUNCTION("""COMPUTED_VALUE"""),"-")</f>
        <v>-</v>
      </c>
      <c r="H114" s="2" t="str">
        <f>IFERROR(__xludf.DUMMYFUNCTION("""COMPUTED_VALUE"""),"-")</f>
        <v>-</v>
      </c>
      <c r="I114" s="3" t="str">
        <f>IFERROR(__xludf.DUMMYFUNCTION("""COMPUTED_VALUE"""),"Consumable")</f>
        <v>Consumable</v>
      </c>
      <c r="J114" s="3" t="str">
        <f>IFERROR(__xludf.DUMMYFUNCTION("""COMPUTED_VALUE"""),"Yes")</f>
        <v>Yes</v>
      </c>
      <c r="K114" s="3"/>
      <c r="L114" s="3" t="str">
        <f>IFERROR(__xludf.DUMMYFUNCTION("""COMPUTED_VALUE"""),"sftp://graphic@103.41.58.141/marketing/WarzTH_LE/Item%20Dict/granola_bar.png")</f>
        <v>sftp://graphic@103.41.58.141/marketing/WarzTH_LE/Item%20Dict/granola_bar.png</v>
      </c>
      <c r="M114" s="3"/>
      <c r="N114" s="3" t="str">
        <f>IFERROR(__xludf.DUMMYFUNCTION("""COMPUTED_VALUE"""),"An organic granola bar. Each serving size helps relieve moderate hunger.")</f>
        <v>An organic granola bar. Each serving size helps relieve moderate hunger.</v>
      </c>
      <c r="O114" s="3"/>
    </row>
    <row r="115">
      <c r="A115" s="3" t="b">
        <f>IFERROR(__xludf.DUMMYFUNCTION("""COMPUTED_VALUE"""),TRUE)</f>
        <v>1</v>
      </c>
      <c r="B115" s="3" t="str">
        <f>IFERROR(__xludf.DUMMYFUNCTION("""COMPUTED_VALUE"""),"")</f>
        <v/>
      </c>
      <c r="C115" s="3">
        <f>IFERROR(__xludf.DUMMYFUNCTION("""COMPUTED_VALUE"""),20192.0)</f>
        <v>20192</v>
      </c>
      <c r="D115" s="5" t="str">
        <f>IFERROR(__xludf.DUMMYFUNCTION("""COMPUTED_VALUE"""),"https://cdn.exe.in.th/marketing/WarzTH_LE/Item%20Dict/halloween_special.png")</f>
        <v>https://cdn.exe.in.th/marketing/WarzTH_LE/Item%20Dict/halloween_special.png</v>
      </c>
      <c r="E115" s="3" t="str">
        <f>IFERROR(__xludf.DUMMYFUNCTION("""COMPUTED_VALUE"""),"Halloween Special!")</f>
        <v>Halloween Special!</v>
      </c>
      <c r="F115" s="2" t="str">
        <f>IFERROR(__xludf.DUMMYFUNCTION("""COMPUTED_VALUE"""),"-")</f>
        <v>-</v>
      </c>
      <c r="G115" s="2" t="str">
        <f>IFERROR(__xludf.DUMMYFUNCTION("""COMPUTED_VALUE"""),"-")</f>
        <v>-</v>
      </c>
      <c r="H115" s="2" t="str">
        <f>IFERROR(__xludf.DUMMYFUNCTION("""COMPUTED_VALUE"""),"-")</f>
        <v>-</v>
      </c>
      <c r="I115" s="3" t="str">
        <f>IFERROR(__xludf.DUMMYFUNCTION("""COMPUTED_VALUE"""),"Equipment")</f>
        <v>Equipment</v>
      </c>
      <c r="J115" s="3" t="str">
        <f>IFERROR(__xludf.DUMMYFUNCTION("""COMPUTED_VALUE"""),"No")</f>
        <v>No</v>
      </c>
      <c r="K115" s="3"/>
      <c r="L115" s="3" t="str">
        <f>IFERROR(__xludf.DUMMYFUNCTION("""COMPUTED_VALUE"""),"sftp://graphic@103.41.58.141/marketing/WarzTH_LE/Item%20Dict/halloween_special.png")</f>
        <v>sftp://graphic@103.41.58.141/marketing/WarzTH_LE/Item%20Dict/halloween_special.png</v>
      </c>
      <c r="M115" s="3"/>
      <c r="N115" s="3" t="str">
        <f>IFERROR(__xludf.DUMMYFUNCTION("""COMPUTED_VALUE"""),"A unique mask to celebrate the eve of the hallows. Eat, Drink and be Scary! Wuhahahahaaa!")</f>
        <v>A unique mask to celebrate the eve of the hallows. Eat, Drink and be Scary! Wuhahahahaaa!</v>
      </c>
      <c r="O115" s="3"/>
    </row>
    <row r="116">
      <c r="A116" s="3" t="b">
        <f>IFERROR(__xludf.DUMMYFUNCTION("""COMPUTED_VALUE"""),TRUE)</f>
        <v>1</v>
      </c>
      <c r="B116" s="3" t="str">
        <f>IFERROR(__xludf.DUMMYFUNCTION("""COMPUTED_VALUE"""),"")</f>
        <v/>
      </c>
      <c r="C116" s="3">
        <f>IFERROR(__xludf.DUMMYFUNCTION("""COMPUTED_VALUE"""),101307.0)</f>
        <v>101307</v>
      </c>
      <c r="D116" s="5" t="str">
        <f>IFERROR(__xludf.DUMMYFUNCTION("""COMPUTED_VALUE"""),"https://cdn.exe.in.th/marketing/WarzTH_LE/Item%20Dict/hammer.png")</f>
        <v>https://cdn.exe.in.th/marketing/WarzTH_LE/Item%20Dict/hammer.png</v>
      </c>
      <c r="E116" s="3" t="str">
        <f>IFERROR(__xludf.DUMMYFUNCTION("""COMPUTED_VALUE"""),"Hammer")</f>
        <v>Hammer</v>
      </c>
      <c r="F116" s="2">
        <f>IFERROR(__xludf.DUMMYFUNCTION("""COMPUTED_VALUE"""),0.5)</f>
        <v>0.5</v>
      </c>
      <c r="G116" s="2" t="str">
        <f>IFERROR(__xludf.DUMMYFUNCTION("""COMPUTED_VALUE"""),"-")</f>
        <v>-</v>
      </c>
      <c r="H116" s="2" t="str">
        <f>IFERROR(__xludf.DUMMYFUNCTION("""COMPUTED_VALUE"""),"500 Dollars")</f>
        <v>500 Dollars</v>
      </c>
      <c r="I116" s="3" t="str">
        <f>IFERROR(__xludf.DUMMYFUNCTION("""COMPUTED_VALUE"""),"Weapon")</f>
        <v>Weapon</v>
      </c>
      <c r="J116" s="3" t="str">
        <f>IFERROR(__xludf.DUMMYFUNCTION("""COMPUTED_VALUE"""),"No")</f>
        <v>No</v>
      </c>
      <c r="K116" s="3"/>
      <c r="L116" s="3" t="str">
        <f>IFERROR(__xludf.DUMMYFUNCTION("""COMPUTED_VALUE"""),"sftp://graphic@103.41.58.141/marketing/WarzTH_LE/Item%20Dict/hammer.png")</f>
        <v>sftp://graphic@103.41.58.141/marketing/WarzTH_LE/Item%20Dict/hammer.png</v>
      </c>
      <c r="M116" s="3"/>
      <c r="N116" s="3" t="str">
        <f>IFERROR(__xludf.DUMMYFUNCTION("""COMPUTED_VALUE"""),"Go with the funk, it is said. If you cant groove to this then you probably are dead. Stop, Hammer time.")</f>
        <v>Go with the funk, it is said. If you cant groove to this then you probably are dead. Stop, Hammer time.</v>
      </c>
      <c r="O116" s="3"/>
    </row>
    <row r="117">
      <c r="A117" s="3" t="b">
        <f>IFERROR(__xludf.DUMMYFUNCTION("""COMPUTED_VALUE"""),TRUE)</f>
        <v>1</v>
      </c>
      <c r="B117" s="3" t="str">
        <f>IFERROR(__xludf.DUMMYFUNCTION("""COMPUTED_VALUE"""),"")</f>
        <v/>
      </c>
      <c r="C117" s="3">
        <f>IFERROR(__xludf.DUMMYFUNCTION("""COMPUTED_VALUE"""),20098.0)</f>
        <v>20098</v>
      </c>
      <c r="D117" s="5" t="str">
        <f>IFERROR(__xludf.DUMMYFUNCTION("""COMPUTED_VALUE"""),"https://cdn.exe.in.th/marketing/WarzTH_LE/Item%20Dict/hard_hat.png")</f>
        <v>https://cdn.exe.in.th/marketing/WarzTH_LE/Item%20Dict/hard_hat.png</v>
      </c>
      <c r="E117" s="3" t="str">
        <f>IFERROR(__xludf.DUMMYFUNCTION("""COMPUTED_VALUE"""),"Hard Hat")</f>
        <v>Hard Hat</v>
      </c>
      <c r="F117" s="2">
        <f>IFERROR(__xludf.DUMMYFUNCTION("""COMPUTED_VALUE"""),1.5)</f>
        <v>1.5</v>
      </c>
      <c r="G117" s="2" t="str">
        <f>IFERROR(__xludf.DUMMYFUNCTION("""COMPUTED_VALUE"""),"-")</f>
        <v>-</v>
      </c>
      <c r="H117" s="2" t="str">
        <f>IFERROR(__xludf.DUMMYFUNCTION("""COMPUTED_VALUE"""),"2,000 Dollars")</f>
        <v>2,000 Dollars</v>
      </c>
      <c r="I117" s="3" t="str">
        <f>IFERROR(__xludf.DUMMYFUNCTION("""COMPUTED_VALUE"""),"Equipment")</f>
        <v>Equipment</v>
      </c>
      <c r="J117" s="3" t="str">
        <f>IFERROR(__xludf.DUMMYFUNCTION("""COMPUTED_VALUE"""),"No")</f>
        <v>No</v>
      </c>
      <c r="K117" s="3"/>
      <c r="L117" s="3" t="str">
        <f>IFERROR(__xludf.DUMMYFUNCTION("""COMPUTED_VALUE"""),"sftp://graphic@103.41.58.141/marketing/WarzTH_LE/Item%20Dict/hard_hat.png")</f>
        <v>sftp://graphic@103.41.58.141/marketing/WarzTH_LE/Item%20Dict/hard_hat.png</v>
      </c>
      <c r="M117" s="3"/>
      <c r="N117" s="3" t="str">
        <f>IFERROR(__xludf.DUMMYFUNCTION("""COMPUTED_VALUE"""),"The traditional construction hard hat is just the ticket for knocking around old buildings and showing your enemies that you are tough!")</f>
        <v>The traditional construction hard hat is just the ticket for knocking around old buildings and showing your enemies that you are tough!</v>
      </c>
      <c r="O117" s="3"/>
    </row>
    <row r="118">
      <c r="A118" s="3" t="b">
        <f>IFERROR(__xludf.DUMMYFUNCTION("""COMPUTED_VALUE"""),TRUE)</f>
        <v>1</v>
      </c>
      <c r="B118" s="3" t="str">
        <f>IFERROR(__xludf.DUMMYFUNCTION("""COMPUTED_VALUE"""),"")</f>
        <v/>
      </c>
      <c r="C118" s="3">
        <f>IFERROR(__xludf.DUMMYFUNCTION("""COMPUTED_VALUE"""),101308.0)</f>
        <v>101308</v>
      </c>
      <c r="D118" s="5" t="str">
        <f>IFERROR(__xludf.DUMMYFUNCTION("""COMPUTED_VALUE"""),"https://cdn.exe.in.th/marketing/WarzTH_LE/Item%20Dict/hatchet.png")</f>
        <v>https://cdn.exe.in.th/marketing/WarzTH_LE/Item%20Dict/hatchet.png</v>
      </c>
      <c r="E118" s="3" t="str">
        <f>IFERROR(__xludf.DUMMYFUNCTION("""COMPUTED_VALUE"""),"Hatchet")</f>
        <v>Hatchet</v>
      </c>
      <c r="F118" s="2">
        <f>IFERROR(__xludf.DUMMYFUNCTION("""COMPUTED_VALUE"""),1.0)</f>
        <v>1</v>
      </c>
      <c r="G118" s="2" t="str">
        <f>IFERROR(__xludf.DUMMYFUNCTION("""COMPUTED_VALUE"""),"-")</f>
        <v>-</v>
      </c>
      <c r="H118" s="2" t="str">
        <f>IFERROR(__xludf.DUMMYFUNCTION("""COMPUTED_VALUE"""),"800 Dollars")</f>
        <v>800 Dollars</v>
      </c>
      <c r="I118" s="3" t="str">
        <f>IFERROR(__xludf.DUMMYFUNCTION("""COMPUTED_VALUE"""),"Weapon")</f>
        <v>Weapon</v>
      </c>
      <c r="J118" s="3" t="str">
        <f>IFERROR(__xludf.DUMMYFUNCTION("""COMPUTED_VALUE"""),"No")</f>
        <v>No</v>
      </c>
      <c r="K118" s="3"/>
      <c r="L118" s="3" t="str">
        <f>IFERROR(__xludf.DUMMYFUNCTION("""COMPUTED_VALUE"""),"sftp://graphic@103.41.58.141/marketing/WarzTH_LE/Item%20Dict/hatchet.png")</f>
        <v>sftp://graphic@103.41.58.141/marketing/WarzTH_LE/Item%20Dict/hatchet.png</v>
      </c>
      <c r="M118" s="3"/>
      <c r="N118" s="3" t="str">
        <f>IFERROR(__xludf.DUMMYFUNCTION("""COMPUTED_VALUE"""),"Cold-Steel, drop forged head with differential heat treatment. American Hickory Handle. Sharp corners will easily pierce the thickest skull and the razor sharp edge will shear through flesh and bone like it was white bread.")</f>
        <v>Cold-Steel, drop forged head with differential heat treatment. American Hickory Handle. Sharp corners will easily pierce the thickest skull and the razor sharp edge will shear through flesh and bone like it was white bread.</v>
      </c>
      <c r="O118" s="3"/>
    </row>
    <row r="119">
      <c r="A119" s="3" t="b">
        <f>IFERROR(__xludf.DUMMYFUNCTION("""COMPUTED_VALUE"""),TRUE)</f>
        <v>1</v>
      </c>
      <c r="B119" s="3" t="str">
        <f>IFERROR(__xludf.DUMMYFUNCTION("""COMPUTED_VALUE"""),"")</f>
        <v/>
      </c>
      <c r="C119" s="3">
        <f>IFERROR(__xludf.DUMMYFUNCTION("""COMPUTED_VALUE"""),20057.0)</f>
        <v>20057</v>
      </c>
      <c r="D119" s="5" t="str">
        <f>IFERROR(__xludf.DUMMYFUNCTION("""COMPUTED_VALUE"""),"https://cdn.exe.in.th/marketing/WarzTH_LE/Item%20Dict/heavy_armor.png")</f>
        <v>https://cdn.exe.in.th/marketing/WarzTH_LE/Item%20Dict/heavy_armor.png</v>
      </c>
      <c r="E119" s="3" t="str">
        <f>IFERROR(__xludf.DUMMYFUNCTION("""COMPUTED_VALUE"""),"Heavy Armor")</f>
        <v>Heavy Armor</v>
      </c>
      <c r="F119" s="2" t="str">
        <f>IFERROR(__xludf.DUMMYFUNCTION("""COMPUTED_VALUE"""),"-")</f>
        <v>-</v>
      </c>
      <c r="G119" s="2" t="str">
        <f>IFERROR(__xludf.DUMMYFUNCTION("""COMPUTED_VALUE"""),"-")</f>
        <v>-</v>
      </c>
      <c r="H119" s="2" t="str">
        <f>IFERROR(__xludf.DUMMYFUNCTION("""COMPUTED_VALUE"""),"-")</f>
        <v>-</v>
      </c>
      <c r="I119" s="3" t="str">
        <f>IFERROR(__xludf.DUMMYFUNCTION("""COMPUTED_VALUE"""),"Equipment")</f>
        <v>Equipment</v>
      </c>
      <c r="J119" s="3" t="str">
        <f>IFERROR(__xludf.DUMMYFUNCTION("""COMPUTED_VALUE"""),"No")</f>
        <v>No</v>
      </c>
      <c r="K119" s="3"/>
      <c r="L119" s="3" t="str">
        <f>IFERROR(__xludf.DUMMYFUNCTION("""COMPUTED_VALUE"""),"sftp://graphic@103.41.58.141/marketing/WarzTH_LE/Item%20Dict/heavy_armor.png")</f>
        <v>sftp://graphic@103.41.58.141/marketing/WarzTH_LE/Item%20Dict/heavy_armor.png</v>
      </c>
      <c r="M119" s="3"/>
      <c r="N119" s="3" t="str">
        <f>IFERROR(__xludf.DUMMYFUNCTION("""COMPUTED_VALUE"""),"Limited edition Armor Protection Level 5")</f>
        <v>Limited edition Armor Protection Level 5</v>
      </c>
      <c r="O119" s="3"/>
    </row>
    <row r="120">
      <c r="A120" s="3" t="b">
        <f>IFERROR(__xludf.DUMMYFUNCTION("""COMPUTED_VALUE"""),TRUE)</f>
        <v>1</v>
      </c>
      <c r="B120" s="3" t="str">
        <f>IFERROR(__xludf.DUMMYFUNCTION("""COMPUTED_VALUE"""),"")</f>
        <v/>
      </c>
      <c r="C120" s="3">
        <f>IFERROR(__xludf.DUMMYFUNCTION("""COMPUTED_VALUE"""),400005.0)</f>
        <v>400005</v>
      </c>
      <c r="D120" s="5" t="str">
        <f>IFERROR(__xludf.DUMMYFUNCTION("""COMPUTED_VALUE"""),"https://cdn.exe.in.th/marketing/WarzTH_LE/Item%20Dict/holograp.png")</f>
        <v>https://cdn.exe.in.th/marketing/WarzTH_LE/Item%20Dict/holograp.png</v>
      </c>
      <c r="E120" s="3" t="str">
        <f>IFERROR(__xludf.DUMMYFUNCTION("""COMPUTED_VALUE"""),"Holographic")</f>
        <v>Holographic</v>
      </c>
      <c r="F120" s="2">
        <f>IFERROR(__xludf.DUMMYFUNCTION("""COMPUTED_VALUE"""),3.0)</f>
        <v>3</v>
      </c>
      <c r="G120" s="2" t="str">
        <f>IFERROR(__xludf.DUMMYFUNCTION("""COMPUTED_VALUE"""),"30 GC")</f>
        <v>30 GC</v>
      </c>
      <c r="H120" s="2" t="str">
        <f>IFERROR(__xludf.DUMMYFUNCTION("""COMPUTED_VALUE"""),"3,000 Dollars")</f>
        <v>3,000 Dollars</v>
      </c>
      <c r="I120" s="3" t="str">
        <f>IFERROR(__xludf.DUMMYFUNCTION("""COMPUTED_VALUE"""),"Attachment")</f>
        <v>Attachment</v>
      </c>
      <c r="J120" s="3" t="str">
        <f>IFERROR(__xludf.DUMMYFUNCTION("""COMPUTED_VALUE"""),"No")</f>
        <v>No</v>
      </c>
      <c r="K120" s="3"/>
      <c r="L120" s="3" t="str">
        <f>IFERROR(__xludf.DUMMYFUNCTION("""COMPUTED_VALUE"""),"sftp://graphic@103.41.58.141/marketing/WarzTH_LE/Item%20Dict/holograp.png")</f>
        <v>sftp://graphic@103.41.58.141/marketing/WarzTH_LE/Item%20Dict/holograp.png</v>
      </c>
      <c r="M120" s="3"/>
      <c r="N120" s="3" t="str">
        <f>IFERROR(__xludf.DUMMYFUNCTION("""COMPUTED_VALUE"""),"The Holosight is a rail mounted holographic sight used to extend a shooters accuracy at close and medium ranges.")</f>
        <v>The Holosight is a rail mounted holographic sight used to extend a shooters accuracy at close and medium ranges.</v>
      </c>
      <c r="O120" s="3"/>
    </row>
    <row r="121">
      <c r="A121" s="3" t="b">
        <f>IFERROR(__xludf.DUMMYFUNCTION("""COMPUTED_VALUE"""),TRUE)</f>
        <v>1</v>
      </c>
      <c r="B121" s="3" t="str">
        <f>IFERROR(__xludf.DUMMYFUNCTION("""COMPUTED_VALUE"""),"")</f>
        <v/>
      </c>
      <c r="C121" s="3">
        <f>IFERROR(__xludf.DUMMYFUNCTION("""COMPUTED_VALUE"""),101106.0)</f>
        <v>101106</v>
      </c>
      <c r="D121" s="5" t="str">
        <f>IFERROR(__xludf.DUMMYFUNCTION("""COMPUTED_VALUE"""),"https://cdn.exe.in.th/marketing/WarzTH_LE/Item%20Dict/honey_badger.png")</f>
        <v>https://cdn.exe.in.th/marketing/WarzTH_LE/Item%20Dict/honey_badger.png</v>
      </c>
      <c r="E121" s="3" t="str">
        <f>IFERROR(__xludf.DUMMYFUNCTION("""COMPUTED_VALUE"""),"Honey Badger")</f>
        <v>Honey Badger</v>
      </c>
      <c r="F121" s="2">
        <f>IFERROR(__xludf.DUMMYFUNCTION("""COMPUTED_VALUE"""),300.0)</f>
        <v>300</v>
      </c>
      <c r="G121" s="2" t="str">
        <f>IFERROR(__xludf.DUMMYFUNCTION("""COMPUTED_VALUE"""),"-")</f>
        <v>-</v>
      </c>
      <c r="H121" s="2" t="str">
        <f>IFERROR(__xludf.DUMMYFUNCTION("""COMPUTED_VALUE"""),"-")</f>
        <v>-</v>
      </c>
      <c r="I121" s="3" t="str">
        <f>IFERROR(__xludf.DUMMYFUNCTION("""COMPUTED_VALUE"""),"Weapon")</f>
        <v>Weapon</v>
      </c>
      <c r="J121" s="3" t="str">
        <f>IFERROR(__xludf.DUMMYFUNCTION("""COMPUTED_VALUE"""),"No")</f>
        <v>No</v>
      </c>
      <c r="K121" s="3" t="str">
        <f>IFERROR(__xludf.DUMMYFUNCTION("""COMPUTED_VALUE"""),"SR")</f>
        <v>SR</v>
      </c>
      <c r="L121" s="3" t="str">
        <f>IFERROR(__xludf.DUMMYFUNCTION("""COMPUTED_VALUE"""),"sftp://graphic@103.41.58.141/marketing/WarzTH_LE/Item%20Dict/honey_badger.png")</f>
        <v>sftp://graphic@103.41.58.141/marketing/WarzTH_LE/Item%20Dict/honey_badger.png</v>
      </c>
      <c r="M121" s="3"/>
      <c r="N121" s="3" t="str">
        <f>IFERROR(__xludf.DUMMYFUNCTION("""COMPUTED_VALUE"""),"The Honey Badger submachine gun fires a .300 round at a medium rate of fire causing a good amount of damage on close range targets.")</f>
        <v>The Honey Badger submachine gun fires a .300 round at a medium rate of fire causing a good amount of damage on close range targets.</v>
      </c>
      <c r="O121" s="3"/>
    </row>
    <row r="122">
      <c r="A122" s="3" t="b">
        <f>IFERROR(__xludf.DUMMYFUNCTION("""COMPUTED_VALUE"""),TRUE)</f>
        <v>1</v>
      </c>
      <c r="B122" s="3" t="str">
        <f>IFERROR(__xludf.DUMMYFUNCTION("""COMPUTED_VALUE"""),"")</f>
        <v/>
      </c>
      <c r="C122" s="3">
        <f>IFERROR(__xludf.DUMMYFUNCTION("""COMPUTED_VALUE"""),20184.0)</f>
        <v>20184</v>
      </c>
      <c r="D122" s="5" t="str">
        <f>IFERROR(__xludf.DUMMYFUNCTION("""COMPUTED_VALUE"""),"https://cdn.exe.in.th/marketing/WarzTH_LE/Item%20Dict/hunter.png")</f>
        <v>https://cdn.exe.in.th/marketing/WarzTH_LE/Item%20Dict/hunter.png</v>
      </c>
      <c r="E122" s="3" t="str">
        <f>IFERROR(__xludf.DUMMYFUNCTION("""COMPUTED_VALUE"""),"Hunter")</f>
        <v>Hunter</v>
      </c>
      <c r="F122" s="2">
        <f>IFERROR(__xludf.DUMMYFUNCTION("""COMPUTED_VALUE"""),90.0)</f>
        <v>90</v>
      </c>
      <c r="G122" s="2" t="str">
        <f>IFERROR(__xludf.DUMMYFUNCTION("""COMPUTED_VALUE"""),"900 GC")</f>
        <v>900 GC</v>
      </c>
      <c r="H122" s="2" t="str">
        <f>IFERROR(__xludf.DUMMYFUNCTION("""COMPUTED_VALUE"""),"72,000 Dollars")</f>
        <v>72,000 Dollars</v>
      </c>
      <c r="I122" s="3" t="str">
        <f>IFERROR(__xludf.DUMMYFUNCTION("""COMPUTED_VALUE"""),"Character")</f>
        <v>Character</v>
      </c>
      <c r="J122" s="3" t="str">
        <f>IFERROR(__xludf.DUMMYFUNCTION("""COMPUTED_VALUE"""),"No")</f>
        <v>No</v>
      </c>
      <c r="K122" s="3"/>
      <c r="L122" s="3" t="str">
        <f>IFERROR(__xludf.DUMMYFUNCTION("""COMPUTED_VALUE"""),"sftp://graphic@103.41.58.141/marketing/WarzTH_LE/Item%20Dict/hunter.png")</f>
        <v>sftp://graphic@103.41.58.141/marketing/WarzTH_LE/Item%20Dict/hunter.png</v>
      </c>
      <c r="M122" s="3"/>
      <c r="N122" s="3" t="str">
        <f>IFERROR(__xludf.DUMMYFUNCTION("""COMPUTED_VALUE"""),"-")</f>
        <v>-</v>
      </c>
      <c r="O122" s="3"/>
    </row>
    <row r="123">
      <c r="A123" s="3" t="b">
        <f>IFERROR(__xludf.DUMMYFUNCTION("""COMPUTED_VALUE"""),TRUE)</f>
        <v>1</v>
      </c>
      <c r="B123" s="3" t="str">
        <f>IFERROR(__xludf.DUMMYFUNCTION("""COMPUTED_VALUE"""),"")</f>
        <v/>
      </c>
      <c r="C123" s="3">
        <f>IFERROR(__xludf.DUMMYFUNCTION("""COMPUTED_VALUE"""),20054.0)</f>
        <v>20054</v>
      </c>
      <c r="D123" s="5" t="str">
        <f>IFERROR(__xludf.DUMMYFUNCTION("""COMPUTED_VALUE"""),"https://cdn.exe.in.th/marketing/WarzTH_LE/Item%20Dict/iba_sand.png")</f>
        <v>https://cdn.exe.in.th/marketing/WarzTH_LE/Item%20Dict/iba_sand.png</v>
      </c>
      <c r="E123" s="3" t="str">
        <f>IFERROR(__xludf.DUMMYFUNCTION("""COMPUTED_VALUE"""),"IBA Sand")</f>
        <v>IBA Sand</v>
      </c>
      <c r="F123" s="2">
        <f>IFERROR(__xludf.DUMMYFUNCTION("""COMPUTED_VALUE"""),1.5)</f>
        <v>1.5</v>
      </c>
      <c r="G123" s="2" t="str">
        <f>IFERROR(__xludf.DUMMYFUNCTION("""COMPUTED_VALUE"""),"15 GC")</f>
        <v>15 GC</v>
      </c>
      <c r="H123" s="2" t="str">
        <f>IFERROR(__xludf.DUMMYFUNCTION("""COMPUTED_VALUE"""),"2,500 Dollars")</f>
        <v>2,500 Dollars</v>
      </c>
      <c r="I123" s="3" t="str">
        <f>IFERROR(__xludf.DUMMYFUNCTION("""COMPUTED_VALUE"""),"Equipment")</f>
        <v>Equipment</v>
      </c>
      <c r="J123" s="3" t="str">
        <f>IFERROR(__xludf.DUMMYFUNCTION("""COMPUTED_VALUE"""),"No")</f>
        <v>No</v>
      </c>
      <c r="K123" s="3"/>
      <c r="L123" s="3" t="str">
        <f>IFERROR(__xludf.DUMMYFUNCTION("""COMPUTED_VALUE"""),"sftp://graphic@103.41.58.141/marketing/WarzTH_LE/Item%20Dict/iba_sand.png")</f>
        <v>sftp://graphic@103.41.58.141/marketing/WarzTH_LE/Item%20Dict/iba_sand.png</v>
      </c>
      <c r="M123" s="3"/>
      <c r="N123" s="3" t="str">
        <f>IFERROR(__xludf.DUMMYFUNCTION("""COMPUTED_VALUE"""),"Special IBA release gear in Sand toned pattern with Level 2 protection.")</f>
        <v>Special IBA release gear in Sand toned pattern with Level 2 protection.</v>
      </c>
      <c r="O123" s="3"/>
    </row>
    <row r="124">
      <c r="A124" s="3" t="b">
        <f>IFERROR(__xludf.DUMMYFUNCTION("""COMPUTED_VALUE"""),TRUE)</f>
        <v>1</v>
      </c>
      <c r="B124" s="3" t="str">
        <f>IFERROR(__xludf.DUMMYFUNCTION("""COMPUTED_VALUE"""),"")</f>
        <v/>
      </c>
      <c r="C124" s="3">
        <f>IFERROR(__xludf.DUMMYFUNCTION("""COMPUTED_VALUE"""),101173.0)</f>
        <v>101173</v>
      </c>
      <c r="D124" s="5" t="str">
        <f>IFERROR(__xludf.DUMMYFUNCTION("""COMPUTED_VALUE"""),"https://cdn.exe.in.th/marketing/WarzTH_LE/Item%20Dict/imi_tar_21.png")</f>
        <v>https://cdn.exe.in.th/marketing/WarzTH_LE/Item%20Dict/imi_tar_21.png</v>
      </c>
      <c r="E124" s="3" t="str">
        <f>IFERROR(__xludf.DUMMYFUNCTION("""COMPUTED_VALUE"""),"IMI TAR-21")</f>
        <v>IMI TAR-21</v>
      </c>
      <c r="F124" s="2">
        <f>IFERROR(__xludf.DUMMYFUNCTION("""COMPUTED_VALUE"""),400.0)</f>
        <v>400</v>
      </c>
      <c r="G124" s="2" t="str">
        <f>IFERROR(__xludf.DUMMYFUNCTION("""COMPUTED_VALUE"""),"-")</f>
        <v>-</v>
      </c>
      <c r="H124" s="2" t="str">
        <f>IFERROR(__xludf.DUMMYFUNCTION("""COMPUTED_VALUE"""),"-")</f>
        <v>-</v>
      </c>
      <c r="I124" s="3" t="str">
        <f>IFERROR(__xludf.DUMMYFUNCTION("""COMPUTED_VALUE"""),"Weapon")</f>
        <v>Weapon</v>
      </c>
      <c r="J124" s="3" t="str">
        <f>IFERROR(__xludf.DUMMYFUNCTION("""COMPUTED_VALUE"""),"No")</f>
        <v>No</v>
      </c>
      <c r="K124" s="3" t="str">
        <f>IFERROR(__xludf.DUMMYFUNCTION("""COMPUTED_VALUE"""),"SR")</f>
        <v>SR</v>
      </c>
      <c r="L124" s="3" t="str">
        <f>IFERROR(__xludf.DUMMYFUNCTION("""COMPUTED_VALUE"""),"sftp://graphic@103.41.58.141/marketing/WarzTH_LE/Item%20Dict/imi_tar_21.png")</f>
        <v>sftp://graphic@103.41.58.141/marketing/WarzTH_LE/Item%20Dict/imi_tar_21.png</v>
      </c>
      <c r="M124" s="3"/>
      <c r="N124" s="3" t="str">
        <f>IFERROR(__xludf.DUMMYFUNCTION("""COMPUTED_VALUE"""),"The TAR-21 is an unique gas operated, rotating bolt, bullpup design assault rifle that fires a 5.56 x 45 mm round. It is extremely effective at close and medium range.")</f>
        <v>The TAR-21 is an unique gas operated, rotating bolt, bullpup design assault rifle that fires a 5.56 x 45 mm round. It is extremely effective at close and medium range.</v>
      </c>
      <c r="O124" s="3"/>
    </row>
    <row r="125">
      <c r="A125" s="3" t="b">
        <f>IFERROR(__xludf.DUMMYFUNCTION("""COMPUTED_VALUE"""),TRUE)</f>
        <v>1</v>
      </c>
      <c r="B125" s="3" t="str">
        <f>IFERROR(__xludf.DUMMYFUNCTION("""COMPUTED_VALUE"""),"")</f>
        <v/>
      </c>
      <c r="C125" s="3">
        <f>IFERROR(__xludf.DUMMYFUNCTION("""COMPUTED_VALUE"""),101285.0)</f>
        <v>101285</v>
      </c>
      <c r="D125" s="5" t="str">
        <f>IFERROR(__xludf.DUMMYFUNCTION("""COMPUTED_VALUE"""),"https://cdn.exe.in.th/marketing/WarzTH_LE/Item%20Dict/instant_oatmeal.png")</f>
        <v>https://cdn.exe.in.th/marketing/WarzTH_LE/Item%20Dict/instant_oatmeal.png</v>
      </c>
      <c r="E125" s="3" t="str">
        <f>IFERROR(__xludf.DUMMYFUNCTION("""COMPUTED_VALUE"""),"Instant Oatmeal")</f>
        <v>Instant Oatmeal</v>
      </c>
      <c r="F125" s="2" t="str">
        <f>IFERROR(__xludf.DUMMYFUNCTION("""COMPUTED_VALUE"""),"-")</f>
        <v>-</v>
      </c>
      <c r="G125" s="2" t="str">
        <f>IFERROR(__xludf.DUMMYFUNCTION("""COMPUTED_VALUE"""),"-")</f>
        <v>-</v>
      </c>
      <c r="H125" s="2" t="str">
        <f>IFERROR(__xludf.DUMMYFUNCTION("""COMPUTED_VALUE"""),"-")</f>
        <v>-</v>
      </c>
      <c r="I125" s="3" t="str">
        <f>IFERROR(__xludf.DUMMYFUNCTION("""COMPUTED_VALUE"""),"Consumable")</f>
        <v>Consumable</v>
      </c>
      <c r="J125" s="3" t="str">
        <f>IFERROR(__xludf.DUMMYFUNCTION("""COMPUTED_VALUE"""),"Yes")</f>
        <v>Yes</v>
      </c>
      <c r="K125" s="3"/>
      <c r="L125" s="3" t="str">
        <f>IFERROR(__xludf.DUMMYFUNCTION("""COMPUTED_VALUE"""),"sftp://graphic@103.41.58.141/marketing/WarzTH_LE/Item%20Dict/instant_oatmeal.png")</f>
        <v>sftp://graphic@103.41.58.141/marketing/WarzTH_LE/Item%20Dict/instant_oatmeal.png</v>
      </c>
      <c r="M125" s="3"/>
      <c r="N125" s="3" t="str">
        <f>IFERROR(__xludf.DUMMYFUNCTION("""COMPUTED_VALUE"""),"A heart warming way to start your day. Classic Maple and Brown Sugar. Relieves a moderate amount of hunger.")</f>
        <v>A heart warming way to start your day. Classic Maple and Brown Sugar. Relieves a moderate amount of hunger.</v>
      </c>
      <c r="O125" s="3"/>
    </row>
    <row r="126">
      <c r="A126" s="3" t="b">
        <f>IFERROR(__xludf.DUMMYFUNCTION("""COMPUTED_VALUE"""),TRUE)</f>
        <v>1</v>
      </c>
      <c r="B126" s="3" t="str">
        <f>IFERROR(__xludf.DUMMYFUNCTION("""COMPUTED_VALUE"""),"")</f>
        <v/>
      </c>
      <c r="C126" s="3">
        <f>IFERROR(__xludf.DUMMYFUNCTION("""COMPUTED_VALUE"""),20034.0)</f>
        <v>20034</v>
      </c>
      <c r="D126" s="5" t="str">
        <f>IFERROR(__xludf.DUMMYFUNCTION("""COMPUTED_VALUE"""),"https://cdn.exe.in.th/marketing/WarzTH_LE/Item%20Dict/jason_mask.png")</f>
        <v>https://cdn.exe.in.th/marketing/WarzTH_LE/Item%20Dict/jason_mask.png</v>
      </c>
      <c r="E126" s="3" t="str">
        <f>IFERROR(__xludf.DUMMYFUNCTION("""COMPUTED_VALUE"""),"Jason Mask")</f>
        <v>Jason Mask</v>
      </c>
      <c r="F126" s="2">
        <f>IFERROR(__xludf.DUMMYFUNCTION("""COMPUTED_VALUE"""),1.0)</f>
        <v>1</v>
      </c>
      <c r="G126" s="2" t="str">
        <f>IFERROR(__xludf.DUMMYFUNCTION("""COMPUTED_VALUE"""),"-")</f>
        <v>-</v>
      </c>
      <c r="H126" s="2" t="str">
        <f>IFERROR(__xludf.DUMMYFUNCTION("""COMPUTED_VALUE"""),"1,000 Dollars")</f>
        <v>1,000 Dollars</v>
      </c>
      <c r="I126" s="3" t="str">
        <f>IFERROR(__xludf.DUMMYFUNCTION("""COMPUTED_VALUE"""),"Equipment")</f>
        <v>Equipment</v>
      </c>
      <c r="J126" s="3" t="str">
        <f>IFERROR(__xludf.DUMMYFUNCTION("""COMPUTED_VALUE"""),"No")</f>
        <v>No</v>
      </c>
      <c r="K126" s="3"/>
      <c r="L126" s="3" t="str">
        <f>IFERROR(__xludf.DUMMYFUNCTION("""COMPUTED_VALUE"""),"sftp://graphic@103.41.58.141/marketing/WarzTH_LE/Item%20Dict/jason_mask.png")</f>
        <v>sftp://graphic@103.41.58.141/marketing/WarzTH_LE/Item%20Dict/jason_mask.png</v>
      </c>
      <c r="M126" s="3"/>
      <c r="N126" s="3" t="str">
        <f>IFERROR(__xludf.DUMMYFUNCTION("""COMPUTED_VALUE"""),"Hiding a monster, this mask strikes real horror in those who face it.")</f>
        <v>Hiding a monster, this mask strikes real horror in those who face it.</v>
      </c>
      <c r="O126" s="3"/>
    </row>
    <row r="127">
      <c r="A127" s="3" t="b">
        <f>IFERROR(__xludf.DUMMYFUNCTION("""COMPUTED_VALUE"""),TRUE)</f>
        <v>1</v>
      </c>
      <c r="B127" s="3" t="str">
        <f>IFERROR(__xludf.DUMMYFUNCTION("""COMPUTED_VALUE"""),"")</f>
        <v/>
      </c>
      <c r="C127" s="3">
        <f>IFERROR(__xludf.DUMMYFUNCTION("""COMPUTED_VALUE"""),101115.0)</f>
        <v>101115</v>
      </c>
      <c r="D127" s="5" t="str">
        <f>IFERROR(__xludf.DUMMYFUNCTION("""COMPUTED_VALUE"""),"https://cdn.exe.in.th/marketing/WarzTH_LE/Item%20Dict/jericho_9mm.png")</f>
        <v>https://cdn.exe.in.th/marketing/WarzTH_LE/Item%20Dict/jericho_9mm.png</v>
      </c>
      <c r="E127" s="3" t="str">
        <f>IFERROR(__xludf.DUMMYFUNCTION("""COMPUTED_VALUE"""),"Jericho 9mm")</f>
        <v>Jericho 9mm</v>
      </c>
      <c r="F127" s="2">
        <f>IFERROR(__xludf.DUMMYFUNCTION("""COMPUTED_VALUE"""),0.5)</f>
        <v>0.5</v>
      </c>
      <c r="G127" s="2" t="str">
        <f>IFERROR(__xludf.DUMMYFUNCTION("""COMPUTED_VALUE"""),"-")</f>
        <v>-</v>
      </c>
      <c r="H127" s="2" t="str">
        <f>IFERROR(__xludf.DUMMYFUNCTION("""COMPUTED_VALUE"""),"-")</f>
        <v>-</v>
      </c>
      <c r="I127" s="3" t="str">
        <f>IFERROR(__xludf.DUMMYFUNCTION("""COMPUTED_VALUE"""),"Weapon")</f>
        <v>Weapon</v>
      </c>
      <c r="J127" s="3" t="str">
        <f>IFERROR(__xludf.DUMMYFUNCTION("""COMPUTED_VALUE"""),"No")</f>
        <v>No</v>
      </c>
      <c r="K127" s="3" t="str">
        <f>IFERROR(__xludf.DUMMYFUNCTION("""COMPUTED_VALUE"""),"C")</f>
        <v>C</v>
      </c>
      <c r="L127" s="3" t="str">
        <f>IFERROR(__xludf.DUMMYFUNCTION("""COMPUTED_VALUE"""),"sftp://graphic@103.41.58.141/marketing/WarzTH_LE/Item%20Dict/jericho_9mm.png")</f>
        <v>sftp://graphic@103.41.58.141/marketing/WarzTH_LE/Item%20Dict/jericho_9mm.png</v>
      </c>
      <c r="M127" s="3"/>
      <c r="N127" s="3" t="str">
        <f>IFERROR(__xludf.DUMMYFUNCTION("""COMPUTED_VALUE"""),"The Jericho was designed as a universal self-loading pistol which fires a 9mm Parabellum round and is highly effective at close range.")</f>
        <v>The Jericho was designed as a universal self-loading pistol which fires a 9mm Parabellum round and is highly effective at close range.</v>
      </c>
      <c r="O127" s="3"/>
    </row>
    <row r="128">
      <c r="A128" s="3" t="b">
        <f>IFERROR(__xludf.DUMMYFUNCTION("""COMPUTED_VALUE"""),TRUE)</f>
        <v>1</v>
      </c>
      <c r="B128" s="3" t="str">
        <f>IFERROR(__xludf.DUMMYFUNCTION("""COMPUTED_VALUE"""),"")</f>
        <v/>
      </c>
      <c r="C128" s="3">
        <f>IFERROR(__xludf.DUMMYFUNCTION("""COMPUTED_VALUE"""),101297.0)</f>
        <v>101297</v>
      </c>
      <c r="D128" s="5" t="str">
        <f>IFERROR(__xludf.DUMMYFUNCTION("""COMPUTED_VALUE"""),"https://cdn.exe.in.th/marketing/WarzTH_LE/Item%20Dict/juice.png")</f>
        <v>https://cdn.exe.in.th/marketing/WarzTH_LE/Item%20Dict/juice.png</v>
      </c>
      <c r="E128" s="3" t="str">
        <f>IFERROR(__xludf.DUMMYFUNCTION("""COMPUTED_VALUE"""),"Juice")</f>
        <v>Juice</v>
      </c>
      <c r="F128" s="2" t="str">
        <f>IFERROR(__xludf.DUMMYFUNCTION("""COMPUTED_VALUE"""),"-")</f>
        <v>-</v>
      </c>
      <c r="G128" s="2" t="str">
        <f>IFERROR(__xludf.DUMMYFUNCTION("""COMPUTED_VALUE"""),"-")</f>
        <v>-</v>
      </c>
      <c r="H128" s="2" t="str">
        <f>IFERROR(__xludf.DUMMYFUNCTION("""COMPUTED_VALUE"""),"-")</f>
        <v>-</v>
      </c>
      <c r="I128" s="3" t="str">
        <f>IFERROR(__xludf.DUMMYFUNCTION("""COMPUTED_VALUE"""),"Consumable")</f>
        <v>Consumable</v>
      </c>
      <c r="J128" s="3" t="str">
        <f>IFERROR(__xludf.DUMMYFUNCTION("""COMPUTED_VALUE"""),"Yes")</f>
        <v>Yes</v>
      </c>
      <c r="K128" s="3"/>
      <c r="L128" s="3" t="str">
        <f>IFERROR(__xludf.DUMMYFUNCTION("""COMPUTED_VALUE"""),"sftp://graphic@103.41.58.141/marketing/WarzTH_LE/Item%20Dict/juice.png")</f>
        <v>sftp://graphic@103.41.58.141/marketing/WarzTH_LE/Item%20Dict/juice.png</v>
      </c>
      <c r="M128" s="3"/>
      <c r="N128" s="3" t="str">
        <f>IFERROR(__xludf.DUMMYFUNCTION("""COMPUTED_VALUE"""),"A healthy drink that when consumed quenches moderate thirst.")</f>
        <v>A healthy drink that when consumed quenches moderate thirst.</v>
      </c>
      <c r="O128" s="3"/>
    </row>
    <row r="129">
      <c r="A129" s="3" t="b">
        <f>IFERROR(__xludf.DUMMYFUNCTION("""COMPUTED_VALUE"""),TRUE)</f>
        <v>1</v>
      </c>
      <c r="B129" s="3" t="str">
        <f>IFERROR(__xludf.DUMMYFUNCTION("""COMPUTED_VALUE"""),"")</f>
        <v/>
      </c>
      <c r="C129" s="3">
        <f>IFERROR(__xludf.DUMMYFUNCTION("""COMPUTED_VALUE"""),101336.0)</f>
        <v>101336</v>
      </c>
      <c r="D129" s="5" t="str">
        <f>IFERROR(__xludf.DUMMYFUNCTION("""COMPUTED_VALUE"""),"https://cdn.exe.in.th/marketing/WarzTH_LE/Item%20Dict/katana.png")</f>
        <v>https://cdn.exe.in.th/marketing/WarzTH_LE/Item%20Dict/katana.png</v>
      </c>
      <c r="E129" s="3" t="str">
        <f>IFERROR(__xludf.DUMMYFUNCTION("""COMPUTED_VALUE"""),"Katana")</f>
        <v>Katana</v>
      </c>
      <c r="F129" s="2">
        <f>IFERROR(__xludf.DUMMYFUNCTION("""COMPUTED_VALUE"""),1.5)</f>
        <v>1.5</v>
      </c>
      <c r="G129" s="2" t="str">
        <f>IFERROR(__xludf.DUMMYFUNCTION("""COMPUTED_VALUE"""),"15 GC")</f>
        <v>15 GC</v>
      </c>
      <c r="H129" s="2" t="str">
        <f>IFERROR(__xludf.DUMMYFUNCTION("""COMPUTED_VALUE"""),"1,500 Dollars")</f>
        <v>1,500 Dollars</v>
      </c>
      <c r="I129" s="3" t="str">
        <f>IFERROR(__xludf.DUMMYFUNCTION("""COMPUTED_VALUE"""),"Weapon")</f>
        <v>Weapon</v>
      </c>
      <c r="J129" s="3" t="str">
        <f>IFERROR(__xludf.DUMMYFUNCTION("""COMPUTED_VALUE"""),"No")</f>
        <v>No</v>
      </c>
      <c r="K129" s="3"/>
      <c r="L129" s="3" t="str">
        <f>IFERROR(__xludf.DUMMYFUNCTION("""COMPUTED_VALUE"""),"sftp://graphic@103.41.58.141/marketing/WarzTH_LE/Item%20Dict/katana.png")</f>
        <v>sftp://graphic@103.41.58.141/marketing/WarzTH_LE/Item%20Dict/katana.png</v>
      </c>
      <c r="M129" s="3"/>
      <c r="N129" s="3" t="str">
        <f>IFERROR(__xludf.DUMMYFUNCTION("""COMPUTED_VALUE"""),"Ancient deadly sharp Samurai weapon, hand made to cleave your foe cleanly in two. Or three...or four....")</f>
        <v>Ancient deadly sharp Samurai weapon, hand made to cleave your foe cleanly in two. Or three...or four....</v>
      </c>
      <c r="O129" s="3"/>
    </row>
    <row r="130">
      <c r="A130" s="3" t="b">
        <f>IFERROR(__xludf.DUMMYFUNCTION("""COMPUTED_VALUE"""),TRUE)</f>
        <v>1</v>
      </c>
      <c r="B130" s="3" t="str">
        <f>IFERROR(__xludf.DUMMYFUNCTION("""COMPUTED_VALUE"""),"")</f>
        <v/>
      </c>
      <c r="C130" s="3">
        <f>IFERROR(__xludf.DUMMYFUNCTION("""COMPUTED_VALUE"""),400007.0)</f>
        <v>400007</v>
      </c>
      <c r="D130" s="5" t="str">
        <f>IFERROR(__xludf.DUMMYFUNCTION("""COMPUTED_VALUE"""),"https://cdn.exe.in.th/marketing/WarzTH_LE/Item%20Dict/kobra.png")</f>
        <v>https://cdn.exe.in.th/marketing/WarzTH_LE/Item%20Dict/kobra.png</v>
      </c>
      <c r="E130" s="3" t="str">
        <f>IFERROR(__xludf.DUMMYFUNCTION("""COMPUTED_VALUE"""),"Kobra")</f>
        <v>Kobra</v>
      </c>
      <c r="F130" s="2">
        <f>IFERROR(__xludf.DUMMYFUNCTION("""COMPUTED_VALUE"""),1.5)</f>
        <v>1.5</v>
      </c>
      <c r="G130" s="2" t="str">
        <f>IFERROR(__xludf.DUMMYFUNCTION("""COMPUTED_VALUE"""),"-")</f>
        <v>-</v>
      </c>
      <c r="H130" s="2" t="str">
        <f>IFERROR(__xludf.DUMMYFUNCTION("""COMPUTED_VALUE"""),"1,500 Dollars")</f>
        <v>1,500 Dollars</v>
      </c>
      <c r="I130" s="3" t="str">
        <f>IFERROR(__xludf.DUMMYFUNCTION("""COMPUTED_VALUE"""),"Attachment")</f>
        <v>Attachment</v>
      </c>
      <c r="J130" s="3" t="str">
        <f>IFERROR(__xludf.DUMMYFUNCTION("""COMPUTED_VALUE"""),"No")</f>
        <v>No</v>
      </c>
      <c r="K130" s="3"/>
      <c r="L130" s="3" t="str">
        <f>IFERROR(__xludf.DUMMYFUNCTION("""COMPUTED_VALUE"""),"sftp://graphic@103.41.58.141/marketing/WarzTH_LE/Item%20Dict/kobra.png")</f>
        <v>sftp://graphic@103.41.58.141/marketing/WarzTH_LE/Item%20Dict/kobra.png</v>
      </c>
      <c r="M130" s="3"/>
      <c r="N130" s="3" t="str">
        <f>IFERROR(__xludf.DUMMYFUNCTION("""COMPUTED_VALUE"""),"The Kobra is a rail mounted red dot sight used to extend a shooters accuracy at close and medium range targets.")</f>
        <v>The Kobra is a rail mounted red dot sight used to extend a shooters accuracy at close and medium range targets.</v>
      </c>
      <c r="O130" s="3"/>
    </row>
    <row r="131">
      <c r="A131" s="3" t="b">
        <f>IFERROR(__xludf.DUMMYFUNCTION("""COMPUTED_VALUE"""),TRUE)</f>
        <v>1</v>
      </c>
      <c r="B131" s="3" t="str">
        <f>IFERROR(__xludf.DUMMYFUNCTION("""COMPUTED_VALUE"""),"")</f>
        <v/>
      </c>
      <c r="C131" s="3">
        <f>IFERROR(__xludf.DUMMYFUNCTION("""COMPUTED_VALUE"""),101332.0)</f>
        <v>101332</v>
      </c>
      <c r="D131" s="5" t="str">
        <f>IFERROR(__xludf.DUMMYFUNCTION("""COMPUTED_VALUE"""),"https://cdn.exe.in.th/marketing/WarzTH_LE/Item%20Dict/kruger_.22_rifle.png")</f>
        <v>https://cdn.exe.in.th/marketing/WarzTH_LE/Item%20Dict/kruger_.22_rifle.png</v>
      </c>
      <c r="E131" s="3" t="str">
        <f>IFERROR(__xludf.DUMMYFUNCTION("""COMPUTED_VALUE"""),"Kruger .22 Rifle")</f>
        <v>Kruger .22 Rifle</v>
      </c>
      <c r="F131" s="2">
        <f>IFERROR(__xludf.DUMMYFUNCTION("""COMPUTED_VALUE"""),0.5)</f>
        <v>0.5</v>
      </c>
      <c r="G131" s="2" t="str">
        <f>IFERROR(__xludf.DUMMYFUNCTION("""COMPUTED_VALUE"""),"-")</f>
        <v>-</v>
      </c>
      <c r="H131" s="2" t="str">
        <f>IFERROR(__xludf.DUMMYFUNCTION("""COMPUTED_VALUE"""),"-")</f>
        <v>-</v>
      </c>
      <c r="I131" s="3" t="str">
        <f>IFERROR(__xludf.DUMMYFUNCTION("""COMPUTED_VALUE"""),"Weapon")</f>
        <v>Weapon</v>
      </c>
      <c r="J131" s="3" t="str">
        <f>IFERROR(__xludf.DUMMYFUNCTION("""COMPUTED_VALUE"""),"No")</f>
        <v>No</v>
      </c>
      <c r="K131" s="3" t="str">
        <f>IFERROR(__xludf.DUMMYFUNCTION("""COMPUTED_VALUE"""),"C")</f>
        <v>C</v>
      </c>
      <c r="L131" s="3" t="str">
        <f>IFERROR(__xludf.DUMMYFUNCTION("""COMPUTED_VALUE"""),"sftp://graphic@103.41.58.141/marketing/WarzTH_LE/Item%20Dict/kruger_.22_rifle.png")</f>
        <v>sftp://graphic@103.41.58.141/marketing/WarzTH_LE/Item%20Dict/kruger_.22_rifle.png</v>
      </c>
      <c r="M131" s="3"/>
      <c r="N131" s="3" t="str">
        <f>IFERROR(__xludf.DUMMYFUNCTION("""COMPUTED_VALUE"""),"Semi-automatic .22 Long Rifle with removable rotary magazine")</f>
        <v>Semi-automatic .22 Long Rifle with removable rotary magazine</v>
      </c>
      <c r="O131" s="3"/>
    </row>
    <row r="132">
      <c r="A132" s="3" t="b">
        <f>IFERROR(__xludf.DUMMYFUNCTION("""COMPUTED_VALUE"""),TRUE)</f>
        <v>1</v>
      </c>
      <c r="B132" s="3" t="str">
        <f>IFERROR(__xludf.DUMMYFUNCTION("""COMPUTED_VALUE"""),"")</f>
        <v/>
      </c>
      <c r="C132" s="3">
        <f>IFERROR(__xludf.DUMMYFUNCTION("""COMPUTED_VALUE"""),400150.0)</f>
        <v>400150</v>
      </c>
      <c r="D132" s="5" t="str">
        <f>IFERROR(__xludf.DUMMYFUNCTION("""COMPUTED_VALUE"""),"https://cdn.exe.in.th/marketing/WarzTH_LE/Item%20Dict/mini14_mag.png")</f>
        <v>https://cdn.exe.in.th/marketing/WarzTH_LE/Item%20Dict/mini14_mag.png</v>
      </c>
      <c r="E132" s="3" t="str">
        <f>IFERROR(__xludf.DUMMYFUNCTION("""COMPUTED_VALUE"""),"Kruger Mini-14 clip")</f>
        <v>Kruger Mini-14 clip</v>
      </c>
      <c r="F132" s="2">
        <f>IFERROR(__xludf.DUMMYFUNCTION("""COMPUTED_VALUE"""),1.0)</f>
        <v>1</v>
      </c>
      <c r="G132" s="2" t="str">
        <f>IFERROR(__xludf.DUMMYFUNCTION("""COMPUTED_VALUE"""),"10 GC")</f>
        <v>10 GC</v>
      </c>
      <c r="H132" s="2" t="str">
        <f>IFERROR(__xludf.DUMMYFUNCTION("""COMPUTED_VALUE"""),"1,000 Dollars")</f>
        <v>1,000 Dollars</v>
      </c>
      <c r="I132" s="3" t="str">
        <f>IFERROR(__xludf.DUMMYFUNCTION("""COMPUTED_VALUE"""),"Ammo")</f>
        <v>Ammo</v>
      </c>
      <c r="J132" s="3" t="str">
        <f>IFERROR(__xludf.DUMMYFUNCTION("""COMPUTED_VALUE"""),"Yes")</f>
        <v>Yes</v>
      </c>
      <c r="K132" s="3"/>
      <c r="L132" s="3" t="str">
        <f>IFERROR(__xludf.DUMMYFUNCTION("""COMPUTED_VALUE"""),"sftp://graphic@103.41.58.141/marketing/WarzTH_LE/Item%20Dict/mini14_mag.png")</f>
        <v>sftp://graphic@103.41.58.141/marketing/WarzTH_LE/Item%20Dict/mini14_mag.png</v>
      </c>
      <c r="M132" s="3"/>
      <c r="N132" s="3" t="str">
        <f>IFERROR(__xludf.DUMMYFUNCTION("""COMPUTED_VALUE"""),"Standard size clip for the Kruger Mini-14")</f>
        <v>Standard size clip for the Kruger Mini-14</v>
      </c>
      <c r="O132" s="3"/>
    </row>
    <row r="133">
      <c r="A133" s="3" t="b">
        <f>IFERROR(__xludf.DUMMYFUNCTION("""COMPUTED_VALUE"""),TRUE)</f>
        <v>1</v>
      </c>
      <c r="B133" s="3" t="str">
        <f>IFERROR(__xludf.DUMMYFUNCTION("""COMPUTED_VALUE"""),"")</f>
        <v/>
      </c>
      <c r="C133" s="3">
        <f>IFERROR(__xludf.DUMMYFUNCTION("""COMPUTED_VALUE"""),20006.0)</f>
        <v>20006</v>
      </c>
      <c r="D133" s="5" t="str">
        <f>IFERROR(__xludf.DUMMYFUNCTION("""COMPUTED_VALUE"""),"https://cdn.exe.in.th/marketing/WarzTH_LE/Item%20Dict/k._style_helmet.png")</f>
        <v>https://cdn.exe.in.th/marketing/WarzTH_LE/Item%20Dict/k._style_helmet.png</v>
      </c>
      <c r="E133" s="3" t="str">
        <f>IFERROR(__xludf.DUMMYFUNCTION("""COMPUTED_VALUE"""),"K. Style Helmet")</f>
        <v>K. Style Helmet</v>
      </c>
      <c r="F133" s="2">
        <f>IFERROR(__xludf.DUMMYFUNCTION("""COMPUTED_VALUE"""),1.5)</f>
        <v>1.5</v>
      </c>
      <c r="G133" s="2" t="str">
        <f>IFERROR(__xludf.DUMMYFUNCTION("""COMPUTED_VALUE"""),"15 GC")</f>
        <v>15 GC</v>
      </c>
      <c r="H133" s="2" t="str">
        <f>IFERROR(__xludf.DUMMYFUNCTION("""COMPUTED_VALUE"""),"2,500 Dollars")</f>
        <v>2,500 Dollars</v>
      </c>
      <c r="I133" s="3" t="str">
        <f>IFERROR(__xludf.DUMMYFUNCTION("""COMPUTED_VALUE"""),"Equipment")</f>
        <v>Equipment</v>
      </c>
      <c r="J133" s="3" t="str">
        <f>IFERROR(__xludf.DUMMYFUNCTION("""COMPUTED_VALUE"""),"No")</f>
        <v>No</v>
      </c>
      <c r="K133" s="3"/>
      <c r="L133" s="3" t="str">
        <f>IFERROR(__xludf.DUMMYFUNCTION("""COMPUTED_VALUE"""),"sftp://graphic@103.41.58.141/marketing/WarzTH_LE/Item%20Dict/k._style_helmet.png")</f>
        <v>sftp://graphic@103.41.58.141/marketing/WarzTH_LE/Item%20Dict/k._style_helmet.png</v>
      </c>
      <c r="M133" s="3"/>
      <c r="N133" s="3" t="str">
        <f>IFERROR(__xludf.DUMMYFUNCTION("""COMPUTED_VALUE"""),"The good ol' Turtle Head is guaranteed to protect your brain. (Well, at least a little bit)\r\nLevel 2 Protection")</f>
        <v>The good ol' Turtle Head is guaranteed to protect your brain. (Well, at least a little bit)\r\nLevel 2 Protection</v>
      </c>
      <c r="O133" s="3"/>
    </row>
    <row r="134">
      <c r="A134" s="3" t="b">
        <f>IFERROR(__xludf.DUMMYFUNCTION("""COMPUTED_VALUE"""),TRUE)</f>
        <v>1</v>
      </c>
      <c r="B134" s="3" t="str">
        <f>IFERROR(__xludf.DUMMYFUNCTION("""COMPUTED_VALUE"""),"")</f>
        <v/>
      </c>
      <c r="C134" s="3">
        <f>IFERROR(__xludf.DUMMYFUNCTION("""COMPUTED_VALUE"""),20067.0)</f>
        <v>20067</v>
      </c>
      <c r="D134" s="5" t="str">
        <f>IFERROR(__xludf.DUMMYFUNCTION("""COMPUTED_VALUE"""),"https://cdn.exe.in.th/marketing/WarzTH_LE/Item%20Dict/nvg_goggles.png")</f>
        <v>https://cdn.exe.in.th/marketing/WarzTH_LE/Item%20Dict/nvg_goggles.png</v>
      </c>
      <c r="E134" s="3" t="str">
        <f>IFERROR(__xludf.DUMMYFUNCTION("""COMPUTED_VALUE"""),"K Style NVG")</f>
        <v>K Style NVG</v>
      </c>
      <c r="F134" s="2">
        <f>IFERROR(__xludf.DUMMYFUNCTION("""COMPUTED_VALUE"""),2.0)</f>
        <v>2</v>
      </c>
      <c r="G134" s="2" t="str">
        <f>IFERROR(__xludf.DUMMYFUNCTION("""COMPUTED_VALUE"""),"20 GC")</f>
        <v>20 GC</v>
      </c>
      <c r="H134" s="2" t="str">
        <f>IFERROR(__xludf.DUMMYFUNCTION("""COMPUTED_VALUE"""),"3,000 Dollars")</f>
        <v>3,000 Dollars</v>
      </c>
      <c r="I134" s="3" t="str">
        <f>IFERROR(__xludf.DUMMYFUNCTION("""COMPUTED_VALUE"""),"Equipment")</f>
        <v>Equipment</v>
      </c>
      <c r="J134" s="3" t="str">
        <f>IFERROR(__xludf.DUMMYFUNCTION("""COMPUTED_VALUE"""),"No")</f>
        <v>No</v>
      </c>
      <c r="K134" s="3"/>
      <c r="L134" s="3" t="str">
        <f>IFERROR(__xludf.DUMMYFUNCTION("""COMPUTED_VALUE"""),"sftp://graphic@103.41.58.141/marketing/WarzTH_LE/Item%20Dict/nvg_goggles.png")</f>
        <v>sftp://graphic@103.41.58.141/marketing/WarzTH_LE/Item%20Dict/nvg_goggles.png</v>
      </c>
      <c r="M134" s="3"/>
      <c r="N134" s="3" t="str">
        <f>IFERROR(__xludf.DUMMYFUNCTION("""COMPUTED_VALUE"""),"Standard K style helmet rigged with NVG set up for night ops.")</f>
        <v>Standard K style helmet rigged with NVG set up for night ops.</v>
      </c>
      <c r="O134" s="3"/>
    </row>
    <row r="135">
      <c r="A135" s="3" t="b">
        <f>IFERROR(__xludf.DUMMYFUNCTION("""COMPUTED_VALUE"""),TRUE)</f>
        <v>1</v>
      </c>
      <c r="B135" s="3" t="str">
        <f>IFERROR(__xludf.DUMMYFUNCTION("""COMPUTED_VALUE"""),"")</f>
        <v/>
      </c>
      <c r="C135" s="3">
        <f>IFERROR(__xludf.DUMMYFUNCTION("""COMPUTED_VALUE"""),101183.0)</f>
        <v>101183</v>
      </c>
      <c r="D135" s="5" t="str">
        <f>IFERROR(__xludf.DUMMYFUNCTION("""COMPUTED_VALUE"""),"https://cdn.exe.in.th/marketing/WarzTH_LE/Item%20Dict/kt_decider.png")</f>
        <v>https://cdn.exe.in.th/marketing/WarzTH_LE/Item%20Dict/kt_decider.png</v>
      </c>
      <c r="E135" s="3" t="str">
        <f>IFERROR(__xludf.DUMMYFUNCTION("""COMPUTED_VALUE"""),"KT DECIDER")</f>
        <v>KT DECIDER</v>
      </c>
      <c r="F135" s="2">
        <f>IFERROR(__xludf.DUMMYFUNCTION("""COMPUTED_VALUE"""),1.0)</f>
        <v>1</v>
      </c>
      <c r="G135" s="2" t="str">
        <f>IFERROR(__xludf.DUMMYFUNCTION("""COMPUTED_VALUE"""),"-")</f>
        <v>-</v>
      </c>
      <c r="H135" s="2" t="str">
        <f>IFERROR(__xludf.DUMMYFUNCTION("""COMPUTED_VALUE"""),"-")</f>
        <v>-</v>
      </c>
      <c r="I135" s="3" t="str">
        <f>IFERROR(__xludf.DUMMYFUNCTION("""COMPUTED_VALUE"""),"Weapon")</f>
        <v>Weapon</v>
      </c>
      <c r="J135" s="3" t="str">
        <f>IFERROR(__xludf.DUMMYFUNCTION("""COMPUTED_VALUE"""),"No")</f>
        <v>No</v>
      </c>
      <c r="K135" s="3" t="str">
        <f>IFERROR(__xludf.DUMMYFUNCTION("""COMPUTED_VALUE"""),"C")</f>
        <v>C</v>
      </c>
      <c r="L135" s="3" t="str">
        <f>IFERROR(__xludf.DUMMYFUNCTION("""COMPUTED_VALUE"""),"sftp://graphic@103.41.58.141/marketing/WarzTH_LE/Item%20Dict/kt_decider.png")</f>
        <v>sftp://graphic@103.41.58.141/marketing/WarzTH_LE/Item%20Dict/kt_decider.png</v>
      </c>
      <c r="M135" s="3"/>
      <c r="N135" s="3" t="str">
        <f>IFERROR(__xludf.DUMMYFUNCTION("""COMPUTED_VALUE"""),"The KT Decider is a bull-pup shotgun design that has two magazine feed tubes, each side capable of holding 7 shells, for a total capacity of 14+1.")</f>
        <v>The KT Decider is a bull-pup shotgun design that has two magazine feed tubes, each side capable of holding 7 shells, for a total capacity of 14+1.</v>
      </c>
      <c r="O135" s="3"/>
    </row>
    <row r="136">
      <c r="A136" s="3" t="b">
        <f>IFERROR(__xludf.DUMMYFUNCTION("""COMPUTED_VALUE"""),TRUE)</f>
        <v>1</v>
      </c>
      <c r="B136" s="3" t="str">
        <f>IFERROR(__xludf.DUMMYFUNCTION("""COMPUTED_VALUE"""),"")</f>
        <v/>
      </c>
      <c r="C136" s="3">
        <f>IFERROR(__xludf.DUMMYFUNCTION("""COMPUTED_VALUE"""),20179.0)</f>
        <v>20179</v>
      </c>
      <c r="D136" s="5" t="str">
        <f>IFERROR(__xludf.DUMMYFUNCTION("""COMPUTED_VALUE"""),"https://cdn.exe.in.th/marketing/WarzTH_LE/Item%20Dict/large_backpack.png")</f>
        <v>https://cdn.exe.in.th/marketing/WarzTH_LE/Item%20Dict/large_backpack.png</v>
      </c>
      <c r="E136" s="3" t="str">
        <f>IFERROR(__xludf.DUMMYFUNCTION("""COMPUTED_VALUE"""),"Large Backpack")</f>
        <v>Large Backpack</v>
      </c>
      <c r="F136" s="2">
        <f>IFERROR(__xludf.DUMMYFUNCTION("""COMPUTED_VALUE"""),2.0)</f>
        <v>2</v>
      </c>
      <c r="G136" s="2" t="str">
        <f>IFERROR(__xludf.DUMMYFUNCTION("""COMPUTED_VALUE"""),"20 GC")</f>
        <v>20 GC</v>
      </c>
      <c r="H136" s="2" t="str">
        <f>IFERROR(__xludf.DUMMYFUNCTION("""COMPUTED_VALUE"""),"2,000 Dollars")</f>
        <v>2,000 Dollars</v>
      </c>
      <c r="I136" s="3" t="str">
        <f>IFERROR(__xludf.DUMMYFUNCTION("""COMPUTED_VALUE"""),"Equipment")</f>
        <v>Equipment</v>
      </c>
      <c r="J136" s="3" t="str">
        <f>IFERROR(__xludf.DUMMYFUNCTION("""COMPUTED_VALUE"""),"No")</f>
        <v>No</v>
      </c>
      <c r="K136" s="3"/>
      <c r="L136" s="3" t="str">
        <f>IFERROR(__xludf.DUMMYFUNCTION("""COMPUTED_VALUE"""),"sftp://graphic@103.41.58.141/marketing/WarzTH_LE/Item%20Dict/large_backpack.png")</f>
        <v>sftp://graphic@103.41.58.141/marketing/WarzTH_LE/Item%20Dict/large_backpack.png</v>
      </c>
      <c r="M136" s="3"/>
      <c r="N136" s="3" t="str">
        <f>IFERROR(__xludf.DUMMYFUNCTION("""COMPUTED_VALUE"""),"Large Backpack")</f>
        <v>Large Backpack</v>
      </c>
      <c r="O136" s="3"/>
    </row>
    <row r="137">
      <c r="A137" s="3" t="b">
        <f>IFERROR(__xludf.DUMMYFUNCTION("""COMPUTED_VALUE"""),TRUE)</f>
        <v>1</v>
      </c>
      <c r="B137" s="3" t="str">
        <f>IFERROR(__xludf.DUMMYFUNCTION("""COMPUTED_VALUE"""),"")</f>
        <v/>
      </c>
      <c r="C137" s="3">
        <f>IFERROR(__xludf.DUMMYFUNCTION("""COMPUTED_VALUE"""),400146.0)</f>
        <v>400146</v>
      </c>
      <c r="D137" s="5" t="str">
        <f>IFERROR(__xludf.DUMMYFUNCTION("""COMPUTED_VALUE"""),"https://cdn.exe.in.th/marketing/WarzTH_LE/Item%20Dict/kruger_large_mag.png")</f>
        <v>https://cdn.exe.in.th/marketing/WarzTH_LE/Item%20Dict/kruger_large_mag.png</v>
      </c>
      <c r="E137" s="3" t="str">
        <f>IFERROR(__xludf.DUMMYFUNCTION("""COMPUTED_VALUE"""),"Large Kruger Rifle clip")</f>
        <v>Large Kruger Rifle clip</v>
      </c>
      <c r="F137" s="2">
        <f>IFERROR(__xludf.DUMMYFUNCTION("""COMPUTED_VALUE"""),1.5)</f>
        <v>1.5</v>
      </c>
      <c r="G137" s="2" t="str">
        <f>IFERROR(__xludf.DUMMYFUNCTION("""COMPUTED_VALUE"""),"15 GC")</f>
        <v>15 GC</v>
      </c>
      <c r="H137" s="2" t="str">
        <f>IFERROR(__xludf.DUMMYFUNCTION("""COMPUTED_VALUE"""),"1,500 Dollars")</f>
        <v>1,500 Dollars</v>
      </c>
      <c r="I137" s="3" t="str">
        <f>IFERROR(__xludf.DUMMYFUNCTION("""COMPUTED_VALUE"""),"Ammo")</f>
        <v>Ammo</v>
      </c>
      <c r="J137" s="3" t="str">
        <f>IFERROR(__xludf.DUMMYFUNCTION("""COMPUTED_VALUE"""),"Yes")</f>
        <v>Yes</v>
      </c>
      <c r="K137" s="3"/>
      <c r="L137" s="3" t="str">
        <f>IFERROR(__xludf.DUMMYFUNCTION("""COMPUTED_VALUE"""),"sftp://graphic@103.41.58.141/marketing/WarzTH_LE/Item%20Dict/kruger_large_mag.png")</f>
        <v>sftp://graphic@103.41.58.141/marketing/WarzTH_LE/Item%20Dict/kruger_large_mag.png</v>
      </c>
      <c r="M137" s="3"/>
      <c r="N137" s="3" t="str">
        <f>IFERROR(__xludf.DUMMYFUNCTION("""COMPUTED_VALUE"""),"30 round rotary loaded mag")</f>
        <v>30 round rotary loaded mag</v>
      </c>
      <c r="O137" s="3"/>
    </row>
    <row r="138">
      <c r="A138" s="3" t="b">
        <f>IFERROR(__xludf.DUMMYFUNCTION("""COMPUTED_VALUE"""),TRUE)</f>
        <v>1</v>
      </c>
      <c r="B138" s="3" t="str">
        <f>IFERROR(__xludf.DUMMYFUNCTION("""COMPUTED_VALUE"""),"")</f>
        <v/>
      </c>
      <c r="C138" s="3">
        <f>IFERROR(__xludf.DUMMYFUNCTION("""COMPUTED_VALUE"""),20059.0)</f>
        <v>20059</v>
      </c>
      <c r="D138" s="5" t="str">
        <f>IFERROR(__xludf.DUMMYFUNCTION("""COMPUTED_VALUE"""),"https://cdn.exe.in.th/marketing/WarzTH_LE/Item%20Dict/light_gear_forest.png")</f>
        <v>https://cdn.exe.in.th/marketing/WarzTH_LE/Item%20Dict/light_gear_forest.png</v>
      </c>
      <c r="E138" s="3" t="str">
        <f>IFERROR(__xludf.DUMMYFUNCTION("""COMPUTED_VALUE"""),"Light Gear Forest")</f>
        <v>Light Gear Forest</v>
      </c>
      <c r="F138" s="2">
        <f>IFERROR(__xludf.DUMMYFUNCTION("""COMPUTED_VALUE"""),1.0)</f>
        <v>1</v>
      </c>
      <c r="G138" s="2" t="str">
        <f>IFERROR(__xludf.DUMMYFUNCTION("""COMPUTED_VALUE"""),"10 GC")</f>
        <v>10 GC</v>
      </c>
      <c r="H138" s="2" t="str">
        <f>IFERROR(__xludf.DUMMYFUNCTION("""COMPUTED_VALUE"""),"1,000 Dollars")</f>
        <v>1,000 Dollars</v>
      </c>
      <c r="I138" s="3" t="str">
        <f>IFERROR(__xludf.DUMMYFUNCTION("""COMPUTED_VALUE"""),"Equipment")</f>
        <v>Equipment</v>
      </c>
      <c r="J138" s="3" t="str">
        <f>IFERROR(__xludf.DUMMYFUNCTION("""COMPUTED_VALUE"""),"No")</f>
        <v>No</v>
      </c>
      <c r="K138" s="3"/>
      <c r="L138" s="3" t="str">
        <f>IFERROR(__xludf.DUMMYFUNCTION("""COMPUTED_VALUE"""),"sftp://graphic@103.41.58.141/marketing/WarzTH_LE/Item%20Dict/light_gear_forest.png")</f>
        <v>sftp://graphic@103.41.58.141/marketing/WarzTH_LE/Item%20Dict/light_gear_forest.png</v>
      </c>
      <c r="M138" s="3"/>
      <c r="N138" s="3" t="str">
        <f>IFERROR(__xludf.DUMMYFUNCTION("""COMPUTED_VALUE"""),"Light weight Level 1 protection in a Green Forest pattern.")</f>
        <v>Light weight Level 1 protection in a Green Forest pattern.</v>
      </c>
      <c r="O138" s="3"/>
    </row>
    <row r="139">
      <c r="A139" s="3" t="b">
        <f>IFERROR(__xludf.DUMMYFUNCTION("""COMPUTED_VALUE"""),TRUE)</f>
        <v>1</v>
      </c>
      <c r="B139" s="3" t="str">
        <f>IFERROR(__xludf.DUMMYFUNCTION("""COMPUTED_VALUE"""),"")</f>
        <v/>
      </c>
      <c r="C139" s="3">
        <f>IFERROR(__xludf.DUMMYFUNCTION("""COMPUTED_VALUE"""),101088.0)</f>
        <v>101088</v>
      </c>
      <c r="D139" s="5" t="str">
        <f>IFERROR(__xludf.DUMMYFUNCTION("""COMPUTED_VALUE"""),"https://cdn.exe.in.th/marketing/WarzTH_LE/Item%20Dict/m107.png")</f>
        <v>https://cdn.exe.in.th/marketing/WarzTH_LE/Item%20Dict/m107.png</v>
      </c>
      <c r="E139" s="3" t="str">
        <f>IFERROR(__xludf.DUMMYFUNCTION("""COMPUTED_VALUE"""),"M107")</f>
        <v>M107</v>
      </c>
      <c r="F139" s="2">
        <f>IFERROR(__xludf.DUMMYFUNCTION("""COMPUTED_VALUE"""),10000.0)</f>
        <v>10000</v>
      </c>
      <c r="G139" s="2" t="str">
        <f>IFERROR(__xludf.DUMMYFUNCTION("""COMPUTED_VALUE"""),"-")</f>
        <v>-</v>
      </c>
      <c r="H139" s="2" t="str">
        <f>IFERROR(__xludf.DUMMYFUNCTION("""COMPUTED_VALUE"""),"-")</f>
        <v>-</v>
      </c>
      <c r="I139" s="3" t="str">
        <f>IFERROR(__xludf.DUMMYFUNCTION("""COMPUTED_VALUE"""),"Weapon")</f>
        <v>Weapon</v>
      </c>
      <c r="J139" s="3" t="str">
        <f>IFERROR(__xludf.DUMMYFUNCTION("""COMPUTED_VALUE"""),"No")</f>
        <v>No</v>
      </c>
      <c r="K139" s="3" t="str">
        <f>IFERROR(__xludf.DUMMYFUNCTION("""COMPUTED_VALUE"""),"SR")</f>
        <v>SR</v>
      </c>
      <c r="L139" s="3" t="str">
        <f>IFERROR(__xludf.DUMMYFUNCTION("""COMPUTED_VALUE"""),"sftp://graphic@103.41.58.141/marketing/WarzTH_LE/Item%20Dict/m107.png")</f>
        <v>sftp://graphic@103.41.58.141/marketing/WarzTH_LE/Item%20Dict/m107.png</v>
      </c>
      <c r="M139" s="3"/>
      <c r="N139" s="3" t="str">
        <f>IFERROR(__xludf.DUMMYFUNCTION("""COMPUTED_VALUE"""),"The M107 sniper rifle fires a .50 caliber round that strikes with deadly effect at extreme ranges. It has a 10 round clip that allows for a high rate of fire.")</f>
        <v>The M107 sniper rifle fires a .50 caliber round that strikes with deadly effect at extreme ranges. It has a 10 round clip that allows for a high rate of fire.</v>
      </c>
      <c r="O139" s="3"/>
    </row>
    <row r="140">
      <c r="A140" s="3" t="b">
        <f>IFERROR(__xludf.DUMMYFUNCTION("""COMPUTED_VALUE"""),TRUE)</f>
        <v>1</v>
      </c>
      <c r="B140" s="3" t="str">
        <f>IFERROR(__xludf.DUMMYFUNCTION("""COMPUTED_VALUE"""),"")</f>
        <v/>
      </c>
      <c r="C140" s="3">
        <f>IFERROR(__xludf.DUMMYFUNCTION("""COMPUTED_VALUE"""),101002.0)</f>
        <v>101002</v>
      </c>
      <c r="D140" s="5" t="str">
        <f>IFERROR(__xludf.DUMMYFUNCTION("""COMPUTED_VALUE"""),"https://cdn.exe.in.th/marketing/WarzTH_LE/Item%20Dict/m16.png")</f>
        <v>https://cdn.exe.in.th/marketing/WarzTH_LE/Item%20Dict/m16.png</v>
      </c>
      <c r="E140" s="3" t="str">
        <f>IFERROR(__xludf.DUMMYFUNCTION("""COMPUTED_VALUE"""),"M16")</f>
        <v>M16</v>
      </c>
      <c r="F140" s="2">
        <f>IFERROR(__xludf.DUMMYFUNCTION("""COMPUTED_VALUE"""),4.0)</f>
        <v>4</v>
      </c>
      <c r="G140" s="2" t="str">
        <f>IFERROR(__xludf.DUMMYFUNCTION("""COMPUTED_VALUE"""),"-")</f>
        <v>-</v>
      </c>
      <c r="H140" s="2" t="str">
        <f>IFERROR(__xludf.DUMMYFUNCTION("""COMPUTED_VALUE"""),"-")</f>
        <v>-</v>
      </c>
      <c r="I140" s="3" t="str">
        <f>IFERROR(__xludf.DUMMYFUNCTION("""COMPUTED_VALUE"""),"Weapon")</f>
        <v>Weapon</v>
      </c>
      <c r="J140" s="3" t="str">
        <f>IFERROR(__xludf.DUMMYFUNCTION("""COMPUTED_VALUE"""),"No")</f>
        <v>No</v>
      </c>
      <c r="K140" s="3" t="str">
        <f>IFERROR(__xludf.DUMMYFUNCTION("""COMPUTED_VALUE"""),"A")</f>
        <v>A</v>
      </c>
      <c r="L140" s="3" t="str">
        <f>IFERROR(__xludf.DUMMYFUNCTION("""COMPUTED_VALUE"""),"sftp://graphic@103.41.58.141/marketing/WarzTH_LE/Item%20Dict/m16.png")</f>
        <v>sftp://graphic@103.41.58.141/marketing/WarzTH_LE/Item%20Dict/m16.png</v>
      </c>
      <c r="M140" s="3"/>
      <c r="N140" s="3" t="str">
        <f>IFERROR(__xludf.DUMMYFUNCTION("""COMPUTED_VALUE"""),"The M16 rifle is a gas operated standard infantry assault rifle, chambered for 5.56x45mm NATO round.")</f>
        <v>The M16 rifle is a gas operated standard infantry assault rifle, chambered for 5.56x45mm NATO round.</v>
      </c>
      <c r="O140" s="3"/>
    </row>
    <row r="141">
      <c r="A141" s="3" t="b">
        <f>IFERROR(__xludf.DUMMYFUNCTION("""COMPUTED_VALUE"""),TRUE)</f>
        <v>1</v>
      </c>
      <c r="B141" s="3" t="str">
        <f>IFERROR(__xludf.DUMMYFUNCTION("""COMPUTED_VALUE"""),"")</f>
        <v/>
      </c>
      <c r="C141" s="3">
        <f>IFERROR(__xludf.DUMMYFUNCTION("""COMPUTED_VALUE"""),400143.0)</f>
        <v>400143</v>
      </c>
      <c r="D141" s="5" t="str">
        <f>IFERROR(__xludf.DUMMYFUNCTION("""COMPUTED_VALUE"""),"https://cdn.exe.in.th/marketing/WarzTH_LE/Item%20Dict/m249_ammo.png")</f>
        <v>https://cdn.exe.in.th/marketing/WarzTH_LE/Item%20Dict/m249_ammo.png</v>
      </c>
      <c r="E141" s="3" t="str">
        <f>IFERROR(__xludf.DUMMYFUNCTION("""COMPUTED_VALUE"""),"M249 Ammo Box")</f>
        <v>M249 Ammo Box</v>
      </c>
      <c r="F141" s="2">
        <f>IFERROR(__xludf.DUMMYFUNCTION("""COMPUTED_VALUE"""),2.5)</f>
        <v>2.5</v>
      </c>
      <c r="G141" s="2" t="str">
        <f>IFERROR(__xludf.DUMMYFUNCTION("""COMPUTED_VALUE"""),"25 GC")</f>
        <v>25 GC</v>
      </c>
      <c r="H141" s="2" t="str">
        <f>IFERROR(__xludf.DUMMYFUNCTION("""COMPUTED_VALUE"""),"2,500 Dollars")</f>
        <v>2,500 Dollars</v>
      </c>
      <c r="I141" s="3" t="str">
        <f>IFERROR(__xludf.DUMMYFUNCTION("""COMPUTED_VALUE"""),"Ammo")</f>
        <v>Ammo</v>
      </c>
      <c r="J141" s="3" t="str">
        <f>IFERROR(__xludf.DUMMYFUNCTION("""COMPUTED_VALUE"""),"Yes")</f>
        <v>Yes</v>
      </c>
      <c r="K141" s="3"/>
      <c r="L141" s="3" t="str">
        <f>IFERROR(__xludf.DUMMYFUNCTION("""COMPUTED_VALUE"""),"sftp://graphic@103.41.58.141/marketing/WarzTH_LE/Item%20Dict/m249_ammo.png")</f>
        <v>sftp://graphic@103.41.58.141/marketing/WarzTH_LE/Item%20Dict/m249_ammo.png</v>
      </c>
      <c r="M141" s="3"/>
      <c r="N141" s="3"/>
      <c r="O141" s="3"/>
    </row>
    <row r="142">
      <c r="A142" s="3" t="b">
        <f>IFERROR(__xludf.DUMMYFUNCTION("""COMPUTED_VALUE"""),TRUE)</f>
        <v>1</v>
      </c>
      <c r="B142" s="3" t="str">
        <f>IFERROR(__xludf.DUMMYFUNCTION("""COMPUTED_VALUE"""),"")</f>
        <v/>
      </c>
      <c r="C142" s="3">
        <f>IFERROR(__xludf.DUMMYFUNCTION("""COMPUTED_VALUE"""),101055.0)</f>
        <v>101055</v>
      </c>
      <c r="D142" s="5" t="str">
        <f>IFERROR(__xludf.DUMMYFUNCTION("""COMPUTED_VALUE"""),"https://cdn.exe.in.th/marketing/WarzTH_LE/Item%20Dict/m4.png")</f>
        <v>https://cdn.exe.in.th/marketing/WarzTH_LE/Item%20Dict/m4.png</v>
      </c>
      <c r="E142" s="3" t="str">
        <f>IFERROR(__xludf.DUMMYFUNCTION("""COMPUTED_VALUE"""),"M4")</f>
        <v>M4</v>
      </c>
      <c r="F142" s="2">
        <f>IFERROR(__xludf.DUMMYFUNCTION("""COMPUTED_VALUE"""),15.0)</f>
        <v>15</v>
      </c>
      <c r="G142" s="2" t="str">
        <f>IFERROR(__xludf.DUMMYFUNCTION("""COMPUTED_VALUE"""),"-")</f>
        <v>-</v>
      </c>
      <c r="H142" s="2" t="str">
        <f>IFERROR(__xludf.DUMMYFUNCTION("""COMPUTED_VALUE"""),"-")</f>
        <v>-</v>
      </c>
      <c r="I142" s="3" t="str">
        <f>IFERROR(__xludf.DUMMYFUNCTION("""COMPUTED_VALUE"""),"Weapon")</f>
        <v>Weapon</v>
      </c>
      <c r="J142" s="3" t="str">
        <f>IFERROR(__xludf.DUMMYFUNCTION("""COMPUTED_VALUE"""),"No")</f>
        <v>No</v>
      </c>
      <c r="K142" s="3" t="str">
        <f>IFERROR(__xludf.DUMMYFUNCTION("""COMPUTED_VALUE"""),"A")</f>
        <v>A</v>
      </c>
      <c r="L142" s="3" t="str">
        <f>IFERROR(__xludf.DUMMYFUNCTION("""COMPUTED_VALUE"""),"sftp://graphic@103.41.58.141/marketing/WarzTH_LE/Item%20Dict/m4.png")</f>
        <v>sftp://graphic@103.41.58.141/marketing/WarzTH_LE/Item%20Dict/m4.png</v>
      </c>
      <c r="M142" s="3"/>
      <c r="N142" s="3" t="str">
        <f>IFERROR(__xludf.DUMMYFUNCTION("""COMPUTED_VALUE"""),"The M4 is a versitile, light weight, commando style assault rifle that is gas operated and fires a 5.56 x 45 mm round effectively in both close and medium ranges.")</f>
        <v>The M4 is a versitile, light weight, commando style assault rifle that is gas operated and fires a 5.56 x 45 mm round effectively in both close and medium ranges.</v>
      </c>
      <c r="O142" s="3"/>
    </row>
    <row r="143">
      <c r="A143" s="3" t="b">
        <f>IFERROR(__xludf.DUMMYFUNCTION("""COMPUTED_VALUE"""),TRUE)</f>
        <v>1</v>
      </c>
      <c r="B143" s="3" t="str">
        <f>IFERROR(__xludf.DUMMYFUNCTION("""COMPUTED_VALUE"""),"")</f>
        <v/>
      </c>
      <c r="C143" s="3">
        <f>IFERROR(__xludf.DUMMYFUNCTION("""COMPUTED_VALUE"""),101040.0)</f>
        <v>101040</v>
      </c>
      <c r="D143" s="5" t="str">
        <f>IFERROR(__xludf.DUMMYFUNCTION("""COMPUTED_VALUE"""),"https://cdn.exe.in.th/marketing/WarzTH_LE/Item%20Dict/m4_semi.png")</f>
        <v>https://cdn.exe.in.th/marketing/WarzTH_LE/Item%20Dict/m4_semi.png</v>
      </c>
      <c r="E143" s="3" t="str">
        <f>IFERROR(__xludf.DUMMYFUNCTION("""COMPUTED_VALUE"""),"M4 Semi")</f>
        <v>M4 Semi</v>
      </c>
      <c r="F143" s="2">
        <f>IFERROR(__xludf.DUMMYFUNCTION("""COMPUTED_VALUE"""),2.0)</f>
        <v>2</v>
      </c>
      <c r="G143" s="2" t="str">
        <f>IFERROR(__xludf.DUMMYFUNCTION("""COMPUTED_VALUE"""),"-")</f>
        <v>-</v>
      </c>
      <c r="H143" s="2" t="str">
        <f>IFERROR(__xludf.DUMMYFUNCTION("""COMPUTED_VALUE"""),"-")</f>
        <v>-</v>
      </c>
      <c r="I143" s="3" t="str">
        <f>IFERROR(__xludf.DUMMYFUNCTION("""COMPUTED_VALUE"""),"Weapon")</f>
        <v>Weapon</v>
      </c>
      <c r="J143" s="3" t="str">
        <f>IFERROR(__xludf.DUMMYFUNCTION("""COMPUTED_VALUE"""),"No")</f>
        <v>No</v>
      </c>
      <c r="K143" s="3" t="str">
        <f>IFERROR(__xludf.DUMMYFUNCTION("""COMPUTED_VALUE"""),"A")</f>
        <v>A</v>
      </c>
      <c r="L143" s="3" t="str">
        <f>IFERROR(__xludf.DUMMYFUNCTION("""COMPUTED_VALUE"""),"sftp://graphic@103.41.58.141/marketing/WarzTH_LE/Item%20Dict/m4_semi.png")</f>
        <v>sftp://graphic@103.41.58.141/marketing/WarzTH_LE/Item%20Dict/m4_semi.png</v>
      </c>
      <c r="M143" s="3"/>
      <c r="N143" s="3" t="str">
        <f>IFERROR(__xludf.DUMMYFUNCTION("""COMPUTED_VALUE"""),"The civilian M4 semi auto rifle, chambered for 5.56x45mm NATO round.")</f>
        <v>The civilian M4 semi auto rifle, chambered for 5.56x45mm NATO round.</v>
      </c>
      <c r="O143" s="3"/>
    </row>
    <row r="144">
      <c r="A144" s="3" t="b">
        <f>IFERROR(__xludf.DUMMYFUNCTION("""COMPUTED_VALUE"""),TRUE)</f>
        <v>1</v>
      </c>
      <c r="B144" s="3" t="str">
        <f>IFERROR(__xludf.DUMMYFUNCTION("""COMPUTED_VALUE"""),"")</f>
        <v/>
      </c>
      <c r="C144" s="3">
        <f>IFERROR(__xludf.DUMMYFUNCTION("""COMPUTED_VALUE"""),20043.0)</f>
        <v>20043</v>
      </c>
      <c r="D144" s="5" t="str">
        <f>IFERROR(__xludf.DUMMYFUNCTION("""COMPUTED_VALUE"""),"https://cdn.exe.in.th/marketing/WarzTH_LE/Item%20Dict/m9_helmet_black.png")</f>
        <v>https://cdn.exe.in.th/marketing/WarzTH_LE/Item%20Dict/m9_helmet_black.png</v>
      </c>
      <c r="E144" s="3" t="str">
        <f>IFERROR(__xludf.DUMMYFUNCTION("""COMPUTED_VALUE"""),"M9 helmet black")</f>
        <v>M9 helmet black</v>
      </c>
      <c r="F144" s="2">
        <f>IFERROR(__xludf.DUMMYFUNCTION("""COMPUTED_VALUE"""),1.0)</f>
        <v>1</v>
      </c>
      <c r="G144" s="2" t="str">
        <f>IFERROR(__xludf.DUMMYFUNCTION("""COMPUTED_VALUE"""),"10 GC")</f>
        <v>10 GC</v>
      </c>
      <c r="H144" s="2" t="str">
        <f>IFERROR(__xludf.DUMMYFUNCTION("""COMPUTED_VALUE"""),"1,000 Dollars")</f>
        <v>1,000 Dollars</v>
      </c>
      <c r="I144" s="3" t="str">
        <f>IFERROR(__xludf.DUMMYFUNCTION("""COMPUTED_VALUE"""),"Equipment")</f>
        <v>Equipment</v>
      </c>
      <c r="J144" s="3" t="str">
        <f>IFERROR(__xludf.DUMMYFUNCTION("""COMPUTED_VALUE"""),"No")</f>
        <v>No</v>
      </c>
      <c r="K144" s="3"/>
      <c r="L144" s="3" t="str">
        <f>IFERROR(__xludf.DUMMYFUNCTION("""COMPUTED_VALUE"""),"sftp://graphic@103.41.58.141/marketing/WarzTH_LE/Item%20Dict/m9_helmet_black.png")</f>
        <v>sftp://graphic@103.41.58.141/marketing/WarzTH_LE/Item%20Dict/m9_helmet_black.png</v>
      </c>
      <c r="M144" s="3"/>
      <c r="N144" s="3" t="str">
        <f>IFERROR(__xludf.DUMMYFUNCTION("""COMPUTED_VALUE"""),"The M9 helmet gives a good standard of head protection. This one in black.")</f>
        <v>The M9 helmet gives a good standard of head protection. This one in black.</v>
      </c>
      <c r="O144" s="3"/>
    </row>
    <row r="145">
      <c r="A145" s="3" t="b">
        <f>IFERROR(__xludf.DUMMYFUNCTION("""COMPUTED_VALUE"""),TRUE)</f>
        <v>1</v>
      </c>
      <c r="B145" s="3" t="str">
        <f>IFERROR(__xludf.DUMMYFUNCTION("""COMPUTED_VALUE"""),"")</f>
        <v/>
      </c>
      <c r="C145" s="3">
        <f>IFERROR(__xludf.DUMMYFUNCTION("""COMPUTED_VALUE"""),20049.0)</f>
        <v>20049</v>
      </c>
      <c r="D145" s="5" t="str">
        <f>IFERROR(__xludf.DUMMYFUNCTION("""COMPUTED_VALUE"""),"https://cdn.exe.in.th/marketing/WarzTH_LE/Item%20Dict/m9_helmet_forest1.png")</f>
        <v>https://cdn.exe.in.th/marketing/WarzTH_LE/Item%20Dict/m9_helmet_forest1.png</v>
      </c>
      <c r="E145" s="3" t="str">
        <f>IFERROR(__xludf.DUMMYFUNCTION("""COMPUTED_VALUE"""),"M9 Helmet Forest 1")</f>
        <v>M9 Helmet Forest 1</v>
      </c>
      <c r="F145" s="2">
        <f>IFERROR(__xludf.DUMMYFUNCTION("""COMPUTED_VALUE"""),1.0)</f>
        <v>1</v>
      </c>
      <c r="G145" s="2" t="str">
        <f>IFERROR(__xludf.DUMMYFUNCTION("""COMPUTED_VALUE"""),"10 GC")</f>
        <v>10 GC</v>
      </c>
      <c r="H145" s="2" t="str">
        <f>IFERROR(__xludf.DUMMYFUNCTION("""COMPUTED_VALUE"""),"1,000 Dollars")</f>
        <v>1,000 Dollars</v>
      </c>
      <c r="I145" s="3" t="str">
        <f>IFERROR(__xludf.DUMMYFUNCTION("""COMPUTED_VALUE"""),"Equipment")</f>
        <v>Equipment</v>
      </c>
      <c r="J145" s="3" t="str">
        <f>IFERROR(__xludf.DUMMYFUNCTION("""COMPUTED_VALUE"""),"No")</f>
        <v>No</v>
      </c>
      <c r="K145" s="3"/>
      <c r="L145" s="3" t="str">
        <f>IFERROR(__xludf.DUMMYFUNCTION("""COMPUTED_VALUE"""),"sftp://graphic@103.41.58.141/marketing/WarzTH_LE/Item%20Dict/m9_helmet_forest1.png")</f>
        <v>sftp://graphic@103.41.58.141/marketing/WarzTH_LE/Item%20Dict/m9_helmet_forest1.png</v>
      </c>
      <c r="M145" s="3"/>
      <c r="N145" s="3" t="str">
        <f>IFERROR(__xludf.DUMMYFUNCTION("""COMPUTED_VALUE"""),"The M9 helmet gives a good standard of head protection. This one in a special forest pattern.")</f>
        <v>The M9 helmet gives a good standard of head protection. This one in a special forest pattern.</v>
      </c>
      <c r="O145" s="3"/>
    </row>
    <row r="146">
      <c r="A146" s="3" t="b">
        <f>IFERROR(__xludf.DUMMYFUNCTION("""COMPUTED_VALUE"""),TRUE)</f>
        <v>1</v>
      </c>
      <c r="B146" s="3" t="str">
        <f>IFERROR(__xludf.DUMMYFUNCTION("""COMPUTED_VALUE"""),"")</f>
        <v/>
      </c>
      <c r="C146" s="3">
        <f>IFERROR(__xludf.DUMMYFUNCTION("""COMPUTED_VALUE"""),20050.0)</f>
        <v>20050</v>
      </c>
      <c r="D146" s="5" t="str">
        <f>IFERROR(__xludf.DUMMYFUNCTION("""COMPUTED_VALUE"""),"https://cdn.exe.in.th/marketing/WarzTH_LE/Item%20Dict/m9_helmet_goggles1.png")</f>
        <v>https://cdn.exe.in.th/marketing/WarzTH_LE/Item%20Dict/m9_helmet_goggles1.png</v>
      </c>
      <c r="E146" s="3" t="str">
        <f>IFERROR(__xludf.DUMMYFUNCTION("""COMPUTED_VALUE"""),"M9 Helmet Goggles 1")</f>
        <v>M9 Helmet Goggles 1</v>
      </c>
      <c r="F146" s="2">
        <f>IFERROR(__xludf.DUMMYFUNCTION("""COMPUTED_VALUE"""),1.0)</f>
        <v>1</v>
      </c>
      <c r="G146" s="2" t="str">
        <f>IFERROR(__xludf.DUMMYFUNCTION("""COMPUTED_VALUE"""),"10 GC")</f>
        <v>10 GC</v>
      </c>
      <c r="H146" s="2" t="str">
        <f>IFERROR(__xludf.DUMMYFUNCTION("""COMPUTED_VALUE"""),"1,000 Dollars")</f>
        <v>1,000 Dollars</v>
      </c>
      <c r="I146" s="3" t="str">
        <f>IFERROR(__xludf.DUMMYFUNCTION("""COMPUTED_VALUE"""),"Equipment")</f>
        <v>Equipment</v>
      </c>
      <c r="J146" s="3" t="str">
        <f>IFERROR(__xludf.DUMMYFUNCTION("""COMPUTED_VALUE"""),"No")</f>
        <v>No</v>
      </c>
      <c r="K146" s="3"/>
      <c r="L146" s="3" t="str">
        <f>IFERROR(__xludf.DUMMYFUNCTION("""COMPUTED_VALUE"""),"sftp://graphic@103.41.58.141/marketing/WarzTH_LE/Item%20Dict/m9_helmet_goggles1.png")</f>
        <v>sftp://graphic@103.41.58.141/marketing/WarzTH_LE/Item%20Dict/m9_helmet_goggles1.png</v>
      </c>
      <c r="M146" s="3"/>
      <c r="N146" s="3" t="str">
        <f>IFERROR(__xludf.DUMMYFUNCTION("""COMPUTED_VALUE"""),"The M9 helmet gives a good standard of head protection. This one with goggles.")</f>
        <v>The M9 helmet gives a good standard of head protection. This one with goggles.</v>
      </c>
      <c r="O146" s="3"/>
    </row>
    <row r="147">
      <c r="A147" s="3" t="b">
        <f>IFERROR(__xludf.DUMMYFUNCTION("""COMPUTED_VALUE"""),TRUE)</f>
        <v>1</v>
      </c>
      <c r="B147" s="3" t="str">
        <f>IFERROR(__xludf.DUMMYFUNCTION("""COMPUTED_VALUE"""),"")</f>
        <v/>
      </c>
      <c r="C147" s="3">
        <f>IFERROR(__xludf.DUMMYFUNCTION("""COMPUTED_VALUE"""),20047.0)</f>
        <v>20047</v>
      </c>
      <c r="D147" s="5" t="str">
        <f>IFERROR(__xludf.DUMMYFUNCTION("""COMPUTED_VALUE"""),"https://cdn.exe.in.th/marketing/WarzTH_LE/Item%20Dict/m9_helmet_green.png")</f>
        <v>https://cdn.exe.in.th/marketing/WarzTH_LE/Item%20Dict/m9_helmet_green.png</v>
      </c>
      <c r="E147" s="3" t="str">
        <f>IFERROR(__xludf.DUMMYFUNCTION("""COMPUTED_VALUE"""),"M9 Helmet Green")</f>
        <v>M9 Helmet Green</v>
      </c>
      <c r="F147" s="2">
        <f>IFERROR(__xludf.DUMMYFUNCTION("""COMPUTED_VALUE"""),1.0)</f>
        <v>1</v>
      </c>
      <c r="G147" s="2" t="str">
        <f>IFERROR(__xludf.DUMMYFUNCTION("""COMPUTED_VALUE"""),"10 GC")</f>
        <v>10 GC</v>
      </c>
      <c r="H147" s="2" t="str">
        <f>IFERROR(__xludf.DUMMYFUNCTION("""COMPUTED_VALUE"""),"1,000 Dollars")</f>
        <v>1,000 Dollars</v>
      </c>
      <c r="I147" s="3" t="str">
        <f>IFERROR(__xludf.DUMMYFUNCTION("""COMPUTED_VALUE"""),"Equipment")</f>
        <v>Equipment</v>
      </c>
      <c r="J147" s="3" t="str">
        <f>IFERROR(__xludf.DUMMYFUNCTION("""COMPUTED_VALUE"""),"No")</f>
        <v>No</v>
      </c>
      <c r="K147" s="3"/>
      <c r="L147" s="3" t="str">
        <f>IFERROR(__xludf.DUMMYFUNCTION("""COMPUTED_VALUE"""),"sftp://graphic@103.41.58.141/marketing/WarzTH_LE/Item%20Dict/m9_helmet_green.png")</f>
        <v>sftp://graphic@103.41.58.141/marketing/WarzTH_LE/Item%20Dict/m9_helmet_green.png</v>
      </c>
      <c r="M147" s="3"/>
      <c r="N147" s="3" t="str">
        <f>IFERROR(__xludf.DUMMYFUNCTION("""COMPUTED_VALUE"""),"The M9 helmet gives a good standard of head protection. This one in green.")</f>
        <v>The M9 helmet gives a good standard of head protection. This one in green.</v>
      </c>
      <c r="O147" s="3"/>
    </row>
    <row r="148">
      <c r="A148" s="3" t="b">
        <f>IFERROR(__xludf.DUMMYFUNCTION("""COMPUTED_VALUE"""),TRUE)</f>
        <v>1</v>
      </c>
      <c r="B148" s="3" t="str">
        <f>IFERROR(__xludf.DUMMYFUNCTION("""COMPUTED_VALUE"""),"")</f>
        <v/>
      </c>
      <c r="C148" s="3">
        <f>IFERROR(__xludf.DUMMYFUNCTION("""COMPUTED_VALUE"""),20048.0)</f>
        <v>20048</v>
      </c>
      <c r="D148" s="5" t="str">
        <f>IFERROR(__xludf.DUMMYFUNCTION("""COMPUTED_VALUE"""),"https://cdn.exe.in.th/marketing/WarzTH_LE/Item%20Dict/m9_helmet_urban.png")</f>
        <v>https://cdn.exe.in.th/marketing/WarzTH_LE/Item%20Dict/m9_helmet_urban.png</v>
      </c>
      <c r="E148" s="3" t="str">
        <f>IFERROR(__xludf.DUMMYFUNCTION("""COMPUTED_VALUE"""),"M9 Helmet Urban")</f>
        <v>M9 Helmet Urban</v>
      </c>
      <c r="F148" s="2">
        <f>IFERROR(__xludf.DUMMYFUNCTION("""COMPUTED_VALUE"""),1.0)</f>
        <v>1</v>
      </c>
      <c r="G148" s="2" t="str">
        <f>IFERROR(__xludf.DUMMYFUNCTION("""COMPUTED_VALUE"""),"10 GC")</f>
        <v>10 GC</v>
      </c>
      <c r="H148" s="2" t="str">
        <f>IFERROR(__xludf.DUMMYFUNCTION("""COMPUTED_VALUE"""),"1,000 Dollars")</f>
        <v>1,000 Dollars</v>
      </c>
      <c r="I148" s="3" t="str">
        <f>IFERROR(__xludf.DUMMYFUNCTION("""COMPUTED_VALUE"""),"Equipment")</f>
        <v>Equipment</v>
      </c>
      <c r="J148" s="3" t="str">
        <f>IFERROR(__xludf.DUMMYFUNCTION("""COMPUTED_VALUE"""),"No")</f>
        <v>No</v>
      </c>
      <c r="K148" s="3"/>
      <c r="L148" s="3" t="str">
        <f>IFERROR(__xludf.DUMMYFUNCTION("""COMPUTED_VALUE"""),"sftp://graphic@103.41.58.141/marketing/WarzTH_LE/Item%20Dict/m9_helmet_urban.png")</f>
        <v>sftp://graphic@103.41.58.141/marketing/WarzTH_LE/Item%20Dict/m9_helmet_urban.png</v>
      </c>
      <c r="M148" s="3"/>
      <c r="N148" s="3" t="str">
        <f>IFERROR(__xludf.DUMMYFUNCTION("""COMPUTED_VALUE"""),"The M9 helmet gives a good standard of head protection. This one in Urban camo.")</f>
        <v>The M9 helmet gives a good standard of head protection. This one in Urban camo.</v>
      </c>
      <c r="O148" s="3"/>
    </row>
    <row r="149">
      <c r="A149" s="3" t="b">
        <f>IFERROR(__xludf.DUMMYFUNCTION("""COMPUTED_VALUE"""),TRUE)</f>
        <v>1</v>
      </c>
      <c r="B149" s="3" t="str">
        <f>IFERROR(__xludf.DUMMYFUNCTION("""COMPUTED_VALUE"""),"")</f>
        <v/>
      </c>
      <c r="C149" s="3">
        <f>IFERROR(__xludf.DUMMYFUNCTION("""COMPUTED_VALUE"""),20046.0)</f>
        <v>20046</v>
      </c>
      <c r="D149" s="5" t="str">
        <f>IFERROR(__xludf.DUMMYFUNCTION("""COMPUTED_VALUE"""),"https://cdn.exe.in.th/marketing/WarzTH_LE/Item%20Dict/m9_helmet_with_goggles.png")</f>
        <v>https://cdn.exe.in.th/marketing/WarzTH_LE/Item%20Dict/m9_helmet_with_goggles.png</v>
      </c>
      <c r="E149" s="3" t="str">
        <f>IFERROR(__xludf.DUMMYFUNCTION("""COMPUTED_VALUE"""),"M9 Helmet with Goggles")</f>
        <v>M9 Helmet with Goggles</v>
      </c>
      <c r="F149" s="2">
        <f>IFERROR(__xludf.DUMMYFUNCTION("""COMPUTED_VALUE"""),1.0)</f>
        <v>1</v>
      </c>
      <c r="G149" s="2" t="str">
        <f>IFERROR(__xludf.DUMMYFUNCTION("""COMPUTED_VALUE"""),"10 GC")</f>
        <v>10 GC</v>
      </c>
      <c r="H149" s="2" t="str">
        <f>IFERROR(__xludf.DUMMYFUNCTION("""COMPUTED_VALUE"""),"1,000 Dollars")</f>
        <v>1,000 Dollars</v>
      </c>
      <c r="I149" s="3" t="str">
        <f>IFERROR(__xludf.DUMMYFUNCTION("""COMPUTED_VALUE"""),"Equipment")</f>
        <v>Equipment</v>
      </c>
      <c r="J149" s="3" t="str">
        <f>IFERROR(__xludf.DUMMYFUNCTION("""COMPUTED_VALUE"""),"No")</f>
        <v>No</v>
      </c>
      <c r="K149" s="3"/>
      <c r="L149" s="3" t="str">
        <f>IFERROR(__xludf.DUMMYFUNCTION("""COMPUTED_VALUE"""),"sftp://graphic@103.41.58.141/marketing/WarzTH_LE/Item%20Dict/m9_helmet_with_goggles.png")</f>
        <v>sftp://graphic@103.41.58.141/marketing/WarzTH_LE/Item%20Dict/m9_helmet_with_goggles.png</v>
      </c>
      <c r="M149" s="3"/>
      <c r="N149" s="3" t="str">
        <f>IFERROR(__xludf.DUMMYFUNCTION("""COMPUTED_VALUE"""),"The M9 helmet gives a good standard of head protection. This one with goggles.")</f>
        <v>The M9 helmet gives a good standard of head protection. This one with goggles.</v>
      </c>
      <c r="O149" s="3"/>
    </row>
    <row r="150">
      <c r="A150" s="3" t="b">
        <f>IFERROR(__xludf.DUMMYFUNCTION("""COMPUTED_VALUE"""),TRUE)</f>
        <v>1</v>
      </c>
      <c r="B150" s="3" t="str">
        <f>IFERROR(__xludf.DUMMYFUNCTION("""COMPUTED_VALUE"""),"")</f>
        <v/>
      </c>
      <c r="C150" s="3">
        <f>IFERROR(__xludf.DUMMYFUNCTION("""COMPUTED_VALUE"""),101169.0)</f>
        <v>101169</v>
      </c>
      <c r="D150" s="5" t="str">
        <f>IFERROR(__xludf.DUMMYFUNCTION("""COMPUTED_VALUE"""),"https://cdn.exe.in.th/marketing/WarzTH_LE/Item%20Dict/masada.png")</f>
        <v>https://cdn.exe.in.th/marketing/WarzTH_LE/Item%20Dict/masada.png</v>
      </c>
      <c r="E150" s="3" t="str">
        <f>IFERROR(__xludf.DUMMYFUNCTION("""COMPUTED_VALUE"""),"MASADA")</f>
        <v>MASADA</v>
      </c>
      <c r="F150" s="2">
        <f>IFERROR(__xludf.DUMMYFUNCTION("""COMPUTED_VALUE"""),50.0)</f>
        <v>50</v>
      </c>
      <c r="G150" s="2" t="str">
        <f>IFERROR(__xludf.DUMMYFUNCTION("""COMPUTED_VALUE"""),"-")</f>
        <v>-</v>
      </c>
      <c r="H150" s="2" t="str">
        <f>IFERROR(__xludf.DUMMYFUNCTION("""COMPUTED_VALUE"""),"-")</f>
        <v>-</v>
      </c>
      <c r="I150" s="3" t="str">
        <f>IFERROR(__xludf.DUMMYFUNCTION("""COMPUTED_VALUE"""),"Weapon")</f>
        <v>Weapon</v>
      </c>
      <c r="J150" s="3" t="str">
        <f>IFERROR(__xludf.DUMMYFUNCTION("""COMPUTED_VALUE"""),"No")</f>
        <v>No</v>
      </c>
      <c r="K150" s="3" t="str">
        <f>IFERROR(__xludf.DUMMYFUNCTION("""COMPUTED_VALUE"""),"S")</f>
        <v>S</v>
      </c>
      <c r="L150" s="3" t="str">
        <f>IFERROR(__xludf.DUMMYFUNCTION("""COMPUTED_VALUE"""),"sftp://graphic@103.41.58.141/marketing/WarzTH_LE/Item%20Dict/masada.png")</f>
        <v>sftp://graphic@103.41.58.141/marketing/WarzTH_LE/Item%20Dict/masada.png</v>
      </c>
      <c r="M150" s="3"/>
      <c r="N150" s="3" t="str">
        <f>IFERROR(__xludf.DUMMYFUNCTION("""COMPUTED_VALUE"""),"The Masada was designed for close combat operations and is a gas operated assault rifle that fires a chambered for 5.56x45mm NATO round. It is highly effective at close ranges.")</f>
        <v>The Masada was designed for close combat operations and is a gas operated assault rifle that fires a chambered for 5.56x45mm NATO round. It is highly effective at close ranges.</v>
      </c>
      <c r="O150" s="3"/>
    </row>
    <row r="151">
      <c r="A151" s="3" t="b">
        <f>IFERROR(__xludf.DUMMYFUNCTION("""COMPUTED_VALUE"""),TRUE)</f>
        <v>1</v>
      </c>
      <c r="B151" s="3" t="str">
        <f>IFERROR(__xludf.DUMMYFUNCTION("""COMPUTED_VALUE"""),"")</f>
        <v/>
      </c>
      <c r="C151" s="3">
        <f>IFERROR(__xludf.DUMMYFUNCTION("""COMPUTED_VALUE"""),101085.0)</f>
        <v>101085</v>
      </c>
      <c r="D151" s="5" t="str">
        <f>IFERROR(__xludf.DUMMYFUNCTION("""COMPUTED_VALUE"""),"https://cdn.exe.in.th/marketing/WarzTH_LE/Item%20Dict/sp66.png")</f>
        <v>https://cdn.exe.in.th/marketing/WarzTH_LE/Item%20Dict/sp66.png</v>
      </c>
      <c r="E151" s="3" t="str">
        <f>IFERROR(__xludf.DUMMYFUNCTION("""COMPUTED_VALUE"""),"MAUSER SP66")</f>
        <v>MAUSER SP66</v>
      </c>
      <c r="F151" s="2">
        <f>IFERROR(__xludf.DUMMYFUNCTION("""COMPUTED_VALUE"""),5000.0)</f>
        <v>5000</v>
      </c>
      <c r="G151" s="2" t="str">
        <f>IFERROR(__xludf.DUMMYFUNCTION("""COMPUTED_VALUE"""),"-")</f>
        <v>-</v>
      </c>
      <c r="H151" s="2" t="str">
        <f>IFERROR(__xludf.DUMMYFUNCTION("""COMPUTED_VALUE"""),"-")</f>
        <v>-</v>
      </c>
      <c r="I151" s="3" t="str">
        <f>IFERROR(__xludf.DUMMYFUNCTION("""COMPUTED_VALUE"""),"Weapon")</f>
        <v>Weapon</v>
      </c>
      <c r="J151" s="3" t="str">
        <f>IFERROR(__xludf.DUMMYFUNCTION("""COMPUTED_VALUE"""),"No")</f>
        <v>No</v>
      </c>
      <c r="K151" s="3" t="str">
        <f>IFERROR(__xludf.DUMMYFUNCTION("""COMPUTED_VALUE"""),"S")</f>
        <v>S</v>
      </c>
      <c r="L151" s="3" t="str">
        <f>IFERROR(__xludf.DUMMYFUNCTION("""COMPUTED_VALUE"""),"sftp://graphic@103.41.58.141/marketing/WarzTH_LE/Item%20Dict/sp66.png")</f>
        <v>sftp://graphic@103.41.58.141/marketing/WarzTH_LE/Item%20Dict/sp66.png</v>
      </c>
      <c r="M151" s="3"/>
      <c r="N151" s="3" t="str">
        <f>IFERROR(__xludf.DUMMYFUNCTION("""COMPUTED_VALUE"""),"The Mauser SP66 sniper rifle was designed to fire a .308W round from a 5 round clip. It is highly accurate at long ranges when combined with a good scope.")</f>
        <v>The Mauser SP66 sniper rifle was designed to fire a .308W round from a 5 round clip. It is highly accurate at long ranges when combined with a good scope.</v>
      </c>
      <c r="O151" s="3"/>
    </row>
    <row r="152">
      <c r="A152" s="3" t="b">
        <f>IFERROR(__xludf.DUMMYFUNCTION("""COMPUTED_VALUE"""),TRUE)</f>
        <v>1</v>
      </c>
      <c r="B152" s="3" t="str">
        <f>IFERROR(__xludf.DUMMYFUNCTION("""COMPUTED_VALUE"""),"")</f>
        <v/>
      </c>
      <c r="C152" s="3">
        <f>IFERROR(__xludf.DUMMYFUNCTION("""COMPUTED_VALUE"""),101217.0)</f>
        <v>101217</v>
      </c>
      <c r="D152" s="5" t="str">
        <f>IFERROR(__xludf.DUMMYFUNCTION("""COMPUTED_VALUE"""),"https://cdn.exe.in.th/marketing/WarzTH_LE/Item%20Dict/mauser_srg_desert.png")</f>
        <v>https://cdn.exe.in.th/marketing/WarzTH_LE/Item%20Dict/mauser_srg_desert.png</v>
      </c>
      <c r="E152" s="3" t="str">
        <f>IFERROR(__xludf.DUMMYFUNCTION("""COMPUTED_VALUE"""),"MAUSER SRG DESERT")</f>
        <v>MAUSER SRG DESERT</v>
      </c>
      <c r="F152" s="2">
        <f>IFERROR(__xludf.DUMMYFUNCTION("""COMPUTED_VALUE"""),5000.0)</f>
        <v>5000</v>
      </c>
      <c r="G152" s="2" t="str">
        <f>IFERROR(__xludf.DUMMYFUNCTION("""COMPUTED_VALUE"""),"-")</f>
        <v>-</v>
      </c>
      <c r="H152" s="2" t="str">
        <f>IFERROR(__xludf.DUMMYFUNCTION("""COMPUTED_VALUE"""),"-")</f>
        <v>-</v>
      </c>
      <c r="I152" s="3" t="str">
        <f>IFERROR(__xludf.DUMMYFUNCTION("""COMPUTED_VALUE"""),"Weapon")</f>
        <v>Weapon</v>
      </c>
      <c r="J152" s="3" t="str">
        <f>IFERROR(__xludf.DUMMYFUNCTION("""COMPUTED_VALUE"""),"No")</f>
        <v>No</v>
      </c>
      <c r="K152" s="3" t="str">
        <f>IFERROR(__xludf.DUMMYFUNCTION("""COMPUTED_VALUE"""),"S")</f>
        <v>S</v>
      </c>
      <c r="L152" s="3" t="str">
        <f>IFERROR(__xludf.DUMMYFUNCTION("""COMPUTED_VALUE"""),"sftp://graphic@103.41.58.141/marketing/WarzTH_LE/Item%20Dict/mauser_srg_desert.png")</f>
        <v>sftp://graphic@103.41.58.141/marketing/WarzTH_LE/Item%20Dict/mauser_srg_desert.png</v>
      </c>
      <c r="M152" s="3"/>
      <c r="N152" s="3" t="str">
        <f>IFERROR(__xludf.DUMMYFUNCTION("""COMPUTED_VALUE"""),"The Mauser SP66 Desert sniper rifle fires a .308W round.")</f>
        <v>The Mauser SP66 Desert sniper rifle fires a .308W round.</v>
      </c>
      <c r="O152" s="3"/>
    </row>
    <row r="153">
      <c r="A153" s="3" t="b">
        <f>IFERROR(__xludf.DUMMYFUNCTION("""COMPUTED_VALUE"""),TRUE)</f>
        <v>1</v>
      </c>
      <c r="B153" s="3" t="str">
        <f>IFERROR(__xludf.DUMMYFUNCTION("""COMPUTED_VALUE"""),"")</f>
        <v/>
      </c>
      <c r="C153" s="3">
        <f>IFERROR(__xludf.DUMMYFUNCTION("""COMPUTED_VALUE"""),20175.0)</f>
        <v>20175</v>
      </c>
      <c r="D153" s="5" t="str">
        <f>IFERROR(__xludf.DUMMYFUNCTION("""COMPUTED_VALUE"""),"https://cdn.exe.in.th/marketing/WarzTH_LE/Item%20Dict/medium_backpack.png")</f>
        <v>https://cdn.exe.in.th/marketing/WarzTH_LE/Item%20Dict/medium_backpack.png</v>
      </c>
      <c r="E153" s="3" t="str">
        <f>IFERROR(__xludf.DUMMYFUNCTION("""COMPUTED_VALUE"""),"Medium Backpack")</f>
        <v>Medium Backpack</v>
      </c>
      <c r="F153" s="2">
        <f>IFERROR(__xludf.DUMMYFUNCTION("""COMPUTED_VALUE"""),1.5)</f>
        <v>1.5</v>
      </c>
      <c r="G153" s="2" t="str">
        <f>IFERROR(__xludf.DUMMYFUNCTION("""COMPUTED_VALUE"""),"-")</f>
        <v>-</v>
      </c>
      <c r="H153" s="2" t="str">
        <f>IFERROR(__xludf.DUMMYFUNCTION("""COMPUTED_VALUE"""),"1,500 Dollars")</f>
        <v>1,500 Dollars</v>
      </c>
      <c r="I153" s="3" t="str">
        <f>IFERROR(__xludf.DUMMYFUNCTION("""COMPUTED_VALUE"""),"Equipment")</f>
        <v>Equipment</v>
      </c>
      <c r="J153" s="3" t="str">
        <f>IFERROR(__xludf.DUMMYFUNCTION("""COMPUTED_VALUE"""),"No")</f>
        <v>No</v>
      </c>
      <c r="K153" s="3"/>
      <c r="L153" s="3" t="str">
        <f>IFERROR(__xludf.DUMMYFUNCTION("""COMPUTED_VALUE"""),"sftp://graphic@103.41.58.141/marketing/WarzTH_LE/Item%20Dict/medium_backpack.png")</f>
        <v>sftp://graphic@103.41.58.141/marketing/WarzTH_LE/Item%20Dict/medium_backpack.png</v>
      </c>
      <c r="M153" s="3"/>
      <c r="N153" s="3" t="str">
        <f>IFERROR(__xludf.DUMMYFUNCTION("""COMPUTED_VALUE"""),"A medium sized backpack with plenty of space and durability.")</f>
        <v>A medium sized backpack with plenty of space and durability.</v>
      </c>
      <c r="O153" s="3"/>
    </row>
    <row r="154">
      <c r="A154" s="3" t="b">
        <f>IFERROR(__xludf.DUMMYFUNCTION("""COMPUTED_VALUE"""),TRUE)</f>
        <v>1</v>
      </c>
      <c r="B154" s="3" t="str">
        <f>IFERROR(__xludf.DUMMYFUNCTION("""COMPUTED_VALUE"""),"")</f>
        <v/>
      </c>
      <c r="C154" s="3">
        <f>IFERROR(__xludf.DUMMYFUNCTION("""COMPUTED_VALUE"""),400147.0)</f>
        <v>400147</v>
      </c>
      <c r="D154" s="5" t="str">
        <f>IFERROR(__xludf.DUMMYFUNCTION("""COMPUTED_VALUE"""),"https://cdn.exe.in.th/marketing/WarzTH_LE/Item%20Dict/kruger_medium_mag.png")</f>
        <v>https://cdn.exe.in.th/marketing/WarzTH_LE/Item%20Dict/kruger_medium_mag.png</v>
      </c>
      <c r="E154" s="3" t="str">
        <f>IFERROR(__xludf.DUMMYFUNCTION("""COMPUTED_VALUE"""),"Medium Kruger Rifle clip")</f>
        <v>Medium Kruger Rifle clip</v>
      </c>
      <c r="F154" s="2">
        <f>IFERROR(__xludf.DUMMYFUNCTION("""COMPUTED_VALUE"""),1.0)</f>
        <v>1</v>
      </c>
      <c r="G154" s="2" t="str">
        <f>IFERROR(__xludf.DUMMYFUNCTION("""COMPUTED_VALUE"""),"10 GC")</f>
        <v>10 GC</v>
      </c>
      <c r="H154" s="2" t="str">
        <f>IFERROR(__xludf.DUMMYFUNCTION("""COMPUTED_VALUE"""),"1,000 Dollars")</f>
        <v>1,000 Dollars</v>
      </c>
      <c r="I154" s="3" t="str">
        <f>IFERROR(__xludf.DUMMYFUNCTION("""COMPUTED_VALUE"""),"Ammo")</f>
        <v>Ammo</v>
      </c>
      <c r="J154" s="3" t="str">
        <f>IFERROR(__xludf.DUMMYFUNCTION("""COMPUTED_VALUE"""),"Yes")</f>
        <v>Yes</v>
      </c>
      <c r="K154" s="3"/>
      <c r="L154" s="3" t="str">
        <f>IFERROR(__xludf.DUMMYFUNCTION("""COMPUTED_VALUE"""),"sftp://graphic@103.41.58.141/marketing/WarzTH_LE/Item%20Dict/kruger_medium_mag.png")</f>
        <v>sftp://graphic@103.41.58.141/marketing/WarzTH_LE/Item%20Dict/kruger_medium_mag.png</v>
      </c>
      <c r="M154" s="3"/>
      <c r="N154" s="3" t="str">
        <f>IFERROR(__xludf.DUMMYFUNCTION("""COMPUTED_VALUE"""),"Medium Kruger Rifle clip")</f>
        <v>Medium Kruger Rifle clip</v>
      </c>
      <c r="O154" s="3"/>
    </row>
    <row r="155">
      <c r="A155" s="3" t="b">
        <f>IFERROR(__xludf.DUMMYFUNCTION("""COMPUTED_VALUE"""),TRUE)</f>
        <v>1</v>
      </c>
      <c r="B155" s="3" t="str">
        <f>IFERROR(__xludf.DUMMYFUNCTION("""COMPUTED_VALUE"""),"")</f>
        <v/>
      </c>
      <c r="C155" s="3">
        <f>IFERROR(__xludf.DUMMYFUNCTION("""COMPUTED_VALUE"""),101304.0)</f>
        <v>101304</v>
      </c>
      <c r="D155" s="5" t="str">
        <f>IFERROR(__xludf.DUMMYFUNCTION("""COMPUTED_VALUE"""),"https://cdn.exe.in.th/marketing/WarzTH_LE/Item%20Dict/medkit.png")</f>
        <v>https://cdn.exe.in.th/marketing/WarzTH_LE/Item%20Dict/medkit.png</v>
      </c>
      <c r="E155" s="3" t="str">
        <f>IFERROR(__xludf.DUMMYFUNCTION("""COMPUTED_VALUE"""),"Medkit")</f>
        <v>Medkit</v>
      </c>
      <c r="F155" s="2">
        <f>IFERROR(__xludf.DUMMYFUNCTION("""COMPUTED_VALUE"""),10.0)</f>
        <v>10</v>
      </c>
      <c r="G155" s="2" t="str">
        <f>IFERROR(__xludf.DUMMYFUNCTION("""COMPUTED_VALUE"""),"-")</f>
        <v>-</v>
      </c>
      <c r="H155" s="2" t="str">
        <f>IFERROR(__xludf.DUMMYFUNCTION("""COMPUTED_VALUE"""),"-")</f>
        <v>-</v>
      </c>
      <c r="I155" s="3" t="str">
        <f>IFERROR(__xludf.DUMMYFUNCTION("""COMPUTED_VALUE"""),"Consumable")</f>
        <v>Consumable</v>
      </c>
      <c r="J155" s="3" t="str">
        <f>IFERROR(__xludf.DUMMYFUNCTION("""COMPUTED_VALUE"""),"Yes")</f>
        <v>Yes</v>
      </c>
      <c r="K155" s="3"/>
      <c r="L155" s="3" t="str">
        <f>IFERROR(__xludf.DUMMYFUNCTION("""COMPUTED_VALUE"""),"sftp://graphic@103.41.58.141/marketing/WarzTH_LE/Item%20Dict/medkit.png")</f>
        <v>sftp://graphic@103.41.58.141/marketing/WarzTH_LE/Item%20Dict/medkit.png</v>
      </c>
      <c r="M155" s="3"/>
      <c r="N155" s="3" t="str">
        <f>IFERROR(__xludf.DUMMYFUNCTION("""COMPUTED_VALUE"""),"A standard field medical kit commonly used by Medics to heal wounded soldiers on the battlefield. Very effective")</f>
        <v>A standard field medical kit commonly used by Medics to heal wounded soldiers on the battlefield. Very effective</v>
      </c>
      <c r="O155" s="3"/>
    </row>
    <row r="156">
      <c r="A156" s="3" t="b">
        <f>IFERROR(__xludf.DUMMYFUNCTION("""COMPUTED_VALUE"""),TRUE)</f>
        <v>1</v>
      </c>
      <c r="B156" s="3" t="str">
        <f>IFERROR(__xludf.DUMMYFUNCTION("""COMPUTED_VALUE"""),"")</f>
        <v/>
      </c>
      <c r="C156" s="3">
        <f>IFERROR(__xludf.DUMMYFUNCTION("""COMPUTED_VALUE"""),101314.0)</f>
        <v>101314</v>
      </c>
      <c r="D156" s="5" t="str">
        <f>IFERROR(__xludf.DUMMYFUNCTION("""COMPUTED_VALUE"""),"https://cdn.exe.in.th/marketing/WarzTH_LE/Item%20Dict/metal_bat.png")</f>
        <v>https://cdn.exe.in.th/marketing/WarzTH_LE/Item%20Dict/metal_bat.png</v>
      </c>
      <c r="E156" s="3" t="str">
        <f>IFERROR(__xludf.DUMMYFUNCTION("""COMPUTED_VALUE"""),"Metal Bat")</f>
        <v>Metal Bat</v>
      </c>
      <c r="F156" s="2">
        <f>IFERROR(__xludf.DUMMYFUNCTION("""COMPUTED_VALUE"""),1.0)</f>
        <v>1</v>
      </c>
      <c r="G156" s="2" t="str">
        <f>IFERROR(__xludf.DUMMYFUNCTION("""COMPUTED_VALUE"""),"10 GC")</f>
        <v>10 GC</v>
      </c>
      <c r="H156" s="2" t="str">
        <f>IFERROR(__xludf.DUMMYFUNCTION("""COMPUTED_VALUE"""),"1,000 Dollars")</f>
        <v>1,000 Dollars</v>
      </c>
      <c r="I156" s="3" t="str">
        <f>IFERROR(__xludf.DUMMYFUNCTION("""COMPUTED_VALUE"""),"Weapon")</f>
        <v>Weapon</v>
      </c>
      <c r="J156" s="3" t="str">
        <f>IFERROR(__xludf.DUMMYFUNCTION("""COMPUTED_VALUE"""),"No")</f>
        <v>No</v>
      </c>
      <c r="K156" s="3"/>
      <c r="L156" s="3" t="str">
        <f>IFERROR(__xludf.DUMMYFUNCTION("""COMPUTED_VALUE"""),"sftp://graphic@103.41.58.141/marketing/WarzTH_LE/Item%20Dict/metal_bat.png")</f>
        <v>sftp://graphic@103.41.58.141/marketing/WarzTH_LE/Item%20Dict/metal_bat.png</v>
      </c>
      <c r="M156" s="3"/>
      <c r="N156" s="3" t="str">
        <f>IFERROR(__xludf.DUMMYFUNCTION("""COMPUTED_VALUE"""),"Aluminum, will never rust. Heads bounce off faster. Not suitable for major league destruction.")</f>
        <v>Aluminum, will never rust. Heads bounce off faster. Not suitable for major league destruction.</v>
      </c>
      <c r="O156" s="3"/>
    </row>
    <row r="157">
      <c r="A157" s="3" t="b">
        <f>IFERROR(__xludf.DUMMYFUNCTION("""COMPUTED_VALUE"""),TRUE)</f>
        <v>1</v>
      </c>
      <c r="B157" s="3" t="str">
        <f>IFERROR(__xludf.DUMMYFUNCTION("""COMPUTED_VALUE"""),"")</f>
        <v/>
      </c>
      <c r="C157" s="3">
        <f>IFERROR(__xludf.DUMMYFUNCTION("""COMPUTED_VALUE"""),20180.0)</f>
        <v>20180</v>
      </c>
      <c r="D157" s="5" t="str">
        <f>IFERROR(__xludf.DUMMYFUNCTION("""COMPUTED_VALUE"""),"https://cdn.exe.in.th/marketing/WarzTH_LE/Item%20Dict/military_ruck.png")</f>
        <v>https://cdn.exe.in.th/marketing/WarzTH_LE/Item%20Dict/military_ruck.png</v>
      </c>
      <c r="E157" s="3" t="str">
        <f>IFERROR(__xludf.DUMMYFUNCTION("""COMPUTED_VALUE"""),"Military Ruck")</f>
        <v>Military Ruck</v>
      </c>
      <c r="F157" s="2">
        <f>IFERROR(__xludf.DUMMYFUNCTION("""COMPUTED_VALUE"""),3.0)</f>
        <v>3</v>
      </c>
      <c r="G157" s="2" t="str">
        <f>IFERROR(__xludf.DUMMYFUNCTION("""COMPUTED_VALUE"""),"30 GC")</f>
        <v>30 GC</v>
      </c>
      <c r="H157" s="2" t="str">
        <f>IFERROR(__xludf.DUMMYFUNCTION("""COMPUTED_VALUE"""),"3,500 Dollars")</f>
        <v>3,500 Dollars</v>
      </c>
      <c r="I157" s="3" t="str">
        <f>IFERROR(__xludf.DUMMYFUNCTION("""COMPUTED_VALUE"""),"Equipment")</f>
        <v>Equipment</v>
      </c>
      <c r="J157" s="3" t="str">
        <f>IFERROR(__xludf.DUMMYFUNCTION("""COMPUTED_VALUE"""),"No")</f>
        <v>No</v>
      </c>
      <c r="K157" s="3"/>
      <c r="L157" s="3" t="str">
        <f>IFERROR(__xludf.DUMMYFUNCTION("""COMPUTED_VALUE"""),"sftp://graphic@103.41.58.141/marketing/WarzTH_LE/Item%20Dict/military_ruck.png")</f>
        <v>sftp://graphic@103.41.58.141/marketing/WarzTH_LE/Item%20Dict/military_ruck.png</v>
      </c>
      <c r="M157" s="3"/>
      <c r="N157" s="3" t="str">
        <f>IFERROR(__xludf.DUMMYFUNCTION("""COMPUTED_VALUE"""),"The mother of all backpacks. Carry 32 items at once!")</f>
        <v>The mother of all backpacks. Carry 32 items at once!</v>
      </c>
      <c r="O157" s="3"/>
    </row>
    <row r="158">
      <c r="A158" s="3" t="b">
        <f>IFERROR(__xludf.DUMMYFUNCTION("""COMPUTED_VALUE"""),TRUE)</f>
        <v>1</v>
      </c>
      <c r="B158" s="3" t="str">
        <f>IFERROR(__xludf.DUMMYFUNCTION("""COMPUTED_VALUE"""),"")</f>
        <v/>
      </c>
      <c r="C158" s="3">
        <f>IFERROR(__xludf.DUMMYFUNCTION("""COMPUTED_VALUE"""),101340.0)</f>
        <v>101340</v>
      </c>
      <c r="D158" s="5" t="str">
        <f>IFERROR(__xludf.DUMMYFUNCTION("""COMPUTED_VALUE"""),"https://cdn.exe.in.th/marketing/WarzTH_LE/Item%20Dict/minisaints.png")</f>
        <v>https://cdn.exe.in.th/marketing/WarzTH_LE/Item%20Dict/minisaints.png</v>
      </c>
      <c r="E158" s="3" t="str">
        <f>IFERROR(__xludf.DUMMYFUNCTION("""COMPUTED_VALUE"""),"MiniSaints")</f>
        <v>MiniSaints</v>
      </c>
      <c r="F158" s="2">
        <f>IFERROR(__xludf.DUMMYFUNCTION("""COMPUTED_VALUE"""),0.2)</f>
        <v>0.2</v>
      </c>
      <c r="G158" s="2" t="str">
        <f>IFERROR(__xludf.DUMMYFUNCTION("""COMPUTED_VALUE"""),"-")</f>
        <v>-</v>
      </c>
      <c r="H158" s="2" t="str">
        <f>IFERROR(__xludf.DUMMYFUNCTION("""COMPUTED_VALUE"""),"200 Dollars")</f>
        <v>200 Dollars</v>
      </c>
      <c r="I158" s="3" t="str">
        <f>IFERROR(__xludf.DUMMYFUNCTION("""COMPUTED_VALUE"""),"Consumable")</f>
        <v>Consumable</v>
      </c>
      <c r="J158" s="3" t="str">
        <f>IFERROR(__xludf.DUMMYFUNCTION("""COMPUTED_VALUE"""),"Yes")</f>
        <v>Yes</v>
      </c>
      <c r="K158" s="3"/>
      <c r="L158" s="3" t="str">
        <f>IFERROR(__xludf.DUMMYFUNCTION("""COMPUTED_VALUE"""),"sftp://graphic@103.41.58.141/marketing/WarzTH_LE/Item%20Dict/minisaints.png")</f>
        <v>sftp://graphic@103.41.58.141/marketing/WarzTH_LE/Item%20Dict/minisaints.png</v>
      </c>
      <c r="M158" s="3"/>
      <c r="N158" s="3" t="str">
        <f>IFERROR(__xludf.DUMMYFUNCTION("""COMPUTED_VALUE"""),"Creamy, moist and delectable, MiniSaints are a delicious treat the whole family can enjoy! Best consumed while watching family movies, possibly involving snow and dogs.")</f>
        <v>Creamy, moist and delectable, MiniSaints are a delicious treat the whole family can enjoy! Best consumed while watching family movies, possibly involving snow and dogs.</v>
      </c>
      <c r="O158" s="3"/>
    </row>
    <row r="159">
      <c r="A159" s="3" t="b">
        <f>IFERROR(__xludf.DUMMYFUNCTION("""COMPUTED_VALUE"""),TRUE)</f>
        <v>1</v>
      </c>
      <c r="B159" s="3" t="str">
        <f>IFERROR(__xludf.DUMMYFUNCTION("""COMPUTED_VALUE"""),"")</f>
        <v/>
      </c>
      <c r="C159" s="3">
        <f>IFERROR(__xludf.DUMMYFUNCTION("""COMPUTED_VALUE"""),400088.0)</f>
        <v>400088</v>
      </c>
      <c r="D159" s="5" t="str">
        <f>IFERROR(__xludf.DUMMYFUNCTION("""COMPUTED_VALUE"""),"https://cdn.exe.in.th/marketing/WarzTH_LE/Item%20Dict/modular_grip.png")</f>
        <v>https://cdn.exe.in.th/marketing/WarzTH_LE/Item%20Dict/modular_grip.png</v>
      </c>
      <c r="E159" s="3" t="str">
        <f>IFERROR(__xludf.DUMMYFUNCTION("""COMPUTED_VALUE"""),"Modular Aluminum Combat Grip")</f>
        <v>Modular Aluminum Combat Grip</v>
      </c>
      <c r="F159" s="2">
        <f>IFERROR(__xludf.DUMMYFUNCTION("""COMPUTED_VALUE"""),1.5)</f>
        <v>1.5</v>
      </c>
      <c r="G159" s="2" t="str">
        <f>IFERROR(__xludf.DUMMYFUNCTION("""COMPUTED_VALUE"""),"-")</f>
        <v>-</v>
      </c>
      <c r="H159" s="2" t="str">
        <f>IFERROR(__xludf.DUMMYFUNCTION("""COMPUTED_VALUE"""),"1,500 Dollars")</f>
        <v>1,500 Dollars</v>
      </c>
      <c r="I159" s="3" t="str">
        <f>IFERROR(__xludf.DUMMYFUNCTION("""COMPUTED_VALUE"""),"Attachment")</f>
        <v>Attachment</v>
      </c>
      <c r="J159" s="3" t="str">
        <f>IFERROR(__xludf.DUMMYFUNCTION("""COMPUTED_VALUE"""),"No")</f>
        <v>No</v>
      </c>
      <c r="K159" s="3"/>
      <c r="L159" s="3" t="str">
        <f>IFERROR(__xludf.DUMMYFUNCTION("""COMPUTED_VALUE"""),"sftp://graphic@103.41.58.141/marketing/WarzTH_LE/Item%20Dict/modular_grip.png")</f>
        <v>sftp://graphic@103.41.58.141/marketing/WarzTH_LE/Item%20Dict/modular_grip.png</v>
      </c>
      <c r="M159" s="3"/>
      <c r="N159" s="3"/>
      <c r="O159" s="3"/>
    </row>
    <row r="160">
      <c r="A160" s="3" t="b">
        <f>IFERROR(__xludf.DUMMYFUNCTION("""COMPUTED_VALUE"""),TRUE)</f>
        <v>1</v>
      </c>
      <c r="B160" s="3" t="str">
        <f>IFERROR(__xludf.DUMMYFUNCTION("""COMPUTED_VALUE"""),"")</f>
        <v/>
      </c>
      <c r="C160" s="3">
        <f>IFERROR(__xludf.DUMMYFUNCTION("""COMPUTED_VALUE"""),101158.0)</f>
        <v>101158</v>
      </c>
      <c r="D160" s="5" t="str">
        <f>IFERROR(__xludf.DUMMYFUNCTION("""COMPUTED_VALUE"""),"https://cdn.exe.in.th/marketing/WarzTH_LE/Item%20Dict/mossberg_590.png")</f>
        <v>https://cdn.exe.in.th/marketing/WarzTH_LE/Item%20Dict/mossberg_590.png</v>
      </c>
      <c r="E160" s="3" t="str">
        <f>IFERROR(__xludf.DUMMYFUNCTION("""COMPUTED_VALUE"""),"MOSSBERG 590")</f>
        <v>MOSSBERG 590</v>
      </c>
      <c r="F160" s="2">
        <f>IFERROR(__xludf.DUMMYFUNCTION("""COMPUTED_VALUE"""),1.0)</f>
        <v>1</v>
      </c>
      <c r="G160" s="2" t="str">
        <f>IFERROR(__xludf.DUMMYFUNCTION("""COMPUTED_VALUE"""),"-")</f>
        <v>-</v>
      </c>
      <c r="H160" s="2" t="str">
        <f>IFERROR(__xludf.DUMMYFUNCTION("""COMPUTED_VALUE"""),"-")</f>
        <v>-</v>
      </c>
      <c r="I160" s="3" t="str">
        <f>IFERROR(__xludf.DUMMYFUNCTION("""COMPUTED_VALUE"""),"Weapon")</f>
        <v>Weapon</v>
      </c>
      <c r="J160" s="3" t="str">
        <f>IFERROR(__xludf.DUMMYFUNCTION("""COMPUTED_VALUE"""),"No")</f>
        <v>No</v>
      </c>
      <c r="K160" s="3" t="str">
        <f>IFERROR(__xludf.DUMMYFUNCTION("""COMPUTED_VALUE"""),"A")</f>
        <v>A</v>
      </c>
      <c r="L160" s="3" t="str">
        <f>IFERROR(__xludf.DUMMYFUNCTION("""COMPUTED_VALUE"""),"sftp://graphic@103.41.58.141/marketing/WarzTH_LE/Item%20Dict/mossberg_590.png")</f>
        <v>sftp://graphic@103.41.58.141/marketing/WarzTH_LE/Item%20Dict/mossberg_590.png</v>
      </c>
      <c r="M160" s="3"/>
      <c r="N160" s="3" t="str">
        <f>IFERROR(__xludf.DUMMYFUNCTION("""COMPUTED_VALUE"""),"The Mossberg 590 is a 12 gauge shotgun which has a 8 round storage tube. It is known to do an extremely high amount of damage at close range.")</f>
        <v>The Mossberg 590 is a 12 gauge shotgun which has a 8 round storage tube. It is known to do an extremely high amount of damage at close range.</v>
      </c>
      <c r="O160" s="3"/>
    </row>
    <row r="161">
      <c r="A161" s="3" t="b">
        <f>IFERROR(__xludf.DUMMYFUNCTION("""COMPUTED_VALUE"""),TRUE)</f>
        <v>1</v>
      </c>
      <c r="B161" s="3" t="str">
        <f>IFERROR(__xludf.DUMMYFUNCTION("""COMPUTED_VALUE"""),"")</f>
        <v/>
      </c>
      <c r="C161" s="3">
        <f>IFERROR(__xludf.DUMMYFUNCTION("""COMPUTED_VALUE"""),101103.0)</f>
        <v>101103</v>
      </c>
      <c r="D161" s="5" t="str">
        <f>IFERROR(__xludf.DUMMYFUNCTION("""COMPUTED_VALUE"""),"https://cdn.exe.in.th/marketing/WarzTH_LE/Item%20Dict/mp5_10.png")</f>
        <v>https://cdn.exe.in.th/marketing/WarzTH_LE/Item%20Dict/mp5_10.png</v>
      </c>
      <c r="E161" s="3" t="str">
        <f>IFERROR(__xludf.DUMMYFUNCTION("""COMPUTED_VALUE"""),"MP5/10")</f>
        <v>MP5/10</v>
      </c>
      <c r="F161" s="2">
        <f>IFERROR(__xludf.DUMMYFUNCTION("""COMPUTED_VALUE"""),2.0)</f>
        <v>2</v>
      </c>
      <c r="G161" s="2" t="str">
        <f>IFERROR(__xludf.DUMMYFUNCTION("""COMPUTED_VALUE"""),"-")</f>
        <v>-</v>
      </c>
      <c r="H161" s="2" t="str">
        <f>IFERROR(__xludf.DUMMYFUNCTION("""COMPUTED_VALUE"""),"-")</f>
        <v>-</v>
      </c>
      <c r="I161" s="3" t="str">
        <f>IFERROR(__xludf.DUMMYFUNCTION("""COMPUTED_VALUE"""),"Weapon")</f>
        <v>Weapon</v>
      </c>
      <c r="J161" s="3" t="str">
        <f>IFERROR(__xludf.DUMMYFUNCTION("""COMPUTED_VALUE"""),"No")</f>
        <v>No</v>
      </c>
      <c r="K161" s="3" t="str">
        <f>IFERROR(__xludf.DUMMYFUNCTION("""COMPUTED_VALUE"""),"C")</f>
        <v>C</v>
      </c>
      <c r="L161" s="3" t="str">
        <f>IFERROR(__xludf.DUMMYFUNCTION("""COMPUTED_VALUE"""),"sftp://graphic@103.41.58.141/marketing/WarzTH_LE/Item%20Dict/mp5_10.png")</f>
        <v>sftp://graphic@103.41.58.141/marketing/WarzTH_LE/Item%20Dict/mp5_10.png</v>
      </c>
      <c r="M161" s="3"/>
      <c r="N161" s="3" t="str">
        <f>IFERROR(__xludf.DUMMYFUNCTION("""COMPUTED_VALUE"""),"The MP5/10 submachine gun was designed to fire a 10 mm Auto rounds from a 30 round clip effectively against close ranged targets.")</f>
        <v>The MP5/10 submachine gun was designed to fire a 10 mm Auto rounds from a 30 round clip effectively against close ranged targets.</v>
      </c>
      <c r="O161" s="3"/>
    </row>
    <row r="162">
      <c r="A162" s="3" t="b">
        <f>IFERROR(__xludf.DUMMYFUNCTION("""COMPUTED_VALUE"""),TRUE)</f>
        <v>1</v>
      </c>
      <c r="B162" s="3" t="str">
        <f>IFERROR(__xludf.DUMMYFUNCTION("""COMPUTED_VALUE"""),"")</f>
        <v/>
      </c>
      <c r="C162" s="3">
        <f>IFERROR(__xludf.DUMMYFUNCTION("""COMPUTED_VALUE"""),400079.0)</f>
        <v>400079</v>
      </c>
      <c r="D162" s="5" t="str">
        <f>IFERROR(__xludf.DUMMYFUNCTION("""COMPUTED_VALUE"""),"https://cdn.exe.in.th/marketing/WarzTH_LE/Item%20Dict/mp5_10mm_mag.png")</f>
        <v>https://cdn.exe.in.th/marketing/WarzTH_LE/Item%20Dict/mp5_10mm_mag.png</v>
      </c>
      <c r="E162" s="3" t="str">
        <f>IFERROR(__xludf.DUMMYFUNCTION("""COMPUTED_VALUE"""),"MP5 10mm Mag")</f>
        <v>MP5 10mm Mag</v>
      </c>
      <c r="F162" s="2">
        <f>IFERROR(__xludf.DUMMYFUNCTION("""COMPUTED_VALUE"""),1.0)</f>
        <v>1</v>
      </c>
      <c r="G162" s="8" t="str">
        <f>IFERROR(__xludf.DUMMYFUNCTION("""COMPUTED_VALUE"""),"-")</f>
        <v>-</v>
      </c>
      <c r="H162" s="2" t="str">
        <f>IFERROR(__xludf.DUMMYFUNCTION("""COMPUTED_VALUE"""),"900 Dollars")</f>
        <v>900 Dollars</v>
      </c>
      <c r="I162" s="3" t="str">
        <f>IFERROR(__xludf.DUMMYFUNCTION("""COMPUTED_VALUE"""),"Ammo")</f>
        <v>Ammo</v>
      </c>
      <c r="J162" s="3" t="str">
        <f>IFERROR(__xludf.DUMMYFUNCTION("""COMPUTED_VALUE"""),"Yes")</f>
        <v>Yes</v>
      </c>
      <c r="K162" s="3"/>
      <c r="L162" s="3" t="str">
        <f>IFERROR(__xludf.DUMMYFUNCTION("""COMPUTED_VALUE"""),"sftp://graphic@103.41.58.141/marketing/WarzTH_LE/Item%20Dict/mp5_10mm_mag.png")</f>
        <v>sftp://graphic@103.41.58.141/marketing/WarzTH_LE/Item%20Dict/mp5_10mm_mag.png</v>
      </c>
      <c r="M162" s="3"/>
      <c r="N162" s="3" t="str">
        <f>IFERROR(__xludf.DUMMYFUNCTION("""COMPUTED_VALUE"""),"10mm Auto 30 rounds cartridge for MP5/10 submachine gun")</f>
        <v>10mm Auto 30 rounds cartridge for MP5/10 submachine gun</v>
      </c>
      <c r="O162" s="3"/>
    </row>
    <row r="163">
      <c r="A163" s="3" t="b">
        <f>IFERROR(__xludf.DUMMYFUNCTION("""COMPUTED_VALUE"""),TRUE)</f>
        <v>1</v>
      </c>
      <c r="B163" s="3" t="str">
        <f>IFERROR(__xludf.DUMMYFUNCTION("""COMPUTED_VALUE"""),"")</f>
        <v/>
      </c>
      <c r="C163" s="3">
        <f>IFERROR(__xludf.DUMMYFUNCTION("""COMPUTED_VALUE"""),101063.0)</f>
        <v>101063</v>
      </c>
      <c r="D163" s="5" t="str">
        <f>IFERROR(__xludf.DUMMYFUNCTION("""COMPUTED_VALUE"""),"https://cdn.exe.in.th/marketing/WarzTH_LE/Item%20Dict/mp7.png")</f>
        <v>https://cdn.exe.in.th/marketing/WarzTH_LE/Item%20Dict/mp7.png</v>
      </c>
      <c r="E163" s="3" t="str">
        <f>IFERROR(__xludf.DUMMYFUNCTION("""COMPUTED_VALUE"""),"MP7")</f>
        <v>MP7</v>
      </c>
      <c r="F163" s="2">
        <f>IFERROR(__xludf.DUMMYFUNCTION("""COMPUTED_VALUE"""),2.0)</f>
        <v>2</v>
      </c>
      <c r="G163" s="2" t="str">
        <f>IFERROR(__xludf.DUMMYFUNCTION("""COMPUTED_VALUE"""),"-")</f>
        <v>-</v>
      </c>
      <c r="H163" s="2" t="str">
        <f>IFERROR(__xludf.DUMMYFUNCTION("""COMPUTED_VALUE"""),"-")</f>
        <v>-</v>
      </c>
      <c r="I163" s="3" t="str">
        <f>IFERROR(__xludf.DUMMYFUNCTION("""COMPUTED_VALUE"""),"Weapon")</f>
        <v>Weapon</v>
      </c>
      <c r="J163" s="3" t="str">
        <f>IFERROR(__xludf.DUMMYFUNCTION("""COMPUTED_VALUE"""),"No")</f>
        <v>No</v>
      </c>
      <c r="K163" s="3" t="str">
        <f>IFERROR(__xludf.DUMMYFUNCTION("""COMPUTED_VALUE"""),"B")</f>
        <v>B</v>
      </c>
      <c r="L163" s="3" t="str">
        <f>IFERROR(__xludf.DUMMYFUNCTION("""COMPUTED_VALUE"""),"sftp://graphic@103.41.58.141/marketing/WarzTH_LE/Item%20Dict/mp7.png")</f>
        <v>sftp://graphic@103.41.58.141/marketing/WarzTH_LE/Item%20Dict/mp7.png</v>
      </c>
      <c r="M163" s="3"/>
      <c r="N163" s="3" t="str">
        <f>IFERROR(__xludf.DUMMYFUNCTION("""COMPUTED_VALUE"""),"The RA TR7 submachine gun is a special issue weapon that fires a 4.6 mm standard cartridge from a 30 round magazine. It is effective at close range targets.")</f>
        <v>The RA TR7 submachine gun is a special issue weapon that fires a 4.6 mm standard cartridge from a 30 round magazine. It is effective at close range targets.</v>
      </c>
      <c r="O163" s="3"/>
    </row>
    <row r="164">
      <c r="A164" s="3" t="b">
        <f>IFERROR(__xludf.DUMMYFUNCTION("""COMPUTED_VALUE"""),TRUE)</f>
        <v>1</v>
      </c>
      <c r="B164" s="3" t="str">
        <f>IFERROR(__xludf.DUMMYFUNCTION("""COMPUTED_VALUE"""),"")</f>
        <v/>
      </c>
      <c r="C164" s="3">
        <f>IFERROR(__xludf.DUMMYFUNCTION("""COMPUTED_VALUE"""),400033.0)</f>
        <v>400033</v>
      </c>
      <c r="D164" s="5" t="str">
        <f>IFERROR(__xludf.DUMMYFUNCTION("""COMPUTED_VALUE"""),"https://cdn.exe.in.th/marketing/WarzTH_LE/Item%20Dict/mp7_30.png")</f>
        <v>https://cdn.exe.in.th/marketing/WarzTH_LE/Item%20Dict/mp7_30.png</v>
      </c>
      <c r="E164" s="3" t="str">
        <f>IFERROR(__xludf.DUMMYFUNCTION("""COMPUTED_VALUE"""),"MP7 30")</f>
        <v>MP7 30</v>
      </c>
      <c r="F164" s="2">
        <f>IFERROR(__xludf.DUMMYFUNCTION("""COMPUTED_VALUE"""),1.0)</f>
        <v>1</v>
      </c>
      <c r="G164" s="8" t="str">
        <f>IFERROR(__xludf.DUMMYFUNCTION("""COMPUTED_VALUE"""),"-")</f>
        <v>-</v>
      </c>
      <c r="H164" s="2" t="str">
        <f>IFERROR(__xludf.DUMMYFUNCTION("""COMPUTED_VALUE"""),"1,000 Dollars")</f>
        <v>1,000 Dollars</v>
      </c>
      <c r="I164" s="3" t="str">
        <f>IFERROR(__xludf.DUMMYFUNCTION("""COMPUTED_VALUE"""),"Ammo")</f>
        <v>Ammo</v>
      </c>
      <c r="J164" s="3" t="str">
        <f>IFERROR(__xludf.DUMMYFUNCTION("""COMPUTED_VALUE"""),"Yes")</f>
        <v>Yes</v>
      </c>
      <c r="K164" s="3"/>
      <c r="L164" s="3" t="str">
        <f>IFERROR(__xludf.DUMMYFUNCTION("""COMPUTED_VALUE"""),"sftp://graphic@103.41.58.141/marketing/WarzTH_LE/Item%20Dict/mp7_30.png")</f>
        <v>sftp://graphic@103.41.58.141/marketing/WarzTH_LE/Item%20Dict/mp7_30.png</v>
      </c>
      <c r="M164" s="3"/>
      <c r="N164" s="3" t="str">
        <f>IFERROR(__xludf.DUMMYFUNCTION("""COMPUTED_VALUE"""),"HK 4.6&amp;times;30mm 30 rounds magazine for MP7 submachine gun.")</f>
        <v>HK 4.6&amp;times;30mm 30 rounds magazine for MP7 submachine gun.</v>
      </c>
      <c r="O164" s="3"/>
    </row>
    <row r="165">
      <c r="A165" s="3" t="b">
        <f>IFERROR(__xludf.DUMMYFUNCTION("""COMPUTED_VALUE"""),TRUE)</f>
        <v>1</v>
      </c>
      <c r="B165" s="3" t="str">
        <f>IFERROR(__xludf.DUMMYFUNCTION("""COMPUTED_VALUE"""),"")</f>
        <v/>
      </c>
      <c r="C165" s="3">
        <f>IFERROR(__xludf.DUMMYFUNCTION("""COMPUTED_VALUE"""),400032.0)</f>
        <v>400032</v>
      </c>
      <c r="D165" s="5" t="str">
        <f>IFERROR(__xludf.DUMMYFUNCTION("""COMPUTED_VALUE"""),"https://cdn.exe.in.th/marketing/WarzTH_LE/Item%20Dict/mp7_40.png")</f>
        <v>https://cdn.exe.in.th/marketing/WarzTH_LE/Item%20Dict/mp7_40.png</v>
      </c>
      <c r="E165" s="3" t="str">
        <f>IFERROR(__xludf.DUMMYFUNCTION("""COMPUTED_VALUE"""),"MP7 40")</f>
        <v>MP7 40</v>
      </c>
      <c r="F165" s="2">
        <f>IFERROR(__xludf.DUMMYFUNCTION("""COMPUTED_VALUE"""),1.0)</f>
        <v>1</v>
      </c>
      <c r="G165" s="2" t="str">
        <f>IFERROR(__xludf.DUMMYFUNCTION("""COMPUTED_VALUE"""),"-")</f>
        <v>-</v>
      </c>
      <c r="H165" s="2" t="str">
        <f>IFERROR(__xludf.DUMMYFUNCTION("""COMPUTED_VALUE"""),"1,100 Dollars")</f>
        <v>1,100 Dollars</v>
      </c>
      <c r="I165" s="3" t="str">
        <f>IFERROR(__xludf.DUMMYFUNCTION("""COMPUTED_VALUE"""),"Ammo")</f>
        <v>Ammo</v>
      </c>
      <c r="J165" s="3" t="str">
        <f>IFERROR(__xludf.DUMMYFUNCTION("""COMPUTED_VALUE"""),"Yes")</f>
        <v>Yes</v>
      </c>
      <c r="K165" s="3"/>
      <c r="L165" s="3" t="str">
        <f>IFERROR(__xludf.DUMMYFUNCTION("""COMPUTED_VALUE"""),"sftp://graphic@103.41.58.141/marketing/WarzTH_LE/Item%20Dict/mp7_40.png")</f>
        <v>sftp://graphic@103.41.58.141/marketing/WarzTH_LE/Item%20Dict/mp7_40.png</v>
      </c>
      <c r="M165" s="3"/>
      <c r="N165" s="3" t="str">
        <f>IFERROR(__xludf.DUMMYFUNCTION("""COMPUTED_VALUE"""),"HK 4.6&amp;times;30mm 40 rounds extended magazine for MP7 submachine gun.")</f>
        <v>HK 4.6&amp;times;30mm 40 rounds extended magazine for MP7 submachine gun.</v>
      </c>
      <c r="O165" s="3"/>
    </row>
    <row r="166">
      <c r="A166" s="3" t="b">
        <f>IFERROR(__xludf.DUMMYFUNCTION("""COMPUTED_VALUE"""),TRUE)</f>
        <v>1</v>
      </c>
      <c r="B166" s="3" t="str">
        <f>IFERROR(__xludf.DUMMYFUNCTION("""COMPUTED_VALUE"""),"")</f>
        <v/>
      </c>
      <c r="C166" s="3">
        <f>IFERROR(__xludf.DUMMYFUNCTION("""COMPUTED_VALUE"""),20056.0)</f>
        <v>20056</v>
      </c>
      <c r="D166" s="5" t="str">
        <f>IFERROR(__xludf.DUMMYFUNCTION("""COMPUTED_VALUE"""),"https://cdn.exe.in.th/marketing/WarzTH_LE/Item%20Dict/mtv_forest.png")</f>
        <v>https://cdn.exe.in.th/marketing/WarzTH_LE/Item%20Dict/mtv_forest.png</v>
      </c>
      <c r="E166" s="3" t="str">
        <f>IFERROR(__xludf.DUMMYFUNCTION("""COMPUTED_VALUE"""),"MTV Forest")</f>
        <v>MTV Forest</v>
      </c>
      <c r="F166" s="2">
        <f>IFERROR(__xludf.DUMMYFUNCTION("""COMPUTED_VALUE"""),1.5)</f>
        <v>1.5</v>
      </c>
      <c r="G166" s="2" t="str">
        <f>IFERROR(__xludf.DUMMYFUNCTION("""COMPUTED_VALUE"""),"15 GC")</f>
        <v>15 GC</v>
      </c>
      <c r="H166" s="2" t="str">
        <f>IFERROR(__xludf.DUMMYFUNCTION("""COMPUTED_VALUE"""),"2,500 Dollars")</f>
        <v>2,500 Dollars</v>
      </c>
      <c r="I166" s="3" t="str">
        <f>IFERROR(__xludf.DUMMYFUNCTION("""COMPUTED_VALUE"""),"Equipment")</f>
        <v>Equipment</v>
      </c>
      <c r="J166" s="3" t="str">
        <f>IFERROR(__xludf.DUMMYFUNCTION("""COMPUTED_VALUE"""),"No")</f>
        <v>No</v>
      </c>
      <c r="K166" s="3"/>
      <c r="L166" s="3" t="str">
        <f>IFERROR(__xludf.DUMMYFUNCTION("""COMPUTED_VALUE"""),"sftp://graphic@103.41.58.141/marketing/WarzTH_LE/Item%20Dict/mtv_forest.png")</f>
        <v>sftp://graphic@103.41.58.141/marketing/WarzTH_LE/Item%20Dict/mtv_forest.png</v>
      </c>
      <c r="M166" s="3"/>
      <c r="N166" s="3" t="str">
        <f>IFERROR(__xludf.DUMMYFUNCTION("""COMPUTED_VALUE"""),"Limited edition MTV release Forest patterned gear with Level 2 protection.")</f>
        <v>Limited edition MTV release Forest patterned gear with Level 2 protection.</v>
      </c>
      <c r="O166" s="3"/>
    </row>
    <row r="167">
      <c r="A167" s="3" t="b">
        <f>IFERROR(__xludf.DUMMYFUNCTION("""COMPUTED_VALUE"""),TRUE)</f>
        <v>1</v>
      </c>
      <c r="B167" s="3" t="str">
        <f>IFERROR(__xludf.DUMMYFUNCTION("""COMPUTED_VALUE"""),"")</f>
        <v/>
      </c>
      <c r="C167" s="3">
        <f>IFERROR(__xludf.DUMMYFUNCTION("""COMPUTED_VALUE"""),101392.0)</f>
        <v>101392</v>
      </c>
      <c r="D167" s="5" t="str">
        <f>IFERROR(__xludf.DUMMYFUNCTION("""COMPUTED_VALUE"""),"https://cdn.exe.in.th/marketing/WarzTH_LE/Item%20Dict/nail_gun.png")</f>
        <v>https://cdn.exe.in.th/marketing/WarzTH_LE/Item%20Dict/nail_gun.png</v>
      </c>
      <c r="E167" s="6" t="str">
        <f>IFERROR(__xludf.DUMMYFUNCTION("""COMPUTED_VALUE"""),"Nail Gun")</f>
        <v>Nail Gun</v>
      </c>
      <c r="F167" s="2">
        <f>IFERROR(__xludf.DUMMYFUNCTION("""COMPUTED_VALUE"""),0.5)</f>
        <v>0.5</v>
      </c>
      <c r="G167" s="2" t="str">
        <f>IFERROR(__xludf.DUMMYFUNCTION("""COMPUTED_VALUE"""),"-")</f>
        <v>-</v>
      </c>
      <c r="H167" s="2" t="str">
        <f>IFERROR(__xludf.DUMMYFUNCTION("""COMPUTED_VALUE"""),"-")</f>
        <v>-</v>
      </c>
      <c r="I167" s="3" t="str">
        <f>IFERROR(__xludf.DUMMYFUNCTION("""COMPUTED_VALUE"""),"Weapon")</f>
        <v>Weapon</v>
      </c>
      <c r="J167" s="3" t="str">
        <f>IFERROR(__xludf.DUMMYFUNCTION("""COMPUTED_VALUE"""),"No")</f>
        <v>No</v>
      </c>
      <c r="K167" s="3" t="str">
        <f>IFERROR(__xludf.DUMMYFUNCTION("""COMPUTED_VALUE"""),"C")</f>
        <v>C</v>
      </c>
      <c r="L167" s="3" t="str">
        <f>IFERROR(__xludf.DUMMYFUNCTION("""COMPUTED_VALUE"""),"sftp://graphic@103.41.58.141/marketing/WarzTH_LE/Item%20Dict/nail_gun.png")</f>
        <v>sftp://graphic@103.41.58.141/marketing/WarzTH_LE/Item%20Dict/nail_gun.png</v>
      </c>
      <c r="M167" s="3"/>
      <c r="N167" s="3" t="str">
        <f>IFERROR(__xludf.DUMMYFUNCTION("""COMPUTED_VALUE"""),"Commonly used in construction")</f>
        <v>Commonly used in construction</v>
      </c>
      <c r="O167" s="3"/>
    </row>
    <row r="168">
      <c r="A168" s="3" t="b">
        <f>IFERROR(__xludf.DUMMYFUNCTION("""COMPUTED_VALUE"""),TRUE)</f>
        <v>1</v>
      </c>
      <c r="B168" s="3" t="str">
        <f>IFERROR(__xludf.DUMMYFUNCTION("""COMPUTED_VALUE"""),"")</f>
        <v/>
      </c>
      <c r="C168" s="3">
        <f>IFERROR(__xludf.DUMMYFUNCTION("""COMPUTED_VALUE"""),400157.0)</f>
        <v>400157</v>
      </c>
      <c r="D168" s="5" t="str">
        <f>IFERROR(__xludf.DUMMYFUNCTION("""COMPUTED_VALUE"""),"https://cdn.exe.in.th/marketing/WarzTH_LE/Item%20Dict/nail_strip.png")</f>
        <v>https://cdn.exe.in.th/marketing/WarzTH_LE/Item%20Dict/nail_strip.png</v>
      </c>
      <c r="E168" s="3" t="str">
        <f>IFERROR(__xludf.DUMMYFUNCTION("""COMPUTED_VALUE"""),"Nail Strip")</f>
        <v>Nail Strip</v>
      </c>
      <c r="F168" s="2">
        <f>IFERROR(__xludf.DUMMYFUNCTION("""COMPUTED_VALUE"""),0.6)</f>
        <v>0.6</v>
      </c>
      <c r="G168" s="2" t="str">
        <f>IFERROR(__xludf.DUMMYFUNCTION("""COMPUTED_VALUE"""),"-")</f>
        <v>-</v>
      </c>
      <c r="H168" s="2" t="str">
        <f>IFERROR(__xludf.DUMMYFUNCTION("""COMPUTED_VALUE"""),"500 Dollars")</f>
        <v>500 Dollars</v>
      </c>
      <c r="I168" s="3" t="str">
        <f>IFERROR(__xludf.DUMMYFUNCTION("""COMPUTED_VALUE"""),"Ammo")</f>
        <v>Ammo</v>
      </c>
      <c r="J168" s="3" t="str">
        <f>IFERROR(__xludf.DUMMYFUNCTION("""COMPUTED_VALUE"""),"Yes")</f>
        <v>Yes</v>
      </c>
      <c r="K168" s="3"/>
      <c r="L168" s="3" t="str">
        <f>IFERROR(__xludf.DUMMYFUNCTION("""COMPUTED_VALUE"""),"sftp://graphic@103.41.58.141/marketing/WarzTH_LE/Item%20Dict/nail_strip.png")</f>
        <v>sftp://graphic@103.41.58.141/marketing/WarzTH_LE/Item%20Dict/nail_strip.png</v>
      </c>
      <c r="M168" s="3"/>
      <c r="N168" s="3" t="str">
        <f>IFERROR(__xludf.DUMMYFUNCTION("""COMPUTED_VALUE"""),"Connected strip of nails for use in the Nail Gun")</f>
        <v>Connected strip of nails for use in the Nail Gun</v>
      </c>
      <c r="O168" s="3"/>
    </row>
    <row r="169">
      <c r="A169" s="3" t="b">
        <f>IFERROR(__xludf.DUMMYFUNCTION("""COMPUTED_VALUE"""),TRUE)</f>
        <v>1</v>
      </c>
      <c r="B169" s="3" t="str">
        <f>IFERROR(__xludf.DUMMYFUNCTION("""COMPUTED_VALUE"""),"")</f>
        <v/>
      </c>
      <c r="C169" s="3">
        <f>IFERROR(__xludf.DUMMYFUNCTION("""COMPUTED_VALUE"""),20188.0)</f>
        <v>20188</v>
      </c>
      <c r="D169" s="5" t="str">
        <f>IFERROR(__xludf.DUMMYFUNCTION("""COMPUTED_VALUE"""),"https://cdn.exe.in.th/marketing/WarzTH_LE/Item%20Dict/night_vision_civilian.png")</f>
        <v>https://cdn.exe.in.th/marketing/WarzTH_LE/Item%20Dict/night_vision_civilian.png</v>
      </c>
      <c r="E169" s="3" t="str">
        <f>IFERROR(__xludf.DUMMYFUNCTION("""COMPUTED_VALUE"""),"Night vision civilian")</f>
        <v>Night vision civilian</v>
      </c>
      <c r="F169" s="2">
        <f>IFERROR(__xludf.DUMMYFUNCTION("""COMPUTED_VALUE"""),1.5)</f>
        <v>1.5</v>
      </c>
      <c r="G169" s="2" t="str">
        <f>IFERROR(__xludf.DUMMYFUNCTION("""COMPUTED_VALUE"""),"15 GC")</f>
        <v>15 GC</v>
      </c>
      <c r="H169" s="2" t="str">
        <f>IFERROR(__xludf.DUMMYFUNCTION("""COMPUTED_VALUE"""),"2,500 Dollars")</f>
        <v>2,500 Dollars</v>
      </c>
      <c r="I169" s="3" t="str">
        <f>IFERROR(__xludf.DUMMYFUNCTION("""COMPUTED_VALUE"""),"Equipment")</f>
        <v>Equipment</v>
      </c>
      <c r="J169" s="3" t="str">
        <f>IFERROR(__xludf.DUMMYFUNCTION("""COMPUTED_VALUE"""),"No")</f>
        <v>No</v>
      </c>
      <c r="K169" s="3"/>
      <c r="L169" s="3" t="str">
        <f>IFERROR(__xludf.DUMMYFUNCTION("""COMPUTED_VALUE"""),"sftp://graphic@103.41.58.141/marketing/WarzTH_LE/Item%20Dict/night_vision_civilian.png")</f>
        <v>sftp://graphic@103.41.58.141/marketing/WarzTH_LE/Item%20Dict/night_vision_civilian.png</v>
      </c>
      <c r="M169" s="3"/>
      <c r="N169" s="3" t="str">
        <f>IFERROR(__xludf.DUMMYFUNCTION("""COMPUTED_VALUE"""),"Night vision for everyone, these affordable goggles allow you to see at night while remaining hidden in the darkness")</f>
        <v>Night vision for everyone, these affordable goggles allow you to see at night while remaining hidden in the darkness</v>
      </c>
      <c r="O169" s="3"/>
    </row>
    <row r="170">
      <c r="A170" s="3" t="b">
        <f>IFERROR(__xludf.DUMMYFUNCTION("""COMPUTED_VALUE"""),TRUE)</f>
        <v>1</v>
      </c>
      <c r="B170" s="3" t="str">
        <f>IFERROR(__xludf.DUMMYFUNCTION("""COMPUTED_VALUE"""),"")</f>
        <v/>
      </c>
      <c r="C170" s="3">
        <f>IFERROR(__xludf.DUMMYFUNCTION("""COMPUTED_VALUE"""),20187.0)</f>
        <v>20187</v>
      </c>
      <c r="D170" s="5" t="str">
        <f>IFERROR(__xludf.DUMMYFUNCTION("""COMPUTED_VALUE"""),"https://cdn.exe.in.th/marketing/WarzTH_LE/Item%20Dict/night_vision_military.png")</f>
        <v>https://cdn.exe.in.th/marketing/WarzTH_LE/Item%20Dict/night_vision_military.png</v>
      </c>
      <c r="E170" s="3" t="str">
        <f>IFERROR(__xludf.DUMMYFUNCTION("""COMPUTED_VALUE"""),"Night vision military")</f>
        <v>Night vision military</v>
      </c>
      <c r="F170" s="2">
        <f>IFERROR(__xludf.DUMMYFUNCTION("""COMPUTED_VALUE"""),1.5)</f>
        <v>1.5</v>
      </c>
      <c r="G170" s="2" t="str">
        <f>IFERROR(__xludf.DUMMYFUNCTION("""COMPUTED_VALUE"""),"15 GC")</f>
        <v>15 GC</v>
      </c>
      <c r="H170" s="2" t="str">
        <f>IFERROR(__xludf.DUMMYFUNCTION("""COMPUTED_VALUE"""),"2,500 Dollars")</f>
        <v>2,500 Dollars</v>
      </c>
      <c r="I170" s="3" t="str">
        <f>IFERROR(__xludf.DUMMYFUNCTION("""COMPUTED_VALUE"""),"Equipment")</f>
        <v>Equipment</v>
      </c>
      <c r="J170" s="3" t="str">
        <f>IFERROR(__xludf.DUMMYFUNCTION("""COMPUTED_VALUE"""),"No")</f>
        <v>No</v>
      </c>
      <c r="K170" s="3"/>
      <c r="L170" s="3" t="str">
        <f>IFERROR(__xludf.DUMMYFUNCTION("""COMPUTED_VALUE"""),"sftp://graphic@103.41.58.141/marketing/WarzTH_LE/Item%20Dict/night_vision_military.png")</f>
        <v>sftp://graphic@103.41.58.141/marketing/WarzTH_LE/Item%20Dict/night_vision_military.png</v>
      </c>
      <c r="M170" s="3"/>
      <c r="N170" s="3" t="str">
        <f>IFERROR(__xludf.DUMMYFUNCTION("""COMPUTED_VALUE"""),"Otherwise known as NVD's. These enhance light allowing the user to see in almost total darkness")</f>
        <v>Otherwise known as NVD's. These enhance light allowing the user to see in almost total darkness</v>
      </c>
      <c r="O170" s="3"/>
    </row>
    <row r="171">
      <c r="A171" s="3" t="b">
        <f>IFERROR(__xludf.DUMMYFUNCTION("""COMPUTED_VALUE"""),TRUE)</f>
        <v>1</v>
      </c>
      <c r="B171" s="3" t="str">
        <f>IFERROR(__xludf.DUMMYFUNCTION("""COMPUTED_VALUE"""),"")</f>
        <v/>
      </c>
      <c r="C171" s="3">
        <f>IFERROR(__xludf.DUMMYFUNCTION("""COMPUTED_VALUE"""),400046.0)</f>
        <v>400046</v>
      </c>
      <c r="D171" s="5" t="str">
        <f>IFERROR(__xludf.DUMMYFUNCTION("""COMPUTED_VALUE"""),"https://cdn.exe.in.th/marketing/WarzTH_LE/Item%20Dict/p90_50.png")</f>
        <v>https://cdn.exe.in.th/marketing/WarzTH_LE/Item%20Dict/p90_50.png</v>
      </c>
      <c r="E171" s="3" t="str">
        <f>IFERROR(__xludf.DUMMYFUNCTION("""COMPUTED_VALUE"""),"P90 50 rounds")</f>
        <v>P90 50 rounds</v>
      </c>
      <c r="F171" s="2">
        <f>IFERROR(__xludf.DUMMYFUNCTION("""COMPUTED_VALUE"""),1.0)</f>
        <v>1</v>
      </c>
      <c r="G171" s="2" t="str">
        <f>IFERROR(__xludf.DUMMYFUNCTION("""COMPUTED_VALUE"""),"10 GC")</f>
        <v>10 GC</v>
      </c>
      <c r="H171" s="2" t="str">
        <f>IFERROR(__xludf.DUMMYFUNCTION("""COMPUTED_VALUE"""),"1,000 Dollars")</f>
        <v>1,000 Dollars</v>
      </c>
      <c r="I171" s="3" t="str">
        <f>IFERROR(__xludf.DUMMYFUNCTION("""COMPUTED_VALUE"""),"Ammo")</f>
        <v>Ammo</v>
      </c>
      <c r="J171" s="3" t="str">
        <f>IFERROR(__xludf.DUMMYFUNCTION("""COMPUTED_VALUE"""),"Yes")</f>
        <v>Yes</v>
      </c>
      <c r="K171" s="3"/>
      <c r="L171" s="3" t="str">
        <f>IFERROR(__xludf.DUMMYFUNCTION("""COMPUTED_VALUE"""),"sftp://graphic@103.41.58.141/marketing/WarzTH_LE/Item%20Dict/p90_50.png")</f>
        <v>sftp://graphic@103.41.58.141/marketing/WarzTH_LE/Item%20Dict/p90_50.png</v>
      </c>
      <c r="M171" s="3"/>
      <c r="N171" s="3" t="str">
        <f>IFERROR(__xludf.DUMMYFUNCTION("""COMPUTED_VALUE"""),"P90 Compact Assault rifle rounds. 50 round clip")</f>
        <v>P90 Compact Assault rifle rounds. 50 round clip</v>
      </c>
      <c r="O171" s="3"/>
    </row>
    <row r="172">
      <c r="A172" s="3" t="b">
        <f>IFERROR(__xludf.DUMMYFUNCTION("""COMPUTED_VALUE"""),TRUE)</f>
        <v>1</v>
      </c>
      <c r="B172" s="3" t="str">
        <f>IFERROR(__xludf.DUMMYFUNCTION("""COMPUTED_VALUE"""),"")</f>
        <v/>
      </c>
      <c r="C172" s="3">
        <f>IFERROR(__xludf.DUMMYFUNCTION("""COMPUTED_VALUE"""),101300.0)</f>
        <v>101300</v>
      </c>
      <c r="D172" s="5" t="str">
        <f>IFERROR(__xludf.DUMMYFUNCTION("""COMPUTED_VALUE"""),"https://cdn.exe.in.th/marketing/WarzTH_LE/Item%20Dict/pain_killers.png")</f>
        <v>https://cdn.exe.in.th/marketing/WarzTH_LE/Item%20Dict/pain_killers.png</v>
      </c>
      <c r="E172" s="3" t="str">
        <f>IFERROR(__xludf.DUMMYFUNCTION("""COMPUTED_VALUE"""),"Pain killers")</f>
        <v>Pain killers</v>
      </c>
      <c r="F172" s="2">
        <f>IFERROR(__xludf.DUMMYFUNCTION("""COMPUTED_VALUE"""),0.5)</f>
        <v>0.5</v>
      </c>
      <c r="G172" s="2" t="str">
        <f>IFERROR(__xludf.DUMMYFUNCTION("""COMPUTED_VALUE"""),"-")</f>
        <v>-</v>
      </c>
      <c r="H172" s="2" t="str">
        <f>IFERROR(__xludf.DUMMYFUNCTION("""COMPUTED_VALUE"""),"500 Dollars")</f>
        <v>500 Dollars</v>
      </c>
      <c r="I172" s="3" t="str">
        <f>IFERROR(__xludf.DUMMYFUNCTION("""COMPUTED_VALUE"""),"Consumable")</f>
        <v>Consumable</v>
      </c>
      <c r="J172" s="3" t="str">
        <f>IFERROR(__xludf.DUMMYFUNCTION("""COMPUTED_VALUE"""),"Yes")</f>
        <v>Yes</v>
      </c>
      <c r="K172" s="3"/>
      <c r="L172" s="3" t="str">
        <f>IFERROR(__xludf.DUMMYFUNCTION("""COMPUTED_VALUE"""),"sftp://graphic@103.41.58.141/marketing/WarzTH_LE/Item%20Dict/pain_killers.png")</f>
        <v>sftp://graphic@103.41.58.141/marketing/WarzTH_LE/Item%20Dict/pain_killers.png</v>
      </c>
      <c r="M172" s="3"/>
      <c r="N172" s="3" t="str">
        <f>IFERROR(__xludf.DUMMYFUNCTION("""COMPUTED_VALUE"""),"Over the counter pain killers that counter-act the effects of pain on the body.")</f>
        <v>Over the counter pain killers that counter-act the effects of pain on the body.</v>
      </c>
      <c r="O172" s="3"/>
    </row>
    <row r="173">
      <c r="A173" s="3" t="b">
        <f>IFERROR(__xludf.DUMMYFUNCTION("""COMPUTED_VALUE"""),TRUE)</f>
        <v>1</v>
      </c>
      <c r="B173" s="3" t="str">
        <f>IFERROR(__xludf.DUMMYFUNCTION("""COMPUTED_VALUE"""),"")</f>
        <v/>
      </c>
      <c r="C173" s="3">
        <f>IFERROR(__xludf.DUMMYFUNCTION("""COMPUTED_VALUE"""),101348.0)</f>
        <v>101348</v>
      </c>
      <c r="D173" s="5" t="str">
        <f>IFERROR(__xludf.DUMMYFUNCTION("""COMPUTED_VALUE"""),"https://cdn.exe.in.th/marketing/WarzTH_LE/Item%20Dict/personal_locker.png")</f>
        <v>https://cdn.exe.in.th/marketing/WarzTH_LE/Item%20Dict/personal_locker.png</v>
      </c>
      <c r="E173" s="3" t="str">
        <f>IFERROR(__xludf.DUMMYFUNCTION("""COMPUTED_VALUE"""),"Personal locker")</f>
        <v>Personal locker</v>
      </c>
      <c r="F173" s="2">
        <f>IFERROR(__xludf.DUMMYFUNCTION("""COMPUTED_VALUE"""),150.0)</f>
        <v>150</v>
      </c>
      <c r="G173" s="2" t="str">
        <f>IFERROR(__xludf.DUMMYFUNCTION("""COMPUTED_VALUE"""),"1,500 GC")</f>
        <v>1,500 GC</v>
      </c>
      <c r="H173" s="2" t="str">
        <f>IFERROR(__xludf.DUMMYFUNCTION("""COMPUTED_VALUE"""),"-")</f>
        <v>-</v>
      </c>
      <c r="I173" s="3" t="str">
        <f>IFERROR(__xludf.DUMMYFUNCTION("""COMPUTED_VALUE"""),"Consumable")</f>
        <v>Consumable</v>
      </c>
      <c r="J173" s="3" t="str">
        <f>IFERROR(__xludf.DUMMYFUNCTION("""COMPUTED_VALUE"""),"Yes")</f>
        <v>Yes</v>
      </c>
      <c r="K173" s="3"/>
      <c r="L173" s="3" t="str">
        <f>IFERROR(__xludf.DUMMYFUNCTION("""COMPUTED_VALUE"""),"sftp://graphic@103.41.58.141/marketing/WarzTH_LE/Item%20Dict/personal_locker.png")</f>
        <v>sftp://graphic@103.41.58.141/marketing/WarzTH_LE/Item%20Dict/personal_locker.png</v>
      </c>
      <c r="M173" s="3"/>
      <c r="N173" s="3" t="str">
        <f>IFERROR(__xludf.DUMMYFUNCTION("""COMPUTED_VALUE"""),"Placeable personal storage unit")</f>
        <v>Placeable personal storage unit</v>
      </c>
      <c r="O173" s="3"/>
    </row>
    <row r="174">
      <c r="A174" s="3" t="b">
        <f>IFERROR(__xludf.DUMMYFUNCTION("""COMPUTED_VALUE"""),TRUE)</f>
        <v>1</v>
      </c>
      <c r="B174" s="3" t="str">
        <f>IFERROR(__xludf.DUMMYFUNCTION("""COMPUTED_VALUE"""),"")</f>
        <v/>
      </c>
      <c r="C174" s="3">
        <f>IFERROR(__xludf.DUMMYFUNCTION("""COMPUTED_VALUE"""),101309.0)</f>
        <v>101309</v>
      </c>
      <c r="D174" s="5" t="str">
        <f>IFERROR(__xludf.DUMMYFUNCTION("""COMPUTED_VALUE"""),"https://cdn.exe.in.th/marketing/WarzTH_LE/Item%20Dict/pickaxe.png")</f>
        <v>https://cdn.exe.in.th/marketing/WarzTH_LE/Item%20Dict/pickaxe.png</v>
      </c>
      <c r="E174" s="3" t="str">
        <f>IFERROR(__xludf.DUMMYFUNCTION("""COMPUTED_VALUE"""),"Pickaxe")</f>
        <v>Pickaxe</v>
      </c>
      <c r="F174" s="2">
        <f>IFERROR(__xludf.DUMMYFUNCTION("""COMPUTED_VALUE"""),1.0)</f>
        <v>1</v>
      </c>
      <c r="G174" s="2" t="str">
        <f>IFERROR(__xludf.DUMMYFUNCTION("""COMPUTED_VALUE"""),"10 GC")</f>
        <v>10 GC</v>
      </c>
      <c r="H174" s="2" t="str">
        <f>IFERROR(__xludf.DUMMYFUNCTION("""COMPUTED_VALUE"""),"1,000 Dollars")</f>
        <v>1,000 Dollars</v>
      </c>
      <c r="I174" s="3" t="str">
        <f>IFERROR(__xludf.DUMMYFUNCTION("""COMPUTED_VALUE"""),"Weapon")</f>
        <v>Weapon</v>
      </c>
      <c r="J174" s="3" t="str">
        <f>IFERROR(__xludf.DUMMYFUNCTION("""COMPUTED_VALUE"""),"No")</f>
        <v>No</v>
      </c>
      <c r="K174" s="3"/>
      <c r="L174" s="3" t="str">
        <f>IFERROR(__xludf.DUMMYFUNCTION("""COMPUTED_VALUE"""),"sftp://graphic@103.41.58.141/marketing/WarzTH_LE/Item%20Dict/pickaxe.png")</f>
        <v>sftp://graphic@103.41.58.141/marketing/WarzTH_LE/Item%20Dict/pickaxe.png</v>
      </c>
      <c r="M174" s="3"/>
      <c r="N174" s="3" t="str">
        <f>IFERROR(__xludf.DUMMYFUNCTION("""COMPUTED_VALUE"""),"Spiked head, flat chisel. Has a good chance of getting stuck in the skull. Awkward to use in tight quarters.")</f>
        <v>Spiked head, flat chisel. Has a good chance of getting stuck in the skull. Awkward to use in tight quarters.</v>
      </c>
      <c r="O174" s="3"/>
    </row>
    <row r="175">
      <c r="A175" s="3" t="b">
        <f>IFERROR(__xludf.DUMMYFUNCTION("""COMPUTED_VALUE"""),TRUE)</f>
        <v>1</v>
      </c>
      <c r="B175" s="3" t="str">
        <f>IFERROR(__xludf.DUMMYFUNCTION("""COMPUTED_VALUE"""),"")</f>
        <v/>
      </c>
      <c r="C175" s="3">
        <f>IFERROR(__xludf.DUMMYFUNCTION("""COMPUTED_VALUE"""),400022.0)</f>
        <v>400022</v>
      </c>
      <c r="D175" s="5" t="str">
        <f>IFERROR(__xludf.DUMMYFUNCTION("""COMPUTED_VALUE"""),"https://cdn.exe.in.th/marketing/WarzTH_LE/Item%20Dict/pistol_flashlight.png")</f>
        <v>https://cdn.exe.in.th/marketing/WarzTH_LE/Item%20Dict/pistol_flashlight.png</v>
      </c>
      <c r="E175" s="3" t="str">
        <f>IFERROR(__xludf.DUMMYFUNCTION("""COMPUTED_VALUE"""),"Pistol Flashlight")</f>
        <v>Pistol Flashlight</v>
      </c>
      <c r="F175" s="2">
        <f>IFERROR(__xludf.DUMMYFUNCTION("""COMPUTED_VALUE"""),2.0)</f>
        <v>2</v>
      </c>
      <c r="G175" s="2" t="str">
        <f>IFERROR(__xludf.DUMMYFUNCTION("""COMPUTED_VALUE"""),"-")</f>
        <v>-</v>
      </c>
      <c r="H175" s="2" t="str">
        <f>IFERROR(__xludf.DUMMYFUNCTION("""COMPUTED_VALUE"""),"2,000 Dollars")</f>
        <v>2,000 Dollars</v>
      </c>
      <c r="I175" s="3" t="str">
        <f>IFERROR(__xludf.DUMMYFUNCTION("""COMPUTED_VALUE"""),"Attachment")</f>
        <v>Attachment</v>
      </c>
      <c r="J175" s="3" t="str">
        <f>IFERROR(__xludf.DUMMYFUNCTION("""COMPUTED_VALUE"""),"No")</f>
        <v>No</v>
      </c>
      <c r="K175" s="3"/>
      <c r="L175" s="3" t="str">
        <f>IFERROR(__xludf.DUMMYFUNCTION("""COMPUTED_VALUE"""),"sftp://graphic@103.41.58.141/marketing/WarzTH_LE/Item%20Dict/pistol_flashlight.png")</f>
        <v>sftp://graphic@103.41.58.141/marketing/WarzTH_LE/Item%20Dict/pistol_flashlight.png</v>
      </c>
      <c r="M175" s="3"/>
      <c r="N175" s="3" t="str">
        <f>IFERROR(__xludf.DUMMYFUNCTION("""COMPUTED_VALUE"""),"The Pistol Flashlight can be used to light dark areas and temporarily blind a shooters opponent.")</f>
        <v>The Pistol Flashlight can be used to light dark areas and temporarily blind a shooters opponent.</v>
      </c>
      <c r="O175" s="3"/>
    </row>
    <row r="176">
      <c r="A176" s="3" t="b">
        <f>IFERROR(__xludf.DUMMYFUNCTION("""COMPUTED_VALUE"""),TRUE)</f>
        <v>1</v>
      </c>
      <c r="B176" s="3" t="str">
        <f>IFERROR(__xludf.DUMMYFUNCTION("""COMPUTED_VALUE"""),"")</f>
        <v/>
      </c>
      <c r="C176" s="3">
        <f>IFERROR(__xludf.DUMMYFUNCTION("""COMPUTED_VALUE"""),400021.0)</f>
        <v>400021</v>
      </c>
      <c r="D176" s="5" t="str">
        <f>IFERROR(__xludf.DUMMYFUNCTION("""COMPUTED_VALUE"""),"https://cdn.exe.in.th/marketing/WarzTH_LE/Item%20Dict/pistol_laser.png")</f>
        <v>https://cdn.exe.in.th/marketing/WarzTH_LE/Item%20Dict/pistol_laser.png</v>
      </c>
      <c r="E176" s="3" t="str">
        <f>IFERROR(__xludf.DUMMYFUNCTION("""COMPUTED_VALUE"""),"Pistol laser")</f>
        <v>Pistol laser</v>
      </c>
      <c r="F176" s="2">
        <f>IFERROR(__xludf.DUMMYFUNCTION("""COMPUTED_VALUE"""),1.0)</f>
        <v>1</v>
      </c>
      <c r="G176" s="2" t="str">
        <f>IFERROR(__xludf.DUMMYFUNCTION("""COMPUTED_VALUE"""),"-")</f>
        <v>-</v>
      </c>
      <c r="H176" s="2" t="str">
        <f>IFERROR(__xludf.DUMMYFUNCTION("""COMPUTED_VALUE"""),"1,000 Dollars")</f>
        <v>1,000 Dollars</v>
      </c>
      <c r="I176" s="3" t="str">
        <f>IFERROR(__xludf.DUMMYFUNCTION("""COMPUTED_VALUE"""),"Attachment")</f>
        <v>Attachment</v>
      </c>
      <c r="J176" s="3" t="str">
        <f>IFERROR(__xludf.DUMMYFUNCTION("""COMPUTED_VALUE"""),"No")</f>
        <v>No</v>
      </c>
      <c r="K176" s="3"/>
      <c r="L176" s="3" t="str">
        <f>IFERROR(__xludf.DUMMYFUNCTION("""COMPUTED_VALUE"""),"sftp://graphic@103.41.58.141/marketing/WarzTH_LE/Item%20Dict/pistol_laser.png")</f>
        <v>sftp://graphic@103.41.58.141/marketing/WarzTH_LE/Item%20Dict/pistol_laser.png</v>
      </c>
      <c r="M176" s="3"/>
      <c r="N176" s="3" t="str">
        <f>IFERROR(__xludf.DUMMYFUNCTION("""COMPUTED_VALUE"""),"The Pistol Laser is mounted on the left side of a handgun and used to target the enemy with a laser light.")</f>
        <v>The Pistol Laser is mounted on the left side of a handgun and used to target the enemy with a laser light.</v>
      </c>
      <c r="O176" s="3"/>
    </row>
    <row r="177">
      <c r="A177" s="3" t="b">
        <f>IFERROR(__xludf.DUMMYFUNCTION("""COMPUTED_VALUE"""),TRUE)</f>
        <v>1</v>
      </c>
      <c r="B177" s="3" t="str">
        <f>IFERROR(__xludf.DUMMYFUNCTION("""COMPUTED_VALUE"""),"")</f>
        <v/>
      </c>
      <c r="C177" s="3">
        <f>IFERROR(__xludf.DUMMYFUNCTION("""COMPUTED_VALUE"""),400156.0)</f>
        <v>400156</v>
      </c>
      <c r="D177" s="5" t="str">
        <f>IFERROR(__xludf.DUMMYFUNCTION("""COMPUTED_VALUE"""),"https://cdn.exe.in.th/marketing/WarzTH_LE/Item%20Dict/pistol_silencer.png")</f>
        <v>https://cdn.exe.in.th/marketing/WarzTH_LE/Item%20Dict/pistol_silencer.png</v>
      </c>
      <c r="E177" s="3" t="str">
        <f>IFERROR(__xludf.DUMMYFUNCTION("""COMPUTED_VALUE"""),"Pistol Silencer")</f>
        <v>Pistol Silencer</v>
      </c>
      <c r="F177" s="2" t="str">
        <f>IFERROR(__xludf.DUMMYFUNCTION("""COMPUTED_VALUE"""),"-")</f>
        <v>-</v>
      </c>
      <c r="G177" s="2" t="str">
        <f>IFERROR(__xludf.DUMMYFUNCTION("""COMPUTED_VALUE"""),"-")</f>
        <v>-</v>
      </c>
      <c r="H177" s="2" t="str">
        <f>IFERROR(__xludf.DUMMYFUNCTION("""COMPUTED_VALUE"""),"-")</f>
        <v>-</v>
      </c>
      <c r="I177" s="3" t="str">
        <f>IFERROR(__xludf.DUMMYFUNCTION("""COMPUTED_VALUE"""),"Attachment")</f>
        <v>Attachment</v>
      </c>
      <c r="J177" s="3" t="str">
        <f>IFERROR(__xludf.DUMMYFUNCTION("""COMPUTED_VALUE"""),"No")</f>
        <v>No</v>
      </c>
      <c r="K177" s="3"/>
      <c r="L177" s="3" t="str">
        <f>IFERROR(__xludf.DUMMYFUNCTION("""COMPUTED_VALUE"""),"sftp://graphic@103.41.58.141/marketing/WarzTH_LE/Item%20Dict/pistol_silencer.png")</f>
        <v>sftp://graphic@103.41.58.141/marketing/WarzTH_LE/Item%20Dict/pistol_silencer.png</v>
      </c>
      <c r="M177" s="3"/>
      <c r="N177" s="3" t="str">
        <f>IFERROR(__xludf.DUMMYFUNCTION("""COMPUTED_VALUE"""),"Lowers the sound of pistols being fired")</f>
        <v>Lowers the sound of pistols being fired</v>
      </c>
      <c r="O177" s="3"/>
    </row>
    <row r="178">
      <c r="A178" s="3" t="b">
        <f>IFERROR(__xludf.DUMMYFUNCTION("""COMPUTED_VALUE"""),TRUE)</f>
        <v>1</v>
      </c>
      <c r="B178" s="3" t="str">
        <f>IFERROR(__xludf.DUMMYFUNCTION("""COMPUTED_VALUE"""),"")</f>
        <v/>
      </c>
      <c r="C178" s="3">
        <f>IFERROR(__xludf.DUMMYFUNCTION("""COMPUTED_VALUE"""),101388.0)</f>
        <v>101388</v>
      </c>
      <c r="D178" s="5" t="str">
        <f>IFERROR(__xludf.DUMMYFUNCTION("""COMPUTED_VALUE"""),"https://cdn.exe.in.th/marketing/WarzTH_LE/Item%20Dict/pitchfork.png")</f>
        <v>https://cdn.exe.in.th/marketing/WarzTH_LE/Item%20Dict/pitchfork.png</v>
      </c>
      <c r="E178" s="6" t="str">
        <f>IFERROR(__xludf.DUMMYFUNCTION("""COMPUTED_VALUE"""),"Pitchfork")</f>
        <v>Pitchfork</v>
      </c>
      <c r="F178" s="2">
        <f>IFERROR(__xludf.DUMMYFUNCTION("""COMPUTED_VALUE"""),1.5)</f>
        <v>1.5</v>
      </c>
      <c r="G178" s="2" t="str">
        <f>IFERROR(__xludf.DUMMYFUNCTION("""COMPUTED_VALUE"""),"15 GC")</f>
        <v>15 GC</v>
      </c>
      <c r="H178" s="2" t="str">
        <f>IFERROR(__xludf.DUMMYFUNCTION("""COMPUTED_VALUE"""),"1,500 Dollars")</f>
        <v>1,500 Dollars</v>
      </c>
      <c r="I178" s="3" t="str">
        <f>IFERROR(__xludf.DUMMYFUNCTION("""COMPUTED_VALUE"""),"Weapon")</f>
        <v>Weapon</v>
      </c>
      <c r="J178" s="3" t="str">
        <f>IFERROR(__xludf.DUMMYFUNCTION("""COMPUTED_VALUE"""),"No")</f>
        <v>No</v>
      </c>
      <c r="K178" s="3"/>
      <c r="L178" s="3" t="str">
        <f>IFERROR(__xludf.DUMMYFUNCTION("""COMPUTED_VALUE"""),"sftp://graphic@103.41.58.141/marketing/WarzTH_LE/Item%20Dict/pitchfork.png")</f>
        <v>sftp://graphic@103.41.58.141/marketing/WarzTH_LE/Item%20Dict/pitchfork.png</v>
      </c>
      <c r="M178" s="3"/>
      <c r="N178" s="3" t="str">
        <f>IFERROR(__xludf.DUMMYFUNCTION("""COMPUTED_VALUE"""),"Designed to move hay economically, its intimidating design suits it well to sticking some undead")</f>
        <v>Designed to move hay economically, its intimidating design suits it well to sticking some undead</v>
      </c>
      <c r="O178" s="3"/>
    </row>
    <row r="179">
      <c r="A179" s="3" t="b">
        <f>IFERROR(__xludf.DUMMYFUNCTION("""COMPUTED_VALUE"""),TRUE)</f>
        <v>1</v>
      </c>
      <c r="B179" s="3" t="str">
        <f>IFERROR(__xludf.DUMMYFUNCTION("""COMPUTED_VALUE"""),"")</f>
        <v/>
      </c>
      <c r="C179" s="3">
        <f>IFERROR(__xludf.DUMMYFUNCTION("""COMPUTED_VALUE"""),101389.0)</f>
        <v>101389</v>
      </c>
      <c r="D179" s="5" t="str">
        <f>IFERROR(__xludf.DUMMYFUNCTION("""COMPUTED_VALUE"""),"https://cdn.exe.in.th/marketing/WarzTH_LE/Item%20Dict/police_baton.png")</f>
        <v>https://cdn.exe.in.th/marketing/WarzTH_LE/Item%20Dict/police_baton.png</v>
      </c>
      <c r="E179" s="6" t="str">
        <f>IFERROR(__xludf.DUMMYFUNCTION("""COMPUTED_VALUE"""),"Police Baton")</f>
        <v>Police Baton</v>
      </c>
      <c r="F179" s="2">
        <f>IFERROR(__xludf.DUMMYFUNCTION("""COMPUTED_VALUE"""),1.5)</f>
        <v>1.5</v>
      </c>
      <c r="G179" s="2" t="str">
        <f>IFERROR(__xludf.DUMMYFUNCTION("""COMPUTED_VALUE"""),"15 GC")</f>
        <v>15 GC</v>
      </c>
      <c r="H179" s="2" t="str">
        <f>IFERROR(__xludf.DUMMYFUNCTION("""COMPUTED_VALUE"""),"1,500 Dollars")</f>
        <v>1,500 Dollars</v>
      </c>
      <c r="I179" s="3" t="str">
        <f>IFERROR(__xludf.DUMMYFUNCTION("""COMPUTED_VALUE"""),"Weapon")</f>
        <v>Weapon</v>
      </c>
      <c r="J179" s="3" t="str">
        <f>IFERROR(__xludf.DUMMYFUNCTION("""COMPUTED_VALUE"""),"No")</f>
        <v>No</v>
      </c>
      <c r="K179" s="3"/>
      <c r="L179" s="3" t="str">
        <f>IFERROR(__xludf.DUMMYFUNCTION("""COMPUTED_VALUE"""),"sftp://graphic@103.41.58.141/marketing/WarzTH_LE/Item%20Dict/police_baton.png")</f>
        <v>sftp://graphic@103.41.58.141/marketing/WarzTH_LE/Item%20Dict/police_baton.png</v>
      </c>
      <c r="M179" s="3"/>
      <c r="N179" s="3" t="str">
        <f>IFERROR(__xludf.DUMMYFUNCTION("""COMPUTED_VALUE"""),"Used by law enforcement as an aid in hand to hand combat, often to subdue unruly or resistant suspects")</f>
        <v>Used by law enforcement as an aid in hand to hand combat, often to subdue unruly or resistant suspects</v>
      </c>
      <c r="O179" s="3"/>
    </row>
    <row r="180">
      <c r="A180" s="3" t="b">
        <f>IFERROR(__xludf.DUMMYFUNCTION("""COMPUTED_VALUE"""),TRUE)</f>
        <v>1</v>
      </c>
      <c r="B180" s="3" t="str">
        <f>IFERROR(__xludf.DUMMYFUNCTION("""COMPUTED_VALUE"""),"")</f>
        <v/>
      </c>
      <c r="C180" s="3">
        <f>IFERROR(__xludf.DUMMYFUNCTION("""COMPUTED_VALUE"""),101390.0)</f>
        <v>101390</v>
      </c>
      <c r="D180" s="5" t="str">
        <f>IFERROR(__xludf.DUMMYFUNCTION("""COMPUTED_VALUE"""),"https://cdn.exe.in.th/marketing/WarzTH_LE/Item%20Dict/power_drill.png")</f>
        <v>https://cdn.exe.in.th/marketing/WarzTH_LE/Item%20Dict/power_drill.png</v>
      </c>
      <c r="E180" s="6" t="str">
        <f>IFERROR(__xludf.DUMMYFUNCTION("""COMPUTED_VALUE"""),"Power Drill")</f>
        <v>Power Drill</v>
      </c>
      <c r="F180" s="2">
        <f>IFERROR(__xludf.DUMMYFUNCTION("""COMPUTED_VALUE"""),1.5)</f>
        <v>1.5</v>
      </c>
      <c r="G180" s="2" t="str">
        <f>IFERROR(__xludf.DUMMYFUNCTION("""COMPUTED_VALUE"""),"15 GC")</f>
        <v>15 GC</v>
      </c>
      <c r="H180" s="2" t="str">
        <f>IFERROR(__xludf.DUMMYFUNCTION("""COMPUTED_VALUE"""),"1,500 Dollars")</f>
        <v>1,500 Dollars</v>
      </c>
      <c r="I180" s="3" t="str">
        <f>IFERROR(__xludf.DUMMYFUNCTION("""COMPUTED_VALUE"""),"Weapon")</f>
        <v>Weapon</v>
      </c>
      <c r="J180" s="3" t="str">
        <f>IFERROR(__xludf.DUMMYFUNCTION("""COMPUTED_VALUE"""),"No")</f>
        <v>No</v>
      </c>
      <c r="K180" s="3"/>
      <c r="L180" s="3" t="str">
        <f>IFERROR(__xludf.DUMMYFUNCTION("""COMPUTED_VALUE"""),"sftp://graphic@103.41.58.141/marketing/WarzTH_LE/Item%20Dict/power_drill.png")</f>
        <v>sftp://graphic@103.41.58.141/marketing/WarzTH_LE/Item%20Dict/power_drill.png</v>
      </c>
      <c r="M180" s="3"/>
      <c r="N180" s="3" t="str">
        <f>IFERROR(__xludf.DUMMYFUNCTION("""COMPUTED_VALUE"""),"Battery powered and unconventional, the drill is quite effective at dispatching enemies in the grisliest way")</f>
        <v>Battery powered and unconventional, the drill is quite effective at dispatching enemies in the grisliest way</v>
      </c>
      <c r="O180" s="3"/>
    </row>
    <row r="181">
      <c r="A181" s="3" t="b">
        <f>IFERROR(__xludf.DUMMYFUNCTION("""COMPUTED_VALUE"""),TRUE)</f>
        <v>1</v>
      </c>
      <c r="B181" s="3" t="str">
        <f>IFERROR(__xludf.DUMMYFUNCTION("""COMPUTED_VALUE"""),"")</f>
        <v/>
      </c>
      <c r="C181" s="3">
        <f>IFERROR(__xludf.DUMMYFUNCTION("""COMPUTED_VALUE"""),301259.0)</f>
        <v>301259</v>
      </c>
      <c r="D181" s="5" t="str">
        <f>IFERROR(__xludf.DUMMYFUNCTION("""COMPUTED_VALUE"""),"https://cdn.exe.in.th/marketing/WarzTH_LE/Item%20Dict/15Days.png")</f>
        <v>https://cdn.exe.in.th/marketing/WarzTH_LE/Item%20Dict/15Days.png</v>
      </c>
      <c r="E181" s="7" t="str">
        <f>IFERROR(__xludf.DUMMYFUNCTION("""COMPUTED_VALUE"""),"Premium - 15 Days")</f>
        <v>Premium - 15 Days</v>
      </c>
      <c r="F181" s="2">
        <f>IFERROR(__xludf.DUMMYFUNCTION("""COMPUTED_VALUE"""),300.0)</f>
        <v>300</v>
      </c>
      <c r="G181" s="2" t="str">
        <f>IFERROR(__xludf.DUMMYFUNCTION("""COMPUTED_VALUE"""),"-")</f>
        <v>-</v>
      </c>
      <c r="H181" s="2" t="str">
        <f>IFERROR(__xludf.DUMMYFUNCTION("""COMPUTED_VALUE"""),"-")</f>
        <v>-</v>
      </c>
      <c r="I181" s="3" t="str">
        <f>IFERROR(__xludf.DUMMYFUNCTION("""COMPUTED_VALUE"""),"Consumable")</f>
        <v>Consumable</v>
      </c>
      <c r="J181" s="3" t="str">
        <f>IFERROR(__xludf.DUMMYFUNCTION("""COMPUTED_VALUE"""),"Yes")</f>
        <v>Yes</v>
      </c>
      <c r="K181" s="3"/>
      <c r="L181" s="3" t="str">
        <f>IFERROR(__xludf.DUMMYFUNCTION("""COMPUTED_VALUE"""),"sftp://graphic@103.41.58.141/marketing/WarzTH_LE/Item%20Dict/15Days.png")</f>
        <v>sftp://graphic@103.41.58.141/marketing/WarzTH_LE/Item%20Dict/15Days.png</v>
      </c>
      <c r="M181" s="3"/>
      <c r="N181" s="3"/>
      <c r="O181" s="3"/>
    </row>
    <row r="182">
      <c r="A182" s="3" t="b">
        <f>IFERROR(__xludf.DUMMYFUNCTION("""COMPUTED_VALUE"""),TRUE)</f>
        <v>1</v>
      </c>
      <c r="B182" s="3" t="str">
        <f>IFERROR(__xludf.DUMMYFUNCTION("""COMPUTED_VALUE"""),"")</f>
        <v/>
      </c>
      <c r="C182" s="3">
        <f>IFERROR(__xludf.DUMMYFUNCTION("""COMPUTED_VALUE"""),301255.0)</f>
        <v>301255</v>
      </c>
      <c r="D182" s="5" t="str">
        <f>IFERROR(__xludf.DUMMYFUNCTION("""COMPUTED_VALUE"""),"https://cdn.exe.in.th/marketing/WarzTH_LE/Item%20Dict/1Days.png")</f>
        <v>https://cdn.exe.in.th/marketing/WarzTH_LE/Item%20Dict/1Days.png</v>
      </c>
      <c r="E182" s="7" t="str">
        <f>IFERROR(__xludf.DUMMYFUNCTION("""COMPUTED_VALUE"""),"Premium - 1 Days")</f>
        <v>Premium - 1 Days</v>
      </c>
      <c r="F182" s="2">
        <f>IFERROR(__xludf.DUMMYFUNCTION("""COMPUTED_VALUE"""),20.0)</f>
        <v>20</v>
      </c>
      <c r="G182" s="2" t="str">
        <f>IFERROR(__xludf.DUMMYFUNCTION("""COMPUTED_VALUE"""),"-")</f>
        <v>-</v>
      </c>
      <c r="H182" s="2" t="str">
        <f>IFERROR(__xludf.DUMMYFUNCTION("""COMPUTED_VALUE"""),"-")</f>
        <v>-</v>
      </c>
      <c r="I182" s="3" t="str">
        <f>IFERROR(__xludf.DUMMYFUNCTION("""COMPUTED_VALUE"""),"Consumable")</f>
        <v>Consumable</v>
      </c>
      <c r="J182" s="3" t="str">
        <f>IFERROR(__xludf.DUMMYFUNCTION("""COMPUTED_VALUE"""),"Yes")</f>
        <v>Yes</v>
      </c>
      <c r="K182" s="3"/>
      <c r="L182" s="3" t="str">
        <f>IFERROR(__xludf.DUMMYFUNCTION("""COMPUTED_VALUE"""),"sftp://graphic@103.41.58.141/marketing/WarzTH_LE/Item%20Dict/1Days.png")</f>
        <v>sftp://graphic@103.41.58.141/marketing/WarzTH_LE/Item%20Dict/1Days.png</v>
      </c>
      <c r="M182" s="3"/>
      <c r="N182" s="3"/>
      <c r="O182" s="3"/>
    </row>
    <row r="183">
      <c r="A183" s="3" t="b">
        <f>IFERROR(__xludf.DUMMYFUNCTION("""COMPUTED_VALUE"""),TRUE)</f>
        <v>1</v>
      </c>
      <c r="B183" s="3" t="str">
        <f>IFERROR(__xludf.DUMMYFUNCTION("""COMPUTED_VALUE"""),"")</f>
        <v/>
      </c>
      <c r="C183" s="3">
        <f>IFERROR(__xludf.DUMMYFUNCTION("""COMPUTED_VALUE"""),301260.0)</f>
        <v>301260</v>
      </c>
      <c r="D183" s="5" t="str">
        <f>IFERROR(__xludf.DUMMYFUNCTION("""COMPUTED_VALUE"""),"https://cdn.exe.in.th/marketing/WarzTH_LE/Item%20Dict/30Days.png")</f>
        <v>https://cdn.exe.in.th/marketing/WarzTH_LE/Item%20Dict/30Days.png</v>
      </c>
      <c r="E183" s="7" t="str">
        <f>IFERROR(__xludf.DUMMYFUNCTION("""COMPUTED_VALUE"""),"Premium - 30 Days")</f>
        <v>Premium - 30 Days</v>
      </c>
      <c r="F183" s="2">
        <f>IFERROR(__xludf.DUMMYFUNCTION("""COMPUTED_VALUE"""),600.0)</f>
        <v>600</v>
      </c>
      <c r="G183" s="2" t="str">
        <f>IFERROR(__xludf.DUMMYFUNCTION("""COMPUTED_VALUE"""),"-")</f>
        <v>-</v>
      </c>
      <c r="H183" s="2" t="str">
        <f>IFERROR(__xludf.DUMMYFUNCTION("""COMPUTED_VALUE"""),"-")</f>
        <v>-</v>
      </c>
      <c r="I183" s="3" t="str">
        <f>IFERROR(__xludf.DUMMYFUNCTION("""COMPUTED_VALUE"""),"Consumable")</f>
        <v>Consumable</v>
      </c>
      <c r="J183" s="3" t="str">
        <f>IFERROR(__xludf.DUMMYFUNCTION("""COMPUTED_VALUE"""),"Yes")</f>
        <v>Yes</v>
      </c>
      <c r="K183" s="3"/>
      <c r="L183" s="3" t="str">
        <f>IFERROR(__xludf.DUMMYFUNCTION("""COMPUTED_VALUE"""),"sftp://graphic@103.41.58.141/marketing/WarzTH_LE/Item%20Dict/30Days.png")</f>
        <v>sftp://graphic@103.41.58.141/marketing/WarzTH_LE/Item%20Dict/30Days.png</v>
      </c>
      <c r="M183" s="3"/>
      <c r="N183" s="3"/>
      <c r="O183" s="3"/>
    </row>
    <row r="184">
      <c r="A184" s="3" t="b">
        <f>IFERROR(__xludf.DUMMYFUNCTION("""COMPUTED_VALUE"""),TRUE)</f>
        <v>1</v>
      </c>
      <c r="B184" s="3" t="str">
        <f>IFERROR(__xludf.DUMMYFUNCTION("""COMPUTED_VALUE"""),"")</f>
        <v/>
      </c>
      <c r="C184" s="3">
        <f>IFERROR(__xludf.DUMMYFUNCTION("""COMPUTED_VALUE"""),301256.0)</f>
        <v>301256</v>
      </c>
      <c r="D184" s="5" t="str">
        <f>IFERROR(__xludf.DUMMYFUNCTION("""COMPUTED_VALUE"""),"https://cdn.exe.in.th/marketing/WarzTH_LE/Item%20Dict/3Days.png")</f>
        <v>https://cdn.exe.in.th/marketing/WarzTH_LE/Item%20Dict/3Days.png</v>
      </c>
      <c r="E184" s="7" t="str">
        <f>IFERROR(__xludf.DUMMYFUNCTION("""COMPUTED_VALUE"""),"Premium - 3 Days")</f>
        <v>Premium - 3 Days</v>
      </c>
      <c r="F184" s="2">
        <f>IFERROR(__xludf.DUMMYFUNCTION("""COMPUTED_VALUE"""),60.0)</f>
        <v>60</v>
      </c>
      <c r="G184" s="2" t="str">
        <f>IFERROR(__xludf.DUMMYFUNCTION("""COMPUTED_VALUE"""),"-")</f>
        <v>-</v>
      </c>
      <c r="H184" s="2" t="str">
        <f>IFERROR(__xludf.DUMMYFUNCTION("""COMPUTED_VALUE"""),"-")</f>
        <v>-</v>
      </c>
      <c r="I184" s="3" t="str">
        <f>IFERROR(__xludf.DUMMYFUNCTION("""COMPUTED_VALUE"""),"Consumable")</f>
        <v>Consumable</v>
      </c>
      <c r="J184" s="3" t="str">
        <f>IFERROR(__xludf.DUMMYFUNCTION("""COMPUTED_VALUE"""),"Yes")</f>
        <v>Yes</v>
      </c>
      <c r="K184" s="3"/>
      <c r="L184" s="3" t="str">
        <f>IFERROR(__xludf.DUMMYFUNCTION("""COMPUTED_VALUE"""),"sftp://graphic@103.41.58.141/marketing/WarzTH_LE/Item%20Dict/3Days.png")</f>
        <v>sftp://graphic@103.41.58.141/marketing/WarzTH_LE/Item%20Dict/3Days.png</v>
      </c>
      <c r="M184" s="3"/>
      <c r="N184" s="3"/>
      <c r="O184" s="3"/>
    </row>
    <row r="185">
      <c r="A185" s="3" t="b">
        <f>IFERROR(__xludf.DUMMYFUNCTION("""COMPUTED_VALUE"""),TRUE)</f>
        <v>1</v>
      </c>
      <c r="B185" s="3" t="str">
        <f>IFERROR(__xludf.DUMMYFUNCTION("""COMPUTED_VALUE"""),"")</f>
        <v/>
      </c>
      <c r="C185" s="3">
        <f>IFERROR(__xludf.DUMMYFUNCTION("""COMPUTED_VALUE"""),301257.0)</f>
        <v>301257</v>
      </c>
      <c r="D185" s="5" t="str">
        <f>IFERROR(__xludf.DUMMYFUNCTION("""COMPUTED_VALUE"""),"https://cdn.exe.in.th/marketing/WarzTH_LE/Item%20Dict/7Days.png")</f>
        <v>https://cdn.exe.in.th/marketing/WarzTH_LE/Item%20Dict/7Days.png</v>
      </c>
      <c r="E185" s="7" t="str">
        <f>IFERROR(__xludf.DUMMYFUNCTION("""COMPUTED_VALUE"""),"Premium - 7 Days")</f>
        <v>Premium - 7 Days</v>
      </c>
      <c r="F185" s="2">
        <f>IFERROR(__xludf.DUMMYFUNCTION("""COMPUTED_VALUE"""),140.0)</f>
        <v>140</v>
      </c>
      <c r="G185" s="2" t="str">
        <f>IFERROR(__xludf.DUMMYFUNCTION("""COMPUTED_VALUE"""),"-")</f>
        <v>-</v>
      </c>
      <c r="H185" s="2" t="str">
        <f>IFERROR(__xludf.DUMMYFUNCTION("""COMPUTED_VALUE"""),"-")</f>
        <v>-</v>
      </c>
      <c r="I185" s="3" t="str">
        <f>IFERROR(__xludf.DUMMYFUNCTION("""COMPUTED_VALUE"""),"Consumable")</f>
        <v>Consumable</v>
      </c>
      <c r="J185" s="3" t="str">
        <f>IFERROR(__xludf.DUMMYFUNCTION("""COMPUTED_VALUE"""),"Yes")</f>
        <v>Yes</v>
      </c>
      <c r="K185" s="3"/>
      <c r="L185" s="3" t="str">
        <f>IFERROR(__xludf.DUMMYFUNCTION("""COMPUTED_VALUE"""),"sftp://graphic@103.41.58.141/marketing/WarzTH_LE/Item%20Dict/7Days.png")</f>
        <v>sftp://graphic@103.41.58.141/marketing/WarzTH_LE/Item%20Dict/7Days.png</v>
      </c>
      <c r="M185" s="3"/>
      <c r="N185" s="3"/>
      <c r="O185" s="3"/>
    </row>
    <row r="186">
      <c r="A186" s="3" t="b">
        <f>IFERROR(__xludf.DUMMYFUNCTION("""COMPUTED_VALUE"""),TRUE)</f>
        <v>1</v>
      </c>
      <c r="B186" s="3" t="str">
        <f>IFERROR(__xludf.DUMMYFUNCTION("""COMPUTED_VALUE"""),"")</f>
        <v/>
      </c>
      <c r="C186" s="3">
        <f>IFERROR(__xludf.DUMMYFUNCTION("""COMPUTED_VALUE"""),400027.0)</f>
        <v>400027</v>
      </c>
      <c r="D186" s="5" t="str">
        <f>IFERROR(__xludf.DUMMYFUNCTION("""COMPUTED_VALUE"""),"https://cdn.exe.in.th/marketing/WarzTH_LE/Item%20Dict/pso_1.png")</f>
        <v>https://cdn.exe.in.th/marketing/WarzTH_LE/Item%20Dict/pso_1.png</v>
      </c>
      <c r="E186" s="3" t="str">
        <f>IFERROR(__xludf.DUMMYFUNCTION("""COMPUTED_VALUE"""),"PSO-1")</f>
        <v>PSO-1</v>
      </c>
      <c r="F186" s="2" t="str">
        <f>IFERROR(__xludf.DUMMYFUNCTION("""COMPUTED_VALUE"""),"-")</f>
        <v>-</v>
      </c>
      <c r="G186" s="2" t="str">
        <f>IFERROR(__xludf.DUMMYFUNCTION("""COMPUTED_VALUE"""),"-")</f>
        <v>-</v>
      </c>
      <c r="H186" s="2" t="str">
        <f>IFERROR(__xludf.DUMMYFUNCTION("""COMPUTED_VALUE"""),"-")</f>
        <v>-</v>
      </c>
      <c r="I186" s="3" t="str">
        <f>IFERROR(__xludf.DUMMYFUNCTION("""COMPUTED_VALUE"""),"Attachment")</f>
        <v>Attachment</v>
      </c>
      <c r="J186" s="3" t="str">
        <f>IFERROR(__xludf.DUMMYFUNCTION("""COMPUTED_VALUE"""),"No")</f>
        <v>No</v>
      </c>
      <c r="K186" s="3"/>
      <c r="L186" s="3" t="str">
        <f>IFERROR(__xludf.DUMMYFUNCTION("""COMPUTED_VALUE"""),"sftp://graphic@103.41.58.141/marketing/WarzTH_LE/Item%20Dict/pso_1.png")</f>
        <v>sftp://graphic@103.41.58.141/marketing/WarzTH_LE/Item%20Dict/pso_1.png</v>
      </c>
      <c r="M186" s="3"/>
      <c r="N186" s="3" t="str">
        <f>IFERROR(__xludf.DUMMYFUNCTION("""COMPUTED_VALUE"""),"The PSO1 is a rail mounted telescopic sight used to extend a shooters accuracy on medium to long range shots.")</f>
        <v>The PSO1 is a rail mounted telescopic sight used to extend a shooters accuracy on medium to long range shots.</v>
      </c>
      <c r="O186" s="3"/>
    </row>
    <row r="187">
      <c r="A187" s="3" t="b">
        <f>IFERROR(__xludf.DUMMYFUNCTION("""COMPUTED_VALUE"""),TRUE)</f>
        <v>1</v>
      </c>
      <c r="B187" s="3" t="str">
        <f>IFERROR(__xludf.DUMMYFUNCTION("""COMPUTED_VALUE"""),"")</f>
        <v/>
      </c>
      <c r="C187" s="3">
        <f>IFERROR(__xludf.DUMMYFUNCTION("""COMPUTED_VALUE"""),101197.0)</f>
        <v>101197</v>
      </c>
      <c r="D187" s="5" t="str">
        <f>IFERROR(__xludf.DUMMYFUNCTION("""COMPUTED_VALUE"""),"https://cdn.exe.in.th/marketing/WarzTH_LE/Item%20Dict/ra_h23.png")</f>
        <v>https://cdn.exe.in.th/marketing/WarzTH_LE/Item%20Dict/ra_h23.png</v>
      </c>
      <c r="E187" s="3" t="str">
        <f>IFERROR(__xludf.DUMMYFUNCTION("""COMPUTED_VALUE"""),"RA H23")</f>
        <v>RA H23</v>
      </c>
      <c r="F187" s="2">
        <f>IFERROR(__xludf.DUMMYFUNCTION("""COMPUTED_VALUE"""),10.0)</f>
        <v>10</v>
      </c>
      <c r="G187" s="2" t="str">
        <f>IFERROR(__xludf.DUMMYFUNCTION("""COMPUTED_VALUE"""),"-")</f>
        <v>-</v>
      </c>
      <c r="H187" s="2" t="str">
        <f>IFERROR(__xludf.DUMMYFUNCTION("""COMPUTED_VALUE"""),"-")</f>
        <v>-</v>
      </c>
      <c r="I187" s="3" t="str">
        <f>IFERROR(__xludf.DUMMYFUNCTION("""COMPUTED_VALUE"""),"Weapon")</f>
        <v>Weapon</v>
      </c>
      <c r="J187" s="3" t="str">
        <f>IFERROR(__xludf.DUMMYFUNCTION("""COMPUTED_VALUE"""),"No")</f>
        <v>No</v>
      </c>
      <c r="K187" s="3" t="str">
        <f>IFERROR(__xludf.DUMMYFUNCTION("""COMPUTED_VALUE"""),"C")</f>
        <v>C</v>
      </c>
      <c r="L187" s="3" t="str">
        <f>IFERROR(__xludf.DUMMYFUNCTION("""COMPUTED_VALUE"""),"sftp://graphic@103.41.58.141/marketing/WarzTH_LE/Item%20Dict/ra_h23.png")</f>
        <v>sftp://graphic@103.41.58.141/marketing/WarzTH_LE/Item%20Dict/ra_h23.png</v>
      </c>
      <c r="M187" s="3"/>
      <c r="N187" s="3" t="str">
        <f>IFERROR(__xludf.DUMMYFUNCTION("""COMPUTED_VALUE"""),"The RA LMG36 was designed to fire a 7.62 mm standard round. This machine gun delivers a reasonable amount of accurate fire onto targets at medium ranges.")</f>
        <v>The RA LMG36 was designed to fire a 7.62 mm standard round. This machine gun delivers a reasonable amount of accurate fire onto targets at medium ranges.</v>
      </c>
      <c r="O187" s="3"/>
    </row>
    <row r="188">
      <c r="A188" s="3" t="b">
        <f>IFERROR(__xludf.DUMMYFUNCTION("""COMPUTED_VALUE"""),TRUE)</f>
        <v>1</v>
      </c>
      <c r="B188" s="3" t="str">
        <f>IFERROR(__xludf.DUMMYFUNCTION("""COMPUTED_VALUE"""),"")</f>
        <v/>
      </c>
      <c r="C188" s="3">
        <f>IFERROR(__xludf.DUMMYFUNCTION("""COMPUTED_VALUE"""),101319.0)</f>
        <v>101319</v>
      </c>
      <c r="D188" s="5" t="str">
        <f>IFERROR(__xludf.DUMMYFUNCTION("""COMPUTED_VALUE"""),"https://cdn.exe.in.th/marketing/WarzTH_LE/Item%20Dict/range_finder.png")</f>
        <v>https://cdn.exe.in.th/marketing/WarzTH_LE/Item%20Dict/range_finder.png</v>
      </c>
      <c r="E188" s="3" t="str">
        <f>IFERROR(__xludf.DUMMYFUNCTION("""COMPUTED_VALUE"""),"Range Finder")</f>
        <v>Range Finder</v>
      </c>
      <c r="F188" s="2">
        <f>IFERROR(__xludf.DUMMYFUNCTION("""COMPUTED_VALUE"""),5.0)</f>
        <v>5</v>
      </c>
      <c r="G188" s="2" t="str">
        <f>IFERROR(__xludf.DUMMYFUNCTION("""COMPUTED_VALUE"""),"50 GC")</f>
        <v>50 GC</v>
      </c>
      <c r="H188" s="2" t="str">
        <f>IFERROR(__xludf.DUMMYFUNCTION("""COMPUTED_VALUE"""),"5,000 Dollars")</f>
        <v>5,000 Dollars</v>
      </c>
      <c r="I188" s="3" t="str">
        <f>IFERROR(__xludf.DUMMYFUNCTION("""COMPUTED_VALUE"""),"Consumable")</f>
        <v>Consumable</v>
      </c>
      <c r="J188" s="3" t="str">
        <f>IFERROR(__xludf.DUMMYFUNCTION("""COMPUTED_VALUE"""),"Yes")</f>
        <v>Yes</v>
      </c>
      <c r="K188" s="3"/>
      <c r="L188" s="3" t="str">
        <f>IFERROR(__xludf.DUMMYFUNCTION("""COMPUTED_VALUE"""),"sftp://graphic@103.41.58.141/marketing/WarzTH_LE/Item%20Dict/range_finder.png")</f>
        <v>sftp://graphic@103.41.58.141/marketing/WarzTH_LE/Item%20Dict/range_finder.png</v>
      </c>
      <c r="M188" s="3"/>
      <c r="N188" s="3" t="str">
        <f>IFERROR(__xludf.DUMMYFUNCTION("""COMPUTED_VALUE"""),"Need to know how far away something is? The range finder can be your best friend when sneaking around searching for survival items")</f>
        <v>Need to know how far away something is? The range finder can be your best friend when sneaking around searching for survival items</v>
      </c>
      <c r="O188" s="3"/>
    </row>
    <row r="189">
      <c r="A189" s="3" t="b">
        <f>IFERROR(__xludf.DUMMYFUNCTION("""COMPUTED_VALUE"""),TRUE)</f>
        <v>1</v>
      </c>
      <c r="B189" s="3" t="str">
        <f>IFERROR(__xludf.DUMMYFUNCTION("""COMPUTED_VALUE"""),"")</f>
        <v/>
      </c>
      <c r="C189" s="3">
        <f>IFERROR(__xludf.DUMMYFUNCTION("""COMPUTED_VALUE"""),20189.0)</f>
        <v>20189</v>
      </c>
      <c r="D189" s="5" t="str">
        <f>IFERROR(__xludf.DUMMYFUNCTION("""COMPUTED_VALUE"""),"https://cdn.exe.in.th/marketing/WarzTH_LE/Item%20Dict/male_character.png")</f>
        <v>https://cdn.exe.in.th/marketing/WarzTH_LE/Item%20Dict/male_character.png</v>
      </c>
      <c r="E189" s="3" t="str">
        <f>IFERROR(__xludf.DUMMYFUNCTION("""COMPUTED_VALUE"""),"Rebel")</f>
        <v>Rebel</v>
      </c>
      <c r="F189" s="2">
        <f>IFERROR(__xludf.DUMMYFUNCTION("""COMPUTED_VALUE"""),90.0)</f>
        <v>90</v>
      </c>
      <c r="G189" s="2" t="str">
        <f>IFERROR(__xludf.DUMMYFUNCTION("""COMPUTED_VALUE"""),"900 GC")</f>
        <v>900 GC</v>
      </c>
      <c r="H189" s="2" t="str">
        <f>IFERROR(__xludf.DUMMYFUNCTION("""COMPUTED_VALUE"""),"72,000 Dollars")</f>
        <v>72,000 Dollars</v>
      </c>
      <c r="I189" s="3" t="str">
        <f>IFERROR(__xludf.DUMMYFUNCTION("""COMPUTED_VALUE"""),"Character")</f>
        <v>Character</v>
      </c>
      <c r="J189" s="3" t="str">
        <f>IFERROR(__xludf.DUMMYFUNCTION("""COMPUTED_VALUE"""),"No")</f>
        <v>No</v>
      </c>
      <c r="K189" s="3"/>
      <c r="L189" s="3" t="str">
        <f>IFERROR(__xludf.DUMMYFUNCTION("""COMPUTED_VALUE"""),"sftp://graphic@103.41.58.141/marketing/WarzTH_LE/Item%20Dict/male_character.png")</f>
        <v>sftp://graphic@103.41.58.141/marketing/WarzTH_LE/Item%20Dict/male_character.png</v>
      </c>
      <c r="M189" s="3"/>
      <c r="N189" s="3" t="str">
        <f>IFERROR(__xludf.DUMMYFUNCTION("""COMPUTED_VALUE"""),"-")</f>
        <v>-</v>
      </c>
      <c r="O189" s="3"/>
    </row>
    <row r="190">
      <c r="A190" s="3" t="b">
        <f>IFERROR(__xludf.DUMMYFUNCTION("""COMPUTED_VALUE"""),TRUE)</f>
        <v>1</v>
      </c>
      <c r="B190" s="3" t="str">
        <f>IFERROR(__xludf.DUMMYFUNCTION("""COMPUTED_VALUE"""),"")</f>
        <v/>
      </c>
      <c r="C190" s="3">
        <f>IFERROR(__xludf.DUMMYFUNCTION("""COMPUTED_VALUE"""),400020.0)</f>
        <v>400020</v>
      </c>
      <c r="D190" s="5" t="str">
        <f>IFERROR(__xludf.DUMMYFUNCTION("""COMPUTED_VALUE"""),"https://cdn.exe.in.th/marketing/WarzTH_LE/Item%20Dict/reddot_sp.png")</f>
        <v>https://cdn.exe.in.th/marketing/WarzTH_LE/Item%20Dict/reddot_sp.png</v>
      </c>
      <c r="E190" s="3" t="str">
        <f>IFERROR(__xludf.DUMMYFUNCTION("""COMPUTED_VALUE"""),"Red Dot SP")</f>
        <v>Red Dot SP</v>
      </c>
      <c r="F190" s="2">
        <f>IFERROR(__xludf.DUMMYFUNCTION("""COMPUTED_VALUE"""),2.0)</f>
        <v>2</v>
      </c>
      <c r="G190" s="2" t="str">
        <f>IFERROR(__xludf.DUMMYFUNCTION("""COMPUTED_VALUE"""),"20 GC")</f>
        <v>20 GC</v>
      </c>
      <c r="H190" s="2" t="str">
        <f>IFERROR(__xludf.DUMMYFUNCTION("""COMPUTED_VALUE"""),"2,000 Dollars")</f>
        <v>2,000 Dollars</v>
      </c>
      <c r="I190" s="3" t="str">
        <f>IFERROR(__xludf.DUMMYFUNCTION("""COMPUTED_VALUE"""),"Attachment")</f>
        <v>Attachment</v>
      </c>
      <c r="J190" s="3" t="str">
        <f>IFERROR(__xludf.DUMMYFUNCTION("""COMPUTED_VALUE"""),"No")</f>
        <v>No</v>
      </c>
      <c r="K190" s="3"/>
      <c r="L190" s="3" t="str">
        <f>IFERROR(__xludf.DUMMYFUNCTION("""COMPUTED_VALUE"""),"sftp://graphic@103.41.58.141/marketing/WarzTH_LE/Item%20Dict/reddot_sp.png")</f>
        <v>sftp://graphic@103.41.58.141/marketing/WarzTH_LE/Item%20Dict/reddot_sp.png</v>
      </c>
      <c r="M190" s="3"/>
      <c r="N190" s="3" t="str">
        <f>IFERROR(__xludf.DUMMYFUNCTION("""COMPUTED_VALUE"""),"The Swiss Red Dot Sight is a rail mounted sight used to extend a shooters accuracy at close and medium range targets")</f>
        <v>The Swiss Red Dot Sight is a rail mounted sight used to extend a shooters accuracy at close and medium range targets</v>
      </c>
      <c r="O190" s="3"/>
    </row>
    <row r="191">
      <c r="A191" s="3" t="b">
        <f>IFERROR(__xludf.DUMMYFUNCTION("""COMPUTED_VALUE"""),TRUE)</f>
        <v>1</v>
      </c>
      <c r="B191" s="3" t="str">
        <f>IFERROR(__xludf.DUMMYFUNCTION("""COMPUTED_VALUE"""),"")</f>
        <v/>
      </c>
      <c r="C191" s="3">
        <f>IFERROR(__xludf.DUMMYFUNCTION("""COMPUTED_VALUE"""),400023.0)</f>
        <v>400023</v>
      </c>
      <c r="D191" s="5" t="str">
        <f>IFERROR(__xludf.DUMMYFUNCTION("""COMPUTED_VALUE"""),"https://cdn.exe.in.th/marketing/WarzTH_LE/Item%20Dict/reflex_sight.png")</f>
        <v>https://cdn.exe.in.th/marketing/WarzTH_LE/Item%20Dict/reflex_sight.png</v>
      </c>
      <c r="E191" s="3" t="str">
        <f>IFERROR(__xludf.DUMMYFUNCTION("""COMPUTED_VALUE"""),"Reflex Sight")</f>
        <v>Reflex Sight</v>
      </c>
      <c r="F191" s="2">
        <f>IFERROR(__xludf.DUMMYFUNCTION("""COMPUTED_VALUE"""),3.0)</f>
        <v>3</v>
      </c>
      <c r="G191" s="2" t="str">
        <f>IFERROR(__xludf.DUMMYFUNCTION("""COMPUTED_VALUE"""),"30 GC")</f>
        <v>30 GC</v>
      </c>
      <c r="H191" s="2" t="str">
        <f>IFERROR(__xludf.DUMMYFUNCTION("""COMPUTED_VALUE"""),"3,000 Dollars")</f>
        <v>3,000 Dollars</v>
      </c>
      <c r="I191" s="3" t="str">
        <f>IFERROR(__xludf.DUMMYFUNCTION("""COMPUTED_VALUE"""),"Attachment")</f>
        <v>Attachment</v>
      </c>
      <c r="J191" s="3" t="str">
        <f>IFERROR(__xludf.DUMMYFUNCTION("""COMPUTED_VALUE"""),"No")</f>
        <v>No</v>
      </c>
      <c r="K191" s="3"/>
      <c r="L191" s="3" t="str">
        <f>IFERROR(__xludf.DUMMYFUNCTION("""COMPUTED_VALUE"""),"sftp://graphic@103.41.58.141/marketing/WarzTH_LE/Item%20Dict/reflex_sight.png")</f>
        <v>sftp://graphic@103.41.58.141/marketing/WarzTH_LE/Item%20Dict/reflex_sight.png</v>
      </c>
      <c r="M191" s="3"/>
      <c r="N191" s="3" t="str">
        <f>IFERROR(__xludf.DUMMYFUNCTION("""COMPUTED_VALUE"""),"The Reflex Sight is a rail mounted scope used to extend a shooters accuracy at medium and long ranges.")</f>
        <v>The Reflex Sight is a rail mounted scope used to extend a shooters accuracy at medium and long ranges.</v>
      </c>
      <c r="O191" s="3"/>
    </row>
    <row r="192">
      <c r="A192" s="3" t="b">
        <f>IFERROR(__xludf.DUMMYFUNCTION("""COMPUTED_VALUE"""),TRUE)</f>
        <v>1</v>
      </c>
      <c r="B192" s="3" t="str">
        <f>IFERROR(__xludf.DUMMYFUNCTION("""COMPUTED_VALUE"""),"")</f>
        <v/>
      </c>
      <c r="C192" s="3">
        <f>IFERROR(__xludf.DUMMYFUNCTION("""COMPUTED_VALUE"""),400018.0)</f>
        <v>400018</v>
      </c>
      <c r="D192" s="5" t="str">
        <f>IFERROR(__xludf.DUMMYFUNCTION("""COMPUTED_VALUE"""),"https://cdn.exe.in.th/marketing/WarzTH_LE/Item%20Dict/rifle_flashlight.png")</f>
        <v>https://cdn.exe.in.th/marketing/WarzTH_LE/Item%20Dict/rifle_flashlight.png</v>
      </c>
      <c r="E192" s="3" t="str">
        <f>IFERROR(__xludf.DUMMYFUNCTION("""COMPUTED_VALUE"""),"Rifle Flashlight")</f>
        <v>Rifle Flashlight</v>
      </c>
      <c r="F192" s="2">
        <f>IFERROR(__xludf.DUMMYFUNCTION("""COMPUTED_VALUE"""),2.0)</f>
        <v>2</v>
      </c>
      <c r="G192" s="2" t="str">
        <f>IFERROR(__xludf.DUMMYFUNCTION("""COMPUTED_VALUE"""),"20 GC")</f>
        <v>20 GC</v>
      </c>
      <c r="H192" s="2" t="str">
        <f>IFERROR(__xludf.DUMMYFUNCTION("""COMPUTED_VALUE"""),"2,000 Dollars")</f>
        <v>2,000 Dollars</v>
      </c>
      <c r="I192" s="3" t="str">
        <f>IFERROR(__xludf.DUMMYFUNCTION("""COMPUTED_VALUE"""),"Attachment")</f>
        <v>Attachment</v>
      </c>
      <c r="J192" s="3" t="str">
        <f>IFERROR(__xludf.DUMMYFUNCTION("""COMPUTED_VALUE"""),"No")</f>
        <v>No</v>
      </c>
      <c r="K192" s="3"/>
      <c r="L192" s="3" t="str">
        <f>IFERROR(__xludf.DUMMYFUNCTION("""COMPUTED_VALUE"""),"sftp://graphic@103.41.58.141/marketing/WarzTH_LE/Item%20Dict/rifle_flashlight.png")</f>
        <v>sftp://graphic@103.41.58.141/marketing/WarzTH_LE/Item%20Dict/rifle_flashlight.png</v>
      </c>
      <c r="M192" s="3"/>
      <c r="N192" s="3" t="str">
        <f>IFERROR(__xludf.DUMMYFUNCTION("""COMPUTED_VALUE"""),"The Flashlight can be used to light dark areas and temporarily blind a shooters opponent.")</f>
        <v>The Flashlight can be used to light dark areas and temporarily blind a shooters opponent.</v>
      </c>
      <c r="O192" s="3"/>
    </row>
    <row r="193">
      <c r="A193" s="3" t="b">
        <f>IFERROR(__xludf.DUMMYFUNCTION("""COMPUTED_VALUE"""),TRUE)</f>
        <v>1</v>
      </c>
      <c r="B193" s="3" t="str">
        <f>IFERROR(__xludf.DUMMYFUNCTION("""COMPUTED_VALUE"""),"")</f>
        <v/>
      </c>
      <c r="C193" s="3">
        <f>IFERROR(__xludf.DUMMYFUNCTION("""COMPUTED_VALUE"""),400004.0)</f>
        <v>400004</v>
      </c>
      <c r="D193" s="5" t="str">
        <f>IFERROR(__xludf.DUMMYFUNCTION("""COMPUTED_VALUE"""),"https://cdn.exe.in.th/marketing/WarzTH_LE/Item%20Dict/rifle_laser.png")</f>
        <v>https://cdn.exe.in.th/marketing/WarzTH_LE/Item%20Dict/rifle_laser.png</v>
      </c>
      <c r="E193" s="3" t="str">
        <f>IFERROR(__xludf.DUMMYFUNCTION("""COMPUTED_VALUE"""),"Rifle Laser")</f>
        <v>Rifle Laser</v>
      </c>
      <c r="F193" s="2">
        <f>IFERROR(__xludf.DUMMYFUNCTION("""COMPUTED_VALUE"""),2.0)</f>
        <v>2</v>
      </c>
      <c r="G193" s="2" t="str">
        <f>IFERROR(__xludf.DUMMYFUNCTION("""COMPUTED_VALUE"""),"20 GC")</f>
        <v>20 GC</v>
      </c>
      <c r="H193" s="2" t="str">
        <f>IFERROR(__xludf.DUMMYFUNCTION("""COMPUTED_VALUE"""),"2,000 Dollars")</f>
        <v>2,000 Dollars</v>
      </c>
      <c r="I193" s="3" t="str">
        <f>IFERROR(__xludf.DUMMYFUNCTION("""COMPUTED_VALUE"""),"Attachment")</f>
        <v>Attachment</v>
      </c>
      <c r="J193" s="3" t="str">
        <f>IFERROR(__xludf.DUMMYFUNCTION("""COMPUTED_VALUE"""),"No")</f>
        <v>No</v>
      </c>
      <c r="K193" s="3"/>
      <c r="L193" s="3" t="str">
        <f>IFERROR(__xludf.DUMMYFUNCTION("""COMPUTED_VALUE"""),"sftp://graphic@103.41.58.141/marketing/WarzTH_LE/Item%20Dict/rifle_laser.png")</f>
        <v>sftp://graphic@103.41.58.141/marketing/WarzTH_LE/Item%20Dict/rifle_laser.png</v>
      </c>
      <c r="M193" s="3"/>
      <c r="N193" s="3" t="str">
        <f>IFERROR(__xludf.DUMMYFUNCTION("""COMPUTED_VALUE"""),"The Laser attachment mounts onto the side of a weapon and allows the shooter to mark the target with the laser.")</f>
        <v>The Laser attachment mounts onto the side of a weapon and allows the shooter to mark the target with the laser.</v>
      </c>
      <c r="O193" s="3"/>
    </row>
    <row r="194">
      <c r="A194" s="3" t="b">
        <f>IFERROR(__xludf.DUMMYFUNCTION("""COMPUTED_VALUE"""),TRUE)</f>
        <v>1</v>
      </c>
      <c r="B194" s="3" t="str">
        <f>IFERROR(__xludf.DUMMYFUNCTION("""COMPUTED_VALUE"""),"")</f>
        <v/>
      </c>
      <c r="C194" s="3">
        <f>IFERROR(__xludf.DUMMYFUNCTION("""COMPUTED_VALUE"""),101318.0)</f>
        <v>101318</v>
      </c>
      <c r="D194" s="5" t="str">
        <f>IFERROR(__xludf.DUMMYFUNCTION("""COMPUTED_VALUE"""),"https://cdn.exe.in.th/marketing/WarzTH_LE/Item%20Dict/riot_shield.png")</f>
        <v>https://cdn.exe.in.th/marketing/WarzTH_LE/Item%20Dict/riot_shield.png</v>
      </c>
      <c r="E194" s="3" t="str">
        <f>IFERROR(__xludf.DUMMYFUNCTION("""COMPUTED_VALUE"""),"Riot Shield")</f>
        <v>Riot Shield</v>
      </c>
      <c r="F194" s="2">
        <f>IFERROR(__xludf.DUMMYFUNCTION("""COMPUTED_VALUE"""),2.0)</f>
        <v>2</v>
      </c>
      <c r="G194" s="2" t="str">
        <f>IFERROR(__xludf.DUMMYFUNCTION("""COMPUTED_VALUE"""),"-")</f>
        <v>-</v>
      </c>
      <c r="H194" s="2" t="str">
        <f>IFERROR(__xludf.DUMMYFUNCTION("""COMPUTED_VALUE"""),"1,600 Dollars")</f>
        <v>1,600 Dollars</v>
      </c>
      <c r="I194" s="3" t="str">
        <f>IFERROR(__xludf.DUMMYFUNCTION("""COMPUTED_VALUE"""),"Consumable")</f>
        <v>Consumable</v>
      </c>
      <c r="J194" s="3" t="str">
        <f>IFERROR(__xludf.DUMMYFUNCTION("""COMPUTED_VALUE"""),"Yes")</f>
        <v>Yes</v>
      </c>
      <c r="K194" s="3"/>
      <c r="L194" s="3" t="str">
        <f>IFERROR(__xludf.DUMMYFUNCTION("""COMPUTED_VALUE"""),"sftp://graphic@103.41.58.141/marketing/WarzTH_LE/Item%20Dict/riot_shield.png")</f>
        <v>sftp://graphic@103.41.58.141/marketing/WarzTH_LE/Item%20Dict/riot_shield.png</v>
      </c>
      <c r="M194" s="3"/>
      <c r="N194" s="3" t="str">
        <f>IFERROR(__xludf.DUMMYFUNCTION("""COMPUTED_VALUE"""),"Its a riot shield! Hide behind it for safety")</f>
        <v>Its a riot shield! Hide behind it for safety</v>
      </c>
      <c r="O194" s="3"/>
    </row>
    <row r="195">
      <c r="A195" s="3" t="b">
        <f>IFERROR(__xludf.DUMMYFUNCTION("""COMPUTED_VALUE"""),TRUE)</f>
        <v>1</v>
      </c>
      <c r="B195" s="3" t="str">
        <f>IFERROR(__xludf.DUMMYFUNCTION("""COMPUTED_VALUE"""),"")</f>
        <v/>
      </c>
      <c r="C195" s="3">
        <f>IFERROR(__xludf.DUMMYFUNCTION("""COMPUTED_VALUE"""),20195.0)</f>
        <v>20195</v>
      </c>
      <c r="D195" s="5" t="str">
        <f>IFERROR(__xludf.DUMMYFUNCTION("""COMPUTED_VALUE"""),"https://cdn.exe.in.th/marketing/WarzTH_LE/Item%20Dict/character_female02.png")</f>
        <v>https://cdn.exe.in.th/marketing/WarzTH_LE/Item%20Dict/character_female02.png</v>
      </c>
      <c r="E195" s="3" t="str">
        <f>IFERROR(__xludf.DUMMYFUNCTION("""COMPUTED_VALUE"""),"Rockin Rollah")</f>
        <v>Rockin Rollah</v>
      </c>
      <c r="F195" s="2">
        <f>IFERROR(__xludf.DUMMYFUNCTION("""COMPUTED_VALUE"""),90.0)</f>
        <v>90</v>
      </c>
      <c r="G195" s="2" t="str">
        <f>IFERROR(__xludf.DUMMYFUNCTION("""COMPUTED_VALUE"""),"900 GC")</f>
        <v>900 GC</v>
      </c>
      <c r="H195" s="2" t="str">
        <f>IFERROR(__xludf.DUMMYFUNCTION("""COMPUTED_VALUE"""),"72,000 Dollars")</f>
        <v>72,000 Dollars</v>
      </c>
      <c r="I195" s="3" t="str">
        <f>IFERROR(__xludf.DUMMYFUNCTION("""COMPUTED_VALUE"""),"Character")</f>
        <v>Character</v>
      </c>
      <c r="J195" s="3" t="str">
        <f>IFERROR(__xludf.DUMMYFUNCTION("""COMPUTED_VALUE"""),"No")</f>
        <v>No</v>
      </c>
      <c r="K195" s="3"/>
      <c r="L195" s="3" t="str">
        <f>IFERROR(__xludf.DUMMYFUNCTION("""COMPUTED_VALUE"""),"sftp://graphic@103.41.58.141/marketing/WarzTH_LE/Item%20Dict/character_female02.png")</f>
        <v>sftp://graphic@103.41.58.141/marketing/WarzTH_LE/Item%20Dict/character_female02.png</v>
      </c>
      <c r="M195" s="3"/>
      <c r="N195" s="3" t="str">
        <f>IFERROR(__xludf.DUMMYFUNCTION("""COMPUTED_VALUE"""),"-")</f>
        <v>-</v>
      </c>
      <c r="O195" s="3"/>
    </row>
    <row r="196">
      <c r="A196" s="3" t="b">
        <f>IFERROR(__xludf.DUMMYFUNCTION("""COMPUTED_VALUE"""),TRUE)</f>
        <v>1</v>
      </c>
      <c r="B196" s="3" t="str">
        <f>IFERROR(__xludf.DUMMYFUNCTION("""COMPUTED_VALUE"""),"")</f>
        <v/>
      </c>
      <c r="C196" s="3">
        <f>IFERROR(__xludf.DUMMYFUNCTION("""COMPUTED_VALUE"""),101501.0)</f>
        <v>101501</v>
      </c>
      <c r="D196" s="5" t="str">
        <f>IFERROR(__xludf.DUMMYFUNCTION("""COMPUTED_VALUE"""),"https://cdn.exe.in.th/marketing/WarzTH_LE/Item%20Dict/rod_fishing_01.png")</f>
        <v>https://cdn.exe.in.th/marketing/WarzTH_LE/Item%20Dict/rod_fishing_01.png</v>
      </c>
      <c r="E196" s="7" t="str">
        <f>IFERROR(__xludf.DUMMYFUNCTION("""COMPUTED_VALUE"""),"Rod Fishing")</f>
        <v>Rod Fishing</v>
      </c>
      <c r="F196" s="2">
        <f>IFERROR(__xludf.DUMMYFUNCTION("""COMPUTED_VALUE"""),30.0)</f>
        <v>30</v>
      </c>
      <c r="G196" s="2" t="str">
        <f>IFERROR(__xludf.DUMMYFUNCTION("""COMPUTED_VALUE"""),"300 GC")</f>
        <v>300 GC</v>
      </c>
      <c r="H196" s="2" t="str">
        <f>IFERROR(__xludf.DUMMYFUNCTION("""COMPUTED_VALUE"""),"-")</f>
        <v>-</v>
      </c>
      <c r="I196" s="3" t="str">
        <f>IFERROR(__xludf.DUMMYFUNCTION("""COMPUTED_VALUE"""),"Consumable")</f>
        <v>Consumable</v>
      </c>
      <c r="J196" s="3" t="str">
        <f>IFERROR(__xludf.DUMMYFUNCTION("""COMPUTED_VALUE"""),"Yes")</f>
        <v>Yes</v>
      </c>
      <c r="K196" s="3"/>
      <c r="L196" s="3" t="str">
        <f>IFERROR(__xludf.DUMMYFUNCTION("""COMPUTED_VALUE"""),"sftp://graphic@103.41.58.141/marketing/WarzTH_LE/Item%20Dict/rod_fishing_01.png")</f>
        <v>sftp://graphic@103.41.58.141/marketing/WarzTH_LE/Item%20Dict/rod_fishing_01.png</v>
      </c>
      <c r="M196" s="3"/>
      <c r="N196" s="3"/>
      <c r="O196" s="3"/>
    </row>
    <row r="197">
      <c r="A197" s="3" t="b">
        <f>IFERROR(__xludf.DUMMYFUNCTION("""COMPUTED_VALUE"""),TRUE)</f>
        <v>1</v>
      </c>
      <c r="B197" s="3" t="str">
        <f>IFERROR(__xludf.DUMMYFUNCTION("""COMPUTED_VALUE"""),"")</f>
        <v/>
      </c>
      <c r="C197" s="3">
        <f>IFERROR(__xludf.DUMMYFUNCTION("""COMPUTED_VALUE"""),101093.0)</f>
        <v>101093</v>
      </c>
      <c r="D197" s="5" t="str">
        <f>IFERROR(__xludf.DUMMYFUNCTION("""COMPUTED_VALUE"""),"https://cdn.exe.in.th/marketing/WarzTH_LE/Item%20Dict/rpk_74.png")</f>
        <v>https://cdn.exe.in.th/marketing/WarzTH_LE/Item%20Dict/rpk_74.png</v>
      </c>
      <c r="E197" s="3" t="str">
        <f>IFERROR(__xludf.DUMMYFUNCTION("""COMPUTED_VALUE"""),"RPK-74")</f>
        <v>RPK-74</v>
      </c>
      <c r="F197" s="2">
        <f>IFERROR(__xludf.DUMMYFUNCTION("""COMPUTED_VALUE"""),10.0)</f>
        <v>10</v>
      </c>
      <c r="G197" s="2" t="str">
        <f>IFERROR(__xludf.DUMMYFUNCTION("""COMPUTED_VALUE"""),"-")</f>
        <v>-</v>
      </c>
      <c r="H197" s="2" t="str">
        <f>IFERROR(__xludf.DUMMYFUNCTION("""COMPUTED_VALUE"""),"-")</f>
        <v>-</v>
      </c>
      <c r="I197" s="3" t="str">
        <f>IFERROR(__xludf.DUMMYFUNCTION("""COMPUTED_VALUE"""),"Weapon")</f>
        <v>Weapon</v>
      </c>
      <c r="J197" s="3" t="str">
        <f>IFERROR(__xludf.DUMMYFUNCTION("""COMPUTED_VALUE"""),"No")</f>
        <v>No</v>
      </c>
      <c r="K197" s="3" t="str">
        <f>IFERROR(__xludf.DUMMYFUNCTION("""COMPUTED_VALUE"""),"C")</f>
        <v>C</v>
      </c>
      <c r="L197" s="3" t="str">
        <f>IFERROR(__xludf.DUMMYFUNCTION("""COMPUTED_VALUE"""),"sftp://graphic@103.41.58.141/marketing/WarzTH_LE/Item%20Dict/rpk_74.png")</f>
        <v>sftp://graphic@103.41.58.141/marketing/WarzTH_LE/Item%20Dict/rpk_74.png</v>
      </c>
      <c r="M197" s="3"/>
      <c r="N197" s="3" t="str">
        <f>IFERROR(__xludf.DUMMYFUNCTION("""COMPUTED_VALUE"""),"The RPK-74 machine gun fires a 5.45 mm high velocity round that delivers a reasonably accurate rate of fire onto targets out to medium ranges.")</f>
        <v>The RPK-74 machine gun fires a 5.45 mm high velocity round that delivers a reasonably accurate rate of fire onto targets out to medium ranges.</v>
      </c>
      <c r="O197" s="3"/>
    </row>
    <row r="198">
      <c r="A198" s="3" t="b">
        <f>IFERROR(__xludf.DUMMYFUNCTION("""COMPUTED_VALUE"""),TRUE)</f>
        <v>1</v>
      </c>
      <c r="B198" s="3" t="str">
        <f>IFERROR(__xludf.DUMMYFUNCTION("""COMPUTED_VALUE"""),"")</f>
        <v/>
      </c>
      <c r="C198" s="3">
        <f>IFERROR(__xludf.DUMMYFUNCTION("""COMPUTED_VALUE"""),101330.0)</f>
        <v>101330</v>
      </c>
      <c r="D198" s="5" t="str">
        <f>IFERROR(__xludf.DUMMYFUNCTION("""COMPUTED_VALUE"""),"https://cdn.exe.in.th/marketing/WarzTH_LE/Item%20Dict/ruger.png")</f>
        <v>https://cdn.exe.in.th/marketing/WarzTH_LE/Item%20Dict/ruger.png</v>
      </c>
      <c r="E198" s="3" t="str">
        <f>IFERROR(__xludf.DUMMYFUNCTION("""COMPUTED_VALUE"""),"Ruger")</f>
        <v>Ruger</v>
      </c>
      <c r="F198" s="2">
        <f>IFERROR(__xludf.DUMMYFUNCTION("""COMPUTED_VALUE"""),0.5)</f>
        <v>0.5</v>
      </c>
      <c r="G198" s="2" t="str">
        <f>IFERROR(__xludf.DUMMYFUNCTION("""COMPUTED_VALUE"""),"-")</f>
        <v>-</v>
      </c>
      <c r="H198" s="2" t="str">
        <f>IFERROR(__xludf.DUMMYFUNCTION("""COMPUTED_VALUE"""),"-")</f>
        <v>-</v>
      </c>
      <c r="I198" s="3" t="str">
        <f>IFERROR(__xludf.DUMMYFUNCTION("""COMPUTED_VALUE"""),"Weapon")</f>
        <v>Weapon</v>
      </c>
      <c r="J198" s="3" t="str">
        <f>IFERROR(__xludf.DUMMYFUNCTION("""COMPUTED_VALUE"""),"No")</f>
        <v>No</v>
      </c>
      <c r="K198" s="3" t="str">
        <f>IFERROR(__xludf.DUMMYFUNCTION("""COMPUTED_VALUE"""),"C")</f>
        <v>C</v>
      </c>
      <c r="L198" s="3" t="str">
        <f>IFERROR(__xludf.DUMMYFUNCTION("""COMPUTED_VALUE"""),"sftp://graphic@103.41.58.141/marketing/WarzTH_LE/Item%20Dict/ruger.png")</f>
        <v>sftp://graphic@103.41.58.141/marketing/WarzTH_LE/Item%20Dict/ruger.png</v>
      </c>
      <c r="M198" s="3"/>
      <c r="N198" s="3" t="str">
        <f>IFERROR(__xludf.DUMMYFUNCTION("""COMPUTED_VALUE"""),"Reliable and relatively common, the lower powered Kruger .22 is a household staple, allowing for low cost practice with firm control")</f>
        <v>Reliable and relatively common, the lower powered Kruger .22 is a household staple, allowing for low cost practice with firm control</v>
      </c>
      <c r="O198" s="3"/>
    </row>
    <row r="199">
      <c r="A199" s="3" t="b">
        <f>IFERROR(__xludf.DUMMYFUNCTION("""COMPUTED_VALUE"""),TRUE)</f>
        <v>1</v>
      </c>
      <c r="B199" s="3" t="str">
        <f>IFERROR(__xludf.DUMMYFUNCTION("""COMPUTED_VALUE"""),"")</f>
        <v/>
      </c>
      <c r="C199" s="3">
        <f>IFERROR(__xludf.DUMMYFUNCTION("""COMPUTED_VALUE"""),101098.0)</f>
        <v>101098</v>
      </c>
      <c r="D199" s="5" t="str">
        <f>IFERROR(__xludf.DUMMYFUNCTION("""COMPUTED_VALUE"""),"https://cdn.exe.in.th/marketing/WarzTH_LE/Item%20Dict/saiga.png")</f>
        <v>https://cdn.exe.in.th/marketing/WarzTH_LE/Item%20Dict/saiga.png</v>
      </c>
      <c r="E199" s="3" t="str">
        <f>IFERROR(__xludf.DUMMYFUNCTION("""COMPUTED_VALUE"""),"SAIGA")</f>
        <v>SAIGA</v>
      </c>
      <c r="F199" s="2">
        <f>IFERROR(__xludf.DUMMYFUNCTION("""COMPUTED_VALUE"""),2.0)</f>
        <v>2</v>
      </c>
      <c r="G199" s="2" t="str">
        <f>IFERROR(__xludf.DUMMYFUNCTION("""COMPUTED_VALUE"""),"-")</f>
        <v>-</v>
      </c>
      <c r="H199" s="2" t="str">
        <f>IFERROR(__xludf.DUMMYFUNCTION("""COMPUTED_VALUE"""),"-")</f>
        <v>-</v>
      </c>
      <c r="I199" s="3" t="str">
        <f>IFERROR(__xludf.DUMMYFUNCTION("""COMPUTED_VALUE"""),"Weapon")</f>
        <v>Weapon</v>
      </c>
      <c r="J199" s="3" t="str">
        <f>IFERROR(__xludf.DUMMYFUNCTION("""COMPUTED_VALUE"""),"No")</f>
        <v>No</v>
      </c>
      <c r="K199" s="3" t="str">
        <f>IFERROR(__xludf.DUMMYFUNCTION("""COMPUTED_VALUE"""),"A")</f>
        <v>A</v>
      </c>
      <c r="L199" s="3" t="str">
        <f>IFERROR(__xludf.DUMMYFUNCTION("""COMPUTED_VALUE"""),"sftp://graphic@103.41.58.141/marketing/WarzTH_LE/Item%20Dict/saiga.png")</f>
        <v>sftp://graphic@103.41.58.141/marketing/WarzTH_LE/Item%20Dict/saiga.png</v>
      </c>
      <c r="M199" s="3"/>
      <c r="N199" s="3" t="str">
        <f>IFERROR(__xludf.DUMMYFUNCTION("""COMPUTED_VALUE"""),"The Saiga was developed as a 12 gauge shotgun with a 8 round storage tube. It inflicts a substancial amount of damage on targets at a close range.")</f>
        <v>The Saiga was developed as a 12 gauge shotgun with a 8 round storage tube. It inflicts a substancial amount of damage on targets at a close range.</v>
      </c>
      <c r="O199" s="3"/>
    </row>
    <row r="200">
      <c r="A200" s="3" t="b">
        <f>IFERROR(__xludf.DUMMYFUNCTION("""COMPUTED_VALUE"""),TRUE)</f>
        <v>1</v>
      </c>
      <c r="B200" s="3" t="str">
        <f>IFERROR(__xludf.DUMMYFUNCTION("""COMPUTED_VALUE"""),"")</f>
        <v/>
      </c>
      <c r="C200" s="3">
        <f>IFERROR(__xludf.DUMMYFUNCTION("""COMPUTED_VALUE"""),400073.0)</f>
        <v>400073</v>
      </c>
      <c r="D200" s="5" t="str">
        <f>IFERROR(__xludf.DUMMYFUNCTION("""COMPUTED_VALUE"""),"https://cdn.exe.in.th/marketing/WarzTH_LE/Item%20Dict/saiga_10_ammo.png")</f>
        <v>https://cdn.exe.in.th/marketing/WarzTH_LE/Item%20Dict/saiga_10_ammo.png</v>
      </c>
      <c r="E200" s="3" t="str">
        <f>IFERROR(__xludf.DUMMYFUNCTION("""COMPUTED_VALUE"""),"Saiga 10 ammo")</f>
        <v>Saiga 10 ammo</v>
      </c>
      <c r="F200" s="2">
        <f>IFERROR(__xludf.DUMMYFUNCTION("""COMPUTED_VALUE"""),1.5)</f>
        <v>1.5</v>
      </c>
      <c r="G200" s="2" t="str">
        <f>IFERROR(__xludf.DUMMYFUNCTION("""COMPUTED_VALUE"""),"-")</f>
        <v>-</v>
      </c>
      <c r="H200" s="2" t="str">
        <f>IFERROR(__xludf.DUMMYFUNCTION("""COMPUTED_VALUE"""),"1,250 Dollars")</f>
        <v>1,250 Dollars</v>
      </c>
      <c r="I200" s="3" t="str">
        <f>IFERROR(__xludf.DUMMYFUNCTION("""COMPUTED_VALUE"""),"Ammo")</f>
        <v>Ammo</v>
      </c>
      <c r="J200" s="3" t="str">
        <f>IFERROR(__xludf.DUMMYFUNCTION("""COMPUTED_VALUE"""),"Yes")</f>
        <v>Yes</v>
      </c>
      <c r="K200" s="3"/>
      <c r="L200" s="3" t="str">
        <f>IFERROR(__xludf.DUMMYFUNCTION("""COMPUTED_VALUE"""),"sftp://graphic@103.41.58.141/marketing/WarzTH_LE/Item%20Dict/saiga_10_ammo.png")</f>
        <v>sftp://graphic@103.41.58.141/marketing/WarzTH_LE/Item%20Dict/saiga_10_ammo.png</v>
      </c>
      <c r="M200" s="3"/>
      <c r="N200" s="3" t="str">
        <f>IFERROR(__xludf.DUMMYFUNCTION("""COMPUTED_VALUE"""),"12 gauge 10 rounds magazine for SAIGA shotgun")</f>
        <v>12 gauge 10 rounds magazine for SAIGA shotgun</v>
      </c>
      <c r="O200" s="3"/>
    </row>
    <row r="201">
      <c r="A201" s="3" t="b">
        <f>IFERROR(__xludf.DUMMYFUNCTION("""COMPUTED_VALUE"""),TRUE)</f>
        <v>1</v>
      </c>
      <c r="B201" s="3" t="str">
        <f>IFERROR(__xludf.DUMMYFUNCTION("""COMPUTED_VALUE"""),"")</f>
        <v/>
      </c>
      <c r="C201" s="3">
        <f>IFERROR(__xludf.DUMMYFUNCTION("""COMPUTED_VALUE"""),20198.0)</f>
        <v>20198</v>
      </c>
      <c r="D201" s="5" t="str">
        <f>IFERROR(__xludf.DUMMYFUNCTION("""COMPUTED_VALUE"""),"https://cdn.exe.in.th/marketing/WarzTH_LE/Item%20Dict/santa_lil_helper.png")</f>
        <v>https://cdn.exe.in.th/marketing/WarzTH_LE/Item%20Dict/santa_lil_helper.png</v>
      </c>
      <c r="E201" s="3" t="str">
        <f>IFERROR(__xludf.DUMMYFUNCTION("""COMPUTED_VALUE"""),"Santa's Lil Helper")</f>
        <v>Santa's Lil Helper</v>
      </c>
      <c r="F201" s="2" t="str">
        <f>IFERROR(__xludf.DUMMYFUNCTION("""COMPUTED_VALUE"""),"-")</f>
        <v>-</v>
      </c>
      <c r="G201" s="2" t="str">
        <f>IFERROR(__xludf.DUMMYFUNCTION("""COMPUTED_VALUE"""),"-")</f>
        <v>-</v>
      </c>
      <c r="H201" s="2" t="str">
        <f>IFERROR(__xludf.DUMMYFUNCTION("""COMPUTED_VALUE"""),"-")</f>
        <v>-</v>
      </c>
      <c r="I201" s="3" t="str">
        <f>IFERROR(__xludf.DUMMYFUNCTION("""COMPUTED_VALUE"""),"Equipment")</f>
        <v>Equipment</v>
      </c>
      <c r="J201" s="3" t="str">
        <f>IFERROR(__xludf.DUMMYFUNCTION("""COMPUTED_VALUE"""),"No")</f>
        <v>No</v>
      </c>
      <c r="K201" s="3"/>
      <c r="L201" s="3" t="str">
        <f>IFERROR(__xludf.DUMMYFUNCTION("""COMPUTED_VALUE"""),"sftp://graphic@103.41.58.141/marketing/WarzTH_LE/Item%20Dict/santa_lil_helper.png")</f>
        <v>sftp://graphic@103.41.58.141/marketing/WarzTH_LE/Item%20Dict/santa_lil_helper.png</v>
      </c>
      <c r="M201" s="3"/>
      <c r="N201" s="3" t="str">
        <f>IFERROR(__xludf.DUMMYFUNCTION("""COMPUTED_VALUE"""),"Makin presents for all the good girls and boys!")</f>
        <v>Makin presents for all the good girls and boys!</v>
      </c>
      <c r="O201" s="3"/>
    </row>
    <row r="202">
      <c r="A202" s="3" t="b">
        <f>IFERROR(__xludf.DUMMYFUNCTION("""COMPUTED_VALUE"""),TRUE)</f>
        <v>1</v>
      </c>
      <c r="B202" s="3" t="str">
        <f>IFERROR(__xludf.DUMMYFUNCTION("""COMPUTED_VALUE"""),"")</f>
        <v/>
      </c>
      <c r="C202" s="3">
        <f>IFERROR(__xludf.DUMMYFUNCTION("""COMPUTED_VALUE"""),20200.0)</f>
        <v>20200</v>
      </c>
      <c r="D202" s="5" t="str">
        <f>IFERROR(__xludf.DUMMYFUNCTION("""COMPUTED_VALUE"""),"https://cdn.exe.in.th/marketing/WarzTH_LE/Item%20Dict/santa_sack.png")</f>
        <v>https://cdn.exe.in.th/marketing/WarzTH_LE/Item%20Dict/santa_sack.png</v>
      </c>
      <c r="E202" s="3" t="str">
        <f>IFERROR(__xludf.DUMMYFUNCTION("""COMPUTED_VALUE"""),"Santa's Sack")</f>
        <v>Santa's Sack</v>
      </c>
      <c r="F202" s="2" t="str">
        <f>IFERROR(__xludf.DUMMYFUNCTION("""COMPUTED_VALUE"""),"-")</f>
        <v>-</v>
      </c>
      <c r="G202" s="2" t="str">
        <f>IFERROR(__xludf.DUMMYFUNCTION("""COMPUTED_VALUE"""),"-")</f>
        <v>-</v>
      </c>
      <c r="H202" s="2" t="str">
        <f>IFERROR(__xludf.DUMMYFUNCTION("""COMPUTED_VALUE"""),"-")</f>
        <v>-</v>
      </c>
      <c r="I202" s="3" t="str">
        <f>IFERROR(__xludf.DUMMYFUNCTION("""COMPUTED_VALUE"""),"Equipment")</f>
        <v>Equipment</v>
      </c>
      <c r="J202" s="3" t="str">
        <f>IFERROR(__xludf.DUMMYFUNCTION("""COMPUTED_VALUE"""),"No")</f>
        <v>No</v>
      </c>
      <c r="K202" s="3"/>
      <c r="L202" s="3" t="str">
        <f>IFERROR(__xludf.DUMMYFUNCTION("""COMPUTED_VALUE"""),"sftp://graphic@103.41.58.141/marketing/WarzTH_LE/Item%20Dict/santa_sack.png")</f>
        <v>sftp://graphic@103.41.58.141/marketing/WarzTH_LE/Item%20Dict/santa_sack.png</v>
      </c>
      <c r="M202" s="3"/>
      <c r="N202" s="3" t="str">
        <f>IFERROR(__xludf.DUMMYFUNCTION("""COMPUTED_VALUE"""),"With presents for everyone! Well, mostly zombies. And bandits.")</f>
        <v>With presents for everyone! Well, mostly zombies. And bandits.</v>
      </c>
      <c r="O202" s="3"/>
    </row>
    <row r="203">
      <c r="A203" s="3" t="b">
        <f>IFERROR(__xludf.DUMMYFUNCTION("""COMPUTED_VALUE"""),TRUE)</f>
        <v>1</v>
      </c>
      <c r="B203" s="3" t="str">
        <f>IFERROR(__xludf.DUMMYFUNCTION("""COMPUTED_VALUE"""),"")</f>
        <v/>
      </c>
      <c r="C203" s="3">
        <f>IFERROR(__xludf.DUMMYFUNCTION("""COMPUTED_VALUE"""),301408.0)</f>
        <v>301408</v>
      </c>
      <c r="D203" s="5" t="str">
        <f>IFERROR(__xludf.DUMMYFUNCTION("""COMPUTED_VALUE"""),"https://cdn.exe.in.th/marketing/WarzTH_LE/Item%20Dict/item_drop_scrap_r93.png")</f>
        <v>https://cdn.exe.in.th/marketing/WarzTH_LE/Item%20Dict/item_drop_scrap_r93.png</v>
      </c>
      <c r="E203" s="3" t="str">
        <f>IFERROR(__xludf.DUMMYFUNCTION("""COMPUTED_VALUE"""),"Scrap BLASER R93")</f>
        <v>Scrap BLASER R93</v>
      </c>
      <c r="F203" s="2">
        <f>IFERROR(__xludf.DUMMYFUNCTION("""COMPUTED_VALUE"""),350.0)</f>
        <v>350</v>
      </c>
      <c r="G203" s="2" t="str">
        <f>IFERROR(__xludf.DUMMYFUNCTION("""COMPUTED_VALUE"""),"-")</f>
        <v>-</v>
      </c>
      <c r="H203" s="2" t="str">
        <f>IFERROR(__xludf.DUMMYFUNCTION("""COMPUTED_VALUE"""),"-")</f>
        <v>-</v>
      </c>
      <c r="I203" s="3" t="str">
        <f>IFERROR(__xludf.DUMMYFUNCTION("""COMPUTED_VALUE"""),"Components")</f>
        <v>Components</v>
      </c>
      <c r="J203" s="3" t="str">
        <f>IFERROR(__xludf.DUMMYFUNCTION("""COMPUTED_VALUE"""),"Yes")</f>
        <v>Yes</v>
      </c>
      <c r="K203" s="3"/>
      <c r="L203" s="3" t="str">
        <f>IFERROR(__xludf.DUMMYFUNCTION("""COMPUTED_VALUE"""),"sftp://graphic@103.41.58.141/marketing/WarzTH_LE/Item%20Dict/item_drop_scrap_r93.png")</f>
        <v>sftp://graphic@103.41.58.141/marketing/WarzTH_LE/Item%20Dict/item_drop_scrap_r93.png</v>
      </c>
      <c r="M203" s="3"/>
      <c r="N203" s="3"/>
      <c r="O203" s="3"/>
    </row>
    <row r="204">
      <c r="A204" s="3" t="b">
        <f>IFERROR(__xludf.DUMMYFUNCTION("""COMPUTED_VALUE"""),TRUE)</f>
        <v>1</v>
      </c>
      <c r="B204" s="3" t="str">
        <f>IFERROR(__xludf.DUMMYFUNCTION("""COMPUTED_VALUE"""),"")</f>
        <v/>
      </c>
      <c r="C204" s="3">
        <f>IFERROR(__xludf.DUMMYFUNCTION("""COMPUTED_VALUE"""),301410.0)</f>
        <v>301410</v>
      </c>
      <c r="D204" s="5" t="str">
        <f>IFERROR(__xludf.DUMMYFUNCTION("""COMPUTED_VALUE"""),"https://cdn.exe.in.th/marketing/WarzTH_LE/Item%20Dict/item_drop_scrap_scar_nig.png")</f>
        <v>https://cdn.exe.in.th/marketing/WarzTH_LE/Item%20Dict/item_drop_scrap_scar_nig.png</v>
      </c>
      <c r="E204" s="3" t="str">
        <f>IFERROR(__xludf.DUMMYFUNCTION("""COMPUTED_VALUE"""),"Scrap FN SCAR NIGHT STALKER")</f>
        <v>Scrap FN SCAR NIGHT STALKER</v>
      </c>
      <c r="F204" s="2">
        <f>IFERROR(__xludf.DUMMYFUNCTION("""COMPUTED_VALUE"""),50.0)</f>
        <v>50</v>
      </c>
      <c r="G204" s="2" t="str">
        <f>IFERROR(__xludf.DUMMYFUNCTION("""COMPUTED_VALUE"""),"-")</f>
        <v>-</v>
      </c>
      <c r="H204" s="2" t="str">
        <f>IFERROR(__xludf.DUMMYFUNCTION("""COMPUTED_VALUE"""),"-")</f>
        <v>-</v>
      </c>
      <c r="I204" s="3" t="str">
        <f>IFERROR(__xludf.DUMMYFUNCTION("""COMPUTED_VALUE"""),"Components")</f>
        <v>Components</v>
      </c>
      <c r="J204" s="3" t="str">
        <f>IFERROR(__xludf.DUMMYFUNCTION("""COMPUTED_VALUE"""),"Yes")</f>
        <v>Yes</v>
      </c>
      <c r="K204" s="3"/>
      <c r="L204" s="3" t="str">
        <f>IFERROR(__xludf.DUMMYFUNCTION("""COMPUTED_VALUE"""),"sftp://graphic@103.41.58.141/marketing/WarzTH_LE/Item%20Dict/item_drop_scrap_scar_nig.png")</f>
        <v>sftp://graphic@103.41.58.141/marketing/WarzTH_LE/Item%20Dict/item_drop_scrap_scar_nig.png</v>
      </c>
      <c r="M204" s="3"/>
      <c r="N204" s="3"/>
      <c r="O204" s="3"/>
    </row>
    <row r="205">
      <c r="A205" s="3" t="b">
        <f>IFERROR(__xludf.DUMMYFUNCTION("""COMPUTED_VALUE"""),TRUE)</f>
        <v>1</v>
      </c>
      <c r="B205" s="3" t="str">
        <f>IFERROR(__xludf.DUMMYFUNCTION("""COMPUTED_VALUE"""),"")</f>
        <v/>
      </c>
      <c r="C205" s="3">
        <f>IFERROR(__xludf.DUMMYFUNCTION("""COMPUTED_VALUE"""),301401.0)</f>
        <v>301401</v>
      </c>
      <c r="D205" s="5" t="str">
        <f>IFERROR(__xludf.DUMMYFUNCTION("""COMPUTED_VALUE"""),"https://cdn.exe.in.th/marketing/WarzTH_LE/Item%20Dict/item_drop_scrap_honey.png")</f>
        <v>https://cdn.exe.in.th/marketing/WarzTH_LE/Item%20Dict/item_drop_scrap_honey.png</v>
      </c>
      <c r="E205" s="3" t="str">
        <f>IFERROR(__xludf.DUMMYFUNCTION("""COMPUTED_VALUE"""),"Scrap Honey Badger")</f>
        <v>Scrap Honey Badger</v>
      </c>
      <c r="F205" s="2">
        <f>IFERROR(__xludf.DUMMYFUNCTION("""COMPUTED_VALUE"""),30.0)</f>
        <v>30</v>
      </c>
      <c r="G205" s="2" t="str">
        <f>IFERROR(__xludf.DUMMYFUNCTION("""COMPUTED_VALUE"""),"-")</f>
        <v>-</v>
      </c>
      <c r="H205" s="2" t="str">
        <f>IFERROR(__xludf.DUMMYFUNCTION("""COMPUTED_VALUE"""),"-")</f>
        <v>-</v>
      </c>
      <c r="I205" s="3" t="str">
        <f>IFERROR(__xludf.DUMMYFUNCTION("""COMPUTED_VALUE"""),"Components")</f>
        <v>Components</v>
      </c>
      <c r="J205" s="3" t="str">
        <f>IFERROR(__xludf.DUMMYFUNCTION("""COMPUTED_VALUE"""),"Yes")</f>
        <v>Yes</v>
      </c>
      <c r="K205" s="3"/>
      <c r="L205" s="3" t="str">
        <f>IFERROR(__xludf.DUMMYFUNCTION("""COMPUTED_VALUE"""),"sftp://graphic@103.41.58.141/marketing/WarzTH_LE/Item%20Dict/item_drop_scrap_honey.png")</f>
        <v>sftp://graphic@103.41.58.141/marketing/WarzTH_LE/Item%20Dict/item_drop_scrap_honey.png</v>
      </c>
      <c r="M205" s="3"/>
      <c r="N205" s="3"/>
      <c r="O205" s="3"/>
    </row>
    <row r="206">
      <c r="A206" s="3" t="b">
        <f>IFERROR(__xludf.DUMMYFUNCTION("""COMPUTED_VALUE"""),TRUE)</f>
        <v>1</v>
      </c>
      <c r="B206" s="3" t="str">
        <f>IFERROR(__xludf.DUMMYFUNCTION("""COMPUTED_VALUE"""),"")</f>
        <v/>
      </c>
      <c r="C206" s="3">
        <f>IFERROR(__xludf.DUMMYFUNCTION("""COMPUTED_VALUE"""),301402.0)</f>
        <v>301402</v>
      </c>
      <c r="D206" s="5" t="str">
        <f>IFERROR(__xludf.DUMMYFUNCTION("""COMPUTED_VALUE"""),"https://cdn.exe.in.th/marketing/WarzTH_LE/Item%20Dict/item_drop_scrap_imi.png")</f>
        <v>https://cdn.exe.in.th/marketing/WarzTH_LE/Item%20Dict/item_drop_scrap_imi.png</v>
      </c>
      <c r="E206" s="3" t="str">
        <f>IFERROR(__xludf.DUMMYFUNCTION("""COMPUTED_VALUE"""),"Scrap IMI TAR-21")</f>
        <v>Scrap IMI TAR-21</v>
      </c>
      <c r="F206" s="2">
        <f>IFERROR(__xludf.DUMMYFUNCTION("""COMPUTED_VALUE"""),40.0)</f>
        <v>40</v>
      </c>
      <c r="G206" s="2" t="str">
        <f>IFERROR(__xludf.DUMMYFUNCTION("""COMPUTED_VALUE"""),"-")</f>
        <v>-</v>
      </c>
      <c r="H206" s="2" t="str">
        <f>IFERROR(__xludf.DUMMYFUNCTION("""COMPUTED_VALUE"""),"-")</f>
        <v>-</v>
      </c>
      <c r="I206" s="3" t="str">
        <f>IFERROR(__xludf.DUMMYFUNCTION("""COMPUTED_VALUE"""),"Components")</f>
        <v>Components</v>
      </c>
      <c r="J206" s="3" t="str">
        <f>IFERROR(__xludf.DUMMYFUNCTION("""COMPUTED_VALUE"""),"Yes")</f>
        <v>Yes</v>
      </c>
      <c r="K206" s="3"/>
      <c r="L206" s="3" t="str">
        <f>IFERROR(__xludf.DUMMYFUNCTION("""COMPUTED_VALUE"""),"sftp://graphic@103.41.58.141/marketing/WarzTH_LE/Item%20Dict/item_drop_scrap_imi.png")</f>
        <v>sftp://graphic@103.41.58.141/marketing/WarzTH_LE/Item%20Dict/item_drop_scrap_imi.png</v>
      </c>
      <c r="M206" s="3"/>
      <c r="N206" s="3"/>
      <c r="O206" s="3"/>
    </row>
    <row r="207">
      <c r="A207" s="3" t="b">
        <f>IFERROR(__xludf.DUMMYFUNCTION("""COMPUTED_VALUE"""),TRUE)</f>
        <v>1</v>
      </c>
      <c r="B207" s="3" t="str">
        <f>IFERROR(__xludf.DUMMYFUNCTION("""COMPUTED_VALUE"""),"")</f>
        <v/>
      </c>
      <c r="C207" s="3">
        <f>IFERROR(__xludf.DUMMYFUNCTION("""COMPUTED_VALUE"""),301405.0)</f>
        <v>301405</v>
      </c>
      <c r="D207" s="5" t="str">
        <f>IFERROR(__xludf.DUMMYFUNCTION("""COMPUTED_VALUE"""),"https://cdn.exe.in.th/marketing/WarzTH_LE/Item%20Dict/item_drop_scrap_m82.png")</f>
        <v>https://cdn.exe.in.th/marketing/WarzTH_LE/Item%20Dict/item_drop_scrap_m82.png</v>
      </c>
      <c r="E207" s="3" t="str">
        <f>IFERROR(__xludf.DUMMYFUNCTION("""COMPUTED_VALUE"""),"Scrap M107")</f>
        <v>Scrap M107</v>
      </c>
      <c r="F207" s="2">
        <f>IFERROR(__xludf.DUMMYFUNCTION("""COMPUTED_VALUE"""),500.0)</f>
        <v>500</v>
      </c>
      <c r="G207" s="2" t="str">
        <f>IFERROR(__xludf.DUMMYFUNCTION("""COMPUTED_VALUE"""),"-")</f>
        <v>-</v>
      </c>
      <c r="H207" s="2" t="str">
        <f>IFERROR(__xludf.DUMMYFUNCTION("""COMPUTED_VALUE"""),"-")</f>
        <v>-</v>
      </c>
      <c r="I207" s="3" t="str">
        <f>IFERROR(__xludf.DUMMYFUNCTION("""COMPUTED_VALUE"""),"Components")</f>
        <v>Components</v>
      </c>
      <c r="J207" s="3" t="str">
        <f>IFERROR(__xludf.DUMMYFUNCTION("""COMPUTED_VALUE"""),"Yes")</f>
        <v>Yes</v>
      </c>
      <c r="K207" s="3"/>
      <c r="L207" s="3" t="str">
        <f>IFERROR(__xludf.DUMMYFUNCTION("""COMPUTED_VALUE"""),"sftp://graphic@103.41.58.141/marketing/WarzTH_LE/Item%20Dict/item_drop_scrap_m82.png")</f>
        <v>sftp://graphic@103.41.58.141/marketing/WarzTH_LE/Item%20Dict/item_drop_scrap_m82.png</v>
      </c>
      <c r="M207" s="3"/>
      <c r="N207" s="3"/>
      <c r="O207" s="3"/>
    </row>
    <row r="208">
      <c r="A208" s="3" t="b">
        <f>IFERROR(__xludf.DUMMYFUNCTION("""COMPUTED_VALUE"""),TRUE)</f>
        <v>1</v>
      </c>
      <c r="B208" s="3" t="str">
        <f>IFERROR(__xludf.DUMMYFUNCTION("""COMPUTED_VALUE"""),"")</f>
        <v/>
      </c>
      <c r="C208" s="3">
        <f>IFERROR(__xludf.DUMMYFUNCTION("""COMPUTED_VALUE"""),301413.0)</f>
        <v>301413</v>
      </c>
      <c r="D208" s="5" t="str">
        <f>IFERROR(__xludf.DUMMYFUNCTION("""COMPUTED_VALUE"""),"https://cdn.exe.in.th/marketing/WarzTH_LE/Item%20Dict/item_drop_scrap_sp66.png")</f>
        <v>https://cdn.exe.in.th/marketing/WarzTH_LE/Item%20Dict/item_drop_scrap_sp66.png</v>
      </c>
      <c r="E208" s="3" t="str">
        <f>IFERROR(__xludf.DUMMYFUNCTION("""COMPUTED_VALUE"""),"Scrap MAUSER SP66")</f>
        <v>Scrap MAUSER SP66</v>
      </c>
      <c r="F208" s="2">
        <f>IFERROR(__xludf.DUMMYFUNCTION("""COMPUTED_VALUE"""),250.0)</f>
        <v>250</v>
      </c>
      <c r="G208" s="2" t="str">
        <f>IFERROR(__xludf.DUMMYFUNCTION("""COMPUTED_VALUE"""),"-")</f>
        <v>-</v>
      </c>
      <c r="H208" s="2" t="str">
        <f>IFERROR(__xludf.DUMMYFUNCTION("""COMPUTED_VALUE"""),"-")</f>
        <v>-</v>
      </c>
      <c r="I208" s="3" t="str">
        <f>IFERROR(__xludf.DUMMYFUNCTION("""COMPUTED_VALUE"""),"Components")</f>
        <v>Components</v>
      </c>
      <c r="J208" s="3" t="str">
        <f>IFERROR(__xludf.DUMMYFUNCTION("""COMPUTED_VALUE"""),"Yes")</f>
        <v>Yes</v>
      </c>
      <c r="K208" s="3"/>
      <c r="L208" s="3" t="str">
        <f>IFERROR(__xludf.DUMMYFUNCTION("""COMPUTED_VALUE"""),"sftp://graphic@103.41.58.141/marketing/WarzTH_LE/Item%20Dict/item_drop_scrap_sp66.png")</f>
        <v>sftp://graphic@103.41.58.141/marketing/WarzTH_LE/Item%20Dict/item_drop_scrap_sp66.png</v>
      </c>
      <c r="M208" s="3"/>
      <c r="N208" s="3"/>
      <c r="O208" s="3"/>
    </row>
    <row r="209">
      <c r="A209" s="3" t="b">
        <f>IFERROR(__xludf.DUMMYFUNCTION("""COMPUTED_VALUE"""),TRUE)</f>
        <v>1</v>
      </c>
      <c r="B209" s="3" t="str">
        <f>IFERROR(__xludf.DUMMYFUNCTION("""COMPUTED_VALUE"""),"")</f>
        <v/>
      </c>
      <c r="C209" s="3">
        <f>IFERROR(__xludf.DUMMYFUNCTION("""COMPUTED_VALUE"""),301411.0)</f>
        <v>301411</v>
      </c>
      <c r="D209" s="5" t="str">
        <f>IFERROR(__xludf.DUMMYFUNCTION("""COMPUTED_VALUE"""),"https://cdn.exe.in.th/marketing/WarzTH_LE/Item%20Dict/item_drop_scrap_sig516.png")</f>
        <v>https://cdn.exe.in.th/marketing/WarzTH_LE/Item%20Dict/item_drop_scrap_sig516.png</v>
      </c>
      <c r="E209" s="3" t="str">
        <f>IFERROR(__xludf.DUMMYFUNCTION("""COMPUTED_VALUE"""),"Scrap SIG SAUER 556")</f>
        <v>Scrap SIG SAUER 556</v>
      </c>
      <c r="F209" s="2">
        <f>IFERROR(__xludf.DUMMYFUNCTION("""COMPUTED_VALUE"""),15.0)</f>
        <v>15</v>
      </c>
      <c r="G209" s="2" t="str">
        <f>IFERROR(__xludf.DUMMYFUNCTION("""COMPUTED_VALUE"""),"-")</f>
        <v>-</v>
      </c>
      <c r="H209" s="2" t="str">
        <f>IFERROR(__xludf.DUMMYFUNCTION("""COMPUTED_VALUE"""),"-")</f>
        <v>-</v>
      </c>
      <c r="I209" s="3" t="str">
        <f>IFERROR(__xludf.DUMMYFUNCTION("""COMPUTED_VALUE"""),"Components")</f>
        <v>Components</v>
      </c>
      <c r="J209" s="3" t="str">
        <f>IFERROR(__xludf.DUMMYFUNCTION("""COMPUTED_VALUE"""),"Yes")</f>
        <v>Yes</v>
      </c>
      <c r="K209" s="3"/>
      <c r="L209" s="3" t="str">
        <f>IFERROR(__xludf.DUMMYFUNCTION("""COMPUTED_VALUE"""),"sftp://graphic@103.41.58.141/marketing/WarzTH_LE/Item%20Dict/item_drop_scrap_sig516.png")</f>
        <v>sftp://graphic@103.41.58.141/marketing/WarzTH_LE/Item%20Dict/item_drop_scrap_sig516.png</v>
      </c>
      <c r="M209" s="3"/>
      <c r="N209" s="3"/>
      <c r="O209" s="3"/>
    </row>
    <row r="210">
      <c r="A210" s="3" t="b">
        <f>IFERROR(__xludf.DUMMYFUNCTION("""COMPUTED_VALUE"""),TRUE)</f>
        <v>1</v>
      </c>
      <c r="B210" s="3" t="str">
        <f>IFERROR(__xludf.DUMMYFUNCTION("""COMPUTED_VALUE"""),"")</f>
        <v/>
      </c>
      <c r="C210" s="3">
        <f>IFERROR(__xludf.DUMMYFUNCTION("""COMPUTED_VALUE"""),301414.0)</f>
        <v>301414</v>
      </c>
      <c r="D210" s="5" t="str">
        <f>IFERROR(__xludf.DUMMYFUNCTION("""COMPUTED_VALUE"""),"https://cdn.exe.in.th/marketing/WarzTH_LE/Item%20Dict/iron_wep.png")</f>
        <v>https://cdn.exe.in.th/marketing/WarzTH_LE/Item%20Dict/iron_wep.png</v>
      </c>
      <c r="E210" s="3" t="str">
        <f>IFERROR(__xludf.DUMMYFUNCTION("""COMPUTED_VALUE"""),"Scrap Weapon Craft")</f>
        <v>Scrap Weapon Craft</v>
      </c>
      <c r="F210" s="2">
        <f>IFERROR(__xludf.DUMMYFUNCTION("""COMPUTED_VALUE"""),1.0)</f>
        <v>1</v>
      </c>
      <c r="G210" s="2" t="str">
        <f>IFERROR(__xludf.DUMMYFUNCTION("""COMPUTED_VALUE"""),"-")</f>
        <v>-</v>
      </c>
      <c r="H210" s="2" t="str">
        <f>IFERROR(__xludf.DUMMYFUNCTION("""COMPUTED_VALUE"""),"-")</f>
        <v>-</v>
      </c>
      <c r="I210" s="3" t="str">
        <f>IFERROR(__xludf.DUMMYFUNCTION("""COMPUTED_VALUE"""),"Components")</f>
        <v>Components</v>
      </c>
      <c r="J210" s="3" t="str">
        <f>IFERROR(__xludf.DUMMYFUNCTION("""COMPUTED_VALUE"""),"Yes")</f>
        <v>Yes</v>
      </c>
      <c r="K210" s="3"/>
      <c r="L210" s="3" t="str">
        <f>IFERROR(__xludf.DUMMYFUNCTION("""COMPUTED_VALUE"""),"sftp://graphic@103.41.58.141/marketing/WarzTH_LE/Item%20Dict/iron_wep.png")</f>
        <v>sftp://graphic@103.41.58.141/marketing/WarzTH_LE/Item%20Dict/iron_wep.png</v>
      </c>
      <c r="M210" s="3"/>
      <c r="N210" s="3"/>
      <c r="O210" s="3"/>
    </row>
    <row r="211">
      <c r="A211" s="3" t="b">
        <f>IFERROR(__xludf.DUMMYFUNCTION("""COMPUTED_VALUE"""),TRUE)</f>
        <v>1</v>
      </c>
      <c r="B211" s="3" t="str">
        <f>IFERROR(__xludf.DUMMYFUNCTION("""COMPUTED_VALUE"""),"")</f>
        <v/>
      </c>
      <c r="C211" s="3">
        <f>IFERROR(__xludf.DUMMYFUNCTION("""COMPUTED_VALUE"""),20025.0)</f>
        <v>20025</v>
      </c>
      <c r="D211" s="5" t="str">
        <f>IFERROR(__xludf.DUMMYFUNCTION("""COMPUTED_VALUE"""),"https://cdn.exe.in.th/marketing/WarzTH_LE/Item%20Dict/shadow.png")</f>
        <v>https://cdn.exe.in.th/marketing/WarzTH_LE/Item%20Dict/shadow.png</v>
      </c>
      <c r="E211" s="3" t="str">
        <f>IFERROR(__xludf.DUMMYFUNCTION("""COMPUTED_VALUE"""),"Shadow")</f>
        <v>Shadow</v>
      </c>
      <c r="F211" s="2">
        <f>IFERROR(__xludf.DUMMYFUNCTION("""COMPUTED_VALUE"""),1.0)</f>
        <v>1</v>
      </c>
      <c r="G211" s="2" t="str">
        <f>IFERROR(__xludf.DUMMYFUNCTION("""COMPUTED_VALUE"""),"10 GC")</f>
        <v>10 GC</v>
      </c>
      <c r="H211" s="2" t="str">
        <f>IFERROR(__xludf.DUMMYFUNCTION("""COMPUTED_VALUE"""),"1,000 Dollars")</f>
        <v>1,000 Dollars</v>
      </c>
      <c r="I211" s="3" t="str">
        <f>IFERROR(__xludf.DUMMYFUNCTION("""COMPUTED_VALUE"""),"Equipment")</f>
        <v>Equipment</v>
      </c>
      <c r="J211" s="3" t="str">
        <f>IFERROR(__xludf.DUMMYFUNCTION("""COMPUTED_VALUE"""),"No")</f>
        <v>No</v>
      </c>
      <c r="K211" s="3"/>
      <c r="L211" s="3" t="str">
        <f>IFERROR(__xludf.DUMMYFUNCTION("""COMPUTED_VALUE"""),"sftp://graphic@103.41.58.141/marketing/WarzTH_LE/Item%20Dict/shadow.png")</f>
        <v>sftp://graphic@103.41.58.141/marketing/WarzTH_LE/Item%20Dict/shadow.png</v>
      </c>
      <c r="M211" s="3"/>
      <c r="N211" s="3" t="str">
        <f>IFERROR(__xludf.DUMMYFUNCTION("""COMPUTED_VALUE"""),"This head gear was designed to not only make you look scary but also to protect your pretty face.")</f>
        <v>This head gear was designed to not only make you look scary but also to protect your pretty face.</v>
      </c>
      <c r="O211" s="3"/>
    </row>
    <row r="212">
      <c r="A212" s="3" t="b">
        <f>IFERROR(__xludf.DUMMYFUNCTION("""COMPUTED_VALUE"""),TRUE)</f>
        <v>1</v>
      </c>
      <c r="B212" s="3" t="str">
        <f>IFERROR(__xludf.DUMMYFUNCTION("""COMPUTED_VALUE"""),"")</f>
        <v/>
      </c>
      <c r="C212" s="3">
        <f>IFERROR(__xludf.DUMMYFUNCTION("""COMPUTED_VALUE"""),400141.0)</f>
        <v>400141</v>
      </c>
      <c r="D212" s="5" t="str">
        <f>IFERROR(__xludf.DUMMYFUNCTION("""COMPUTED_VALUE"""),"https://cdn.exe.in.th/marketing/WarzTH_LE/Item%20Dict/shotgun_shell_2x.png")</f>
        <v>https://cdn.exe.in.th/marketing/WarzTH_LE/Item%20Dict/shotgun_shell_2x.png</v>
      </c>
      <c r="E212" s="3" t="str">
        <f>IFERROR(__xludf.DUMMYFUNCTION("""COMPUTED_VALUE"""),"Shotgun shell 2x")</f>
        <v>Shotgun shell 2x</v>
      </c>
      <c r="F212" s="2">
        <f>IFERROR(__xludf.DUMMYFUNCTION("""COMPUTED_VALUE"""),1.5)</f>
        <v>1.5</v>
      </c>
      <c r="G212" s="2" t="str">
        <f>IFERROR(__xludf.DUMMYFUNCTION("""COMPUTED_VALUE"""),"-")</f>
        <v>-</v>
      </c>
      <c r="H212" s="2" t="str">
        <f>IFERROR(__xludf.DUMMYFUNCTION("""COMPUTED_VALUE"""),"1,250 Dollars")</f>
        <v>1,250 Dollars</v>
      </c>
      <c r="I212" s="3" t="str">
        <f>IFERROR(__xludf.DUMMYFUNCTION("""COMPUTED_VALUE"""),"Ammo")</f>
        <v>Ammo</v>
      </c>
      <c r="J212" s="3" t="str">
        <f>IFERROR(__xludf.DUMMYFUNCTION("""COMPUTED_VALUE"""),"Yes")</f>
        <v>Yes</v>
      </c>
      <c r="K212" s="3"/>
      <c r="L212" s="3" t="str">
        <f>IFERROR(__xludf.DUMMYFUNCTION("""COMPUTED_VALUE"""),"sftp://graphic@103.41.58.141/marketing/WarzTH_LE/Item%20Dict/shotgun_shell_2x.png")</f>
        <v>sftp://graphic@103.41.58.141/marketing/WarzTH_LE/Item%20Dict/shotgun_shell_2x.png</v>
      </c>
      <c r="M212" s="3"/>
      <c r="N212" s="3" t="str">
        <f>IFERROR(__xludf.DUMMYFUNCTION("""COMPUTED_VALUE"""),"2 Shells for use in the double barrel")</f>
        <v>2 Shells for use in the double barrel</v>
      </c>
      <c r="O212" s="3"/>
    </row>
    <row r="213">
      <c r="A213" s="3" t="b">
        <f>IFERROR(__xludf.DUMMYFUNCTION("""COMPUTED_VALUE"""),TRUE)</f>
        <v>1</v>
      </c>
      <c r="B213" s="3" t="str">
        <f>IFERROR(__xludf.DUMMYFUNCTION("""COMPUTED_VALUE"""),"")</f>
        <v/>
      </c>
      <c r="C213" s="3">
        <f>IFERROR(__xludf.DUMMYFUNCTION("""COMPUTED_VALUE"""),400142.0)</f>
        <v>400142</v>
      </c>
      <c r="D213" s="5" t="str">
        <f>IFERROR(__xludf.DUMMYFUNCTION("""COMPUTED_VALUE"""),"https://cdn.exe.in.th/marketing/WarzTH_LE/Item%20Dict/shotgun_shell_8x.png")</f>
        <v>https://cdn.exe.in.th/marketing/WarzTH_LE/Item%20Dict/shotgun_shell_8x.png</v>
      </c>
      <c r="E213" s="3" t="str">
        <f>IFERROR(__xludf.DUMMYFUNCTION("""COMPUTED_VALUE"""),"Shotgun shell 8x")</f>
        <v>Shotgun shell 8x</v>
      </c>
      <c r="F213" s="2">
        <f>IFERROR(__xludf.DUMMYFUNCTION("""COMPUTED_VALUE"""),6.0)</f>
        <v>6</v>
      </c>
      <c r="G213" s="2" t="str">
        <f>IFERROR(__xludf.DUMMYFUNCTION("""COMPUTED_VALUE"""),"-")</f>
        <v>-</v>
      </c>
      <c r="H213" s="2" t="str">
        <f>IFERROR(__xludf.DUMMYFUNCTION("""COMPUTED_VALUE"""),"5,000 Dollars")</f>
        <v>5,000 Dollars</v>
      </c>
      <c r="I213" s="3" t="str">
        <f>IFERROR(__xludf.DUMMYFUNCTION("""COMPUTED_VALUE"""),"Ammo")</f>
        <v>Ammo</v>
      </c>
      <c r="J213" s="3" t="str">
        <f>IFERROR(__xludf.DUMMYFUNCTION("""COMPUTED_VALUE"""),"Yes")</f>
        <v>Yes</v>
      </c>
      <c r="K213" s="3"/>
      <c r="L213" s="3" t="str">
        <f>IFERROR(__xludf.DUMMYFUNCTION("""COMPUTED_VALUE"""),"sftp://graphic@103.41.58.141/marketing/WarzTH_LE/Item%20Dict/shotgun_shell_8x.png")</f>
        <v>sftp://graphic@103.41.58.141/marketing/WarzTH_LE/Item%20Dict/shotgun_shell_8x.png</v>
      </c>
      <c r="M213" s="3"/>
      <c r="N213" s="3" t="str">
        <f>IFERROR(__xludf.DUMMYFUNCTION("""COMPUTED_VALUE"""),"8 Shells for use in standard shotguns")</f>
        <v>8 Shells for use in standard shotguns</v>
      </c>
      <c r="O213" s="3"/>
    </row>
    <row r="214">
      <c r="A214" s="3" t="b">
        <f>IFERROR(__xludf.DUMMYFUNCTION("""COMPUTED_VALUE"""),TRUE)</f>
        <v>1</v>
      </c>
      <c r="B214" s="3" t="str">
        <f>IFERROR(__xludf.DUMMYFUNCTION("""COMPUTED_VALUE"""),"")</f>
        <v/>
      </c>
      <c r="C214" s="3">
        <f>IFERROR(__xludf.DUMMYFUNCTION("""COMPUTED_VALUE"""),101346.0)</f>
        <v>101346</v>
      </c>
      <c r="D214" s="5" t="str">
        <f>IFERROR(__xludf.DUMMYFUNCTION("""COMPUTED_VALUE"""),"https://cdn.exe.in.th/marketing/WarzTH_LE/Item%20Dict/shovel.png")</f>
        <v>https://cdn.exe.in.th/marketing/WarzTH_LE/Item%20Dict/shovel.png</v>
      </c>
      <c r="E214" s="3" t="str">
        <f>IFERROR(__xludf.DUMMYFUNCTION("""COMPUTED_VALUE"""),"Shovel")</f>
        <v>Shovel</v>
      </c>
      <c r="F214" s="2">
        <f>IFERROR(__xludf.DUMMYFUNCTION("""COMPUTED_VALUE"""),1.5)</f>
        <v>1.5</v>
      </c>
      <c r="G214" s="2" t="str">
        <f>IFERROR(__xludf.DUMMYFUNCTION("""COMPUTED_VALUE"""),"15 GC")</f>
        <v>15 GC</v>
      </c>
      <c r="H214" s="2" t="str">
        <f>IFERROR(__xludf.DUMMYFUNCTION("""COMPUTED_VALUE"""),"1,500 Dollars")</f>
        <v>1,500 Dollars</v>
      </c>
      <c r="I214" s="3" t="str">
        <f>IFERROR(__xludf.DUMMYFUNCTION("""COMPUTED_VALUE"""),"Weapon")</f>
        <v>Weapon</v>
      </c>
      <c r="J214" s="3" t="str">
        <f>IFERROR(__xludf.DUMMYFUNCTION("""COMPUTED_VALUE"""),"No")</f>
        <v>No</v>
      </c>
      <c r="K214" s="3"/>
      <c r="L214" s="3" t="str">
        <f>IFERROR(__xludf.DUMMYFUNCTION("""COMPUTED_VALUE"""),"sftp://graphic@103.41.58.141/marketing/WarzTH_LE/Item%20Dict/shovel.png")</f>
        <v>sftp://graphic@103.41.58.141/marketing/WarzTH_LE/Item%20Dict/shovel.png</v>
      </c>
      <c r="M214" s="3"/>
      <c r="N214" s="3" t="str">
        <f>IFERROR(__xludf.DUMMYFUNCTION("""COMPUTED_VALUE"""),"Practical AND deadly")</f>
        <v>Practical AND deadly</v>
      </c>
      <c r="O214" s="3"/>
    </row>
    <row r="215">
      <c r="A215" s="3" t="b">
        <f>IFERROR(__xludf.DUMMYFUNCTION("""COMPUTED_VALUE"""),TRUE)</f>
        <v>1</v>
      </c>
      <c r="B215" s="3" t="str">
        <f>IFERROR(__xludf.DUMMYFUNCTION("""COMPUTED_VALUE"""),"")</f>
        <v/>
      </c>
      <c r="C215" s="3">
        <f>IFERROR(__xludf.DUMMYFUNCTION("""COMPUTED_VALUE"""),101172.0)</f>
        <v>101172</v>
      </c>
      <c r="D215" s="5" t="str">
        <f>IFERROR(__xludf.DUMMYFUNCTION("""COMPUTED_VALUE"""),"https://cdn.exe.in.th/marketing/WarzTH_LE/Item%20Dict/sig_sauer_556.png")</f>
        <v>https://cdn.exe.in.th/marketing/WarzTH_LE/Item%20Dict/sig_sauer_556.png</v>
      </c>
      <c r="E215" s="3" t="str">
        <f>IFERROR(__xludf.DUMMYFUNCTION("""COMPUTED_VALUE"""),"SIG SAUER 556")</f>
        <v>SIG SAUER 556</v>
      </c>
      <c r="F215" s="2">
        <f>IFERROR(__xludf.DUMMYFUNCTION("""COMPUTED_VALUE"""),150.0)</f>
        <v>150</v>
      </c>
      <c r="G215" s="2" t="str">
        <f>IFERROR(__xludf.DUMMYFUNCTION("""COMPUTED_VALUE"""),"-")</f>
        <v>-</v>
      </c>
      <c r="H215" s="2" t="str">
        <f>IFERROR(__xludf.DUMMYFUNCTION("""COMPUTED_VALUE"""),"-")</f>
        <v>-</v>
      </c>
      <c r="I215" s="3" t="str">
        <f>IFERROR(__xludf.DUMMYFUNCTION("""COMPUTED_VALUE"""),"Weapon")</f>
        <v>Weapon</v>
      </c>
      <c r="J215" s="3" t="str">
        <f>IFERROR(__xludf.DUMMYFUNCTION("""COMPUTED_VALUE"""),"No")</f>
        <v>No</v>
      </c>
      <c r="K215" s="3" t="str">
        <f>IFERROR(__xludf.DUMMYFUNCTION("""COMPUTED_VALUE"""),"S")</f>
        <v>S</v>
      </c>
      <c r="L215" s="3" t="str">
        <f>IFERROR(__xludf.DUMMYFUNCTION("""COMPUTED_VALUE"""),"sftp://graphic@103.41.58.141/marketing/WarzTH_LE/Item%20Dict/sig_sauer_556.png")</f>
        <v>sftp://graphic@103.41.58.141/marketing/WarzTH_LE/Item%20Dict/sig_sauer_556.png</v>
      </c>
      <c r="M215" s="3"/>
      <c r="N215" s="3" t="str">
        <f>IFERROR(__xludf.DUMMYFUNCTION("""COMPUTED_VALUE"""),"The 556 is a gas operated, rotating bolt assault rifle that fires a 5.56 x 45 mm round and was designed for special operations. It is very effective out to medium ranges.")</f>
        <v>The 556 is a gas operated, rotating bolt assault rifle that fires a 5.56 x 45 mm round and was designed for special operations. It is very effective out to medium ranges.</v>
      </c>
      <c r="O215" s="3"/>
    </row>
    <row r="216">
      <c r="A216" s="3" t="b">
        <f>IFERROR(__xludf.DUMMYFUNCTION("""COMPUTED_VALUE"""),TRUE)</f>
        <v>1</v>
      </c>
      <c r="B216" s="3" t="str">
        <f>IFERROR(__xludf.DUMMYFUNCTION("""COMPUTED_VALUE"""),"")</f>
        <v/>
      </c>
      <c r="C216" s="3">
        <f>IFERROR(__xludf.DUMMYFUNCTION("""COMPUTED_VALUE"""),101120.0)</f>
        <v>101120</v>
      </c>
      <c r="D216" s="5" t="str">
        <f>IFERROR(__xludf.DUMMYFUNCTION("""COMPUTED_VALUE"""),"https://cdn.exe.in.th/marketing/WarzTH_LE/Item%20Dict/sig_sauer_p226.png")</f>
        <v>https://cdn.exe.in.th/marketing/WarzTH_LE/Item%20Dict/sig_sauer_p226.png</v>
      </c>
      <c r="E216" s="3" t="str">
        <f>IFERROR(__xludf.DUMMYFUNCTION("""COMPUTED_VALUE"""),"Sig Sauer P226")</f>
        <v>Sig Sauer P226</v>
      </c>
      <c r="F216" s="2">
        <f>IFERROR(__xludf.DUMMYFUNCTION("""COMPUTED_VALUE"""),0.5)</f>
        <v>0.5</v>
      </c>
      <c r="G216" s="2" t="str">
        <f>IFERROR(__xludf.DUMMYFUNCTION("""COMPUTED_VALUE"""),"-")</f>
        <v>-</v>
      </c>
      <c r="H216" s="2" t="str">
        <f>IFERROR(__xludf.DUMMYFUNCTION("""COMPUTED_VALUE"""),"-")</f>
        <v>-</v>
      </c>
      <c r="I216" s="3" t="str">
        <f>IFERROR(__xludf.DUMMYFUNCTION("""COMPUTED_VALUE"""),"Weapon")</f>
        <v>Weapon</v>
      </c>
      <c r="J216" s="3" t="str">
        <f>IFERROR(__xludf.DUMMYFUNCTION("""COMPUTED_VALUE"""),"No")</f>
        <v>No</v>
      </c>
      <c r="K216" s="3"/>
      <c r="L216" s="3" t="str">
        <f>IFERROR(__xludf.DUMMYFUNCTION("""COMPUTED_VALUE"""),"sftp://graphic@103.41.58.141/marketing/WarzTH_LE/Item%20Dict/sig_sauer_p226.png")</f>
        <v>sftp://graphic@103.41.58.141/marketing/WarzTH_LE/Item%20Dict/sig_sauer_p226.png</v>
      </c>
      <c r="M216" s="3"/>
      <c r="N216" s="3" t="str">
        <f>IFERROR(__xludf.DUMMYFUNCTION("""COMPUTED_VALUE"""),"The SIG P226 is a full-sized, service-type pistol made by SIG Sauer. It been designed to fire a 9 x 19 mm round that makes it an effective weapon against close ranged targets.")</f>
        <v>The SIG P226 is a full-sized, service-type pistol made by SIG Sauer. It been designed to fire a 9 x 19 mm round that makes it an effective weapon against close ranged targets.</v>
      </c>
      <c r="O216" s="3"/>
    </row>
    <row r="217">
      <c r="A217" s="3" t="b">
        <f>IFERROR(__xludf.DUMMYFUNCTION("""COMPUTED_VALUE"""),TRUE)</f>
        <v>1</v>
      </c>
      <c r="B217" s="3" t="str">
        <f>IFERROR(__xludf.DUMMYFUNCTION("""COMPUTED_VALUE"""),"")</f>
        <v/>
      </c>
      <c r="C217" s="3">
        <f>IFERROR(__xludf.DUMMYFUNCTION("""COMPUTED_VALUE"""),400013.0)</f>
        <v>400013</v>
      </c>
      <c r="D217" s="5" t="str">
        <f>IFERROR(__xludf.DUMMYFUNCTION("""COMPUTED_VALUE"""),"https://cdn.exe.in.th/marketing/WarzTH_LE/Item%20Dict/silencer.png")</f>
        <v>https://cdn.exe.in.th/marketing/WarzTH_LE/Item%20Dict/silencer.png</v>
      </c>
      <c r="E217" s="3" t="str">
        <f>IFERROR(__xludf.DUMMYFUNCTION("""COMPUTED_VALUE"""),"Silencer")</f>
        <v>Silencer</v>
      </c>
      <c r="F217" s="2">
        <f>IFERROR(__xludf.DUMMYFUNCTION("""COMPUTED_VALUE"""),3.5)</f>
        <v>3.5</v>
      </c>
      <c r="G217" s="2" t="str">
        <f>IFERROR(__xludf.DUMMYFUNCTION("""COMPUTED_VALUE"""),"-")</f>
        <v>-</v>
      </c>
      <c r="H217" s="2" t="str">
        <f>IFERROR(__xludf.DUMMYFUNCTION("""COMPUTED_VALUE"""),"3,000 Dollars")</f>
        <v>3,000 Dollars</v>
      </c>
      <c r="I217" s="3" t="str">
        <f>IFERROR(__xludf.DUMMYFUNCTION("""COMPUTED_VALUE"""),"Attachment")</f>
        <v>Attachment</v>
      </c>
      <c r="J217" s="3" t="str">
        <f>IFERROR(__xludf.DUMMYFUNCTION("""COMPUTED_VALUE"""),"No")</f>
        <v>No</v>
      </c>
      <c r="K217" s="3"/>
      <c r="L217" s="3" t="str">
        <f>IFERROR(__xludf.DUMMYFUNCTION("""COMPUTED_VALUE"""),"sftp://graphic@103.41.58.141/marketing/WarzTH_LE/Item%20Dict/silencer.png")</f>
        <v>sftp://graphic@103.41.58.141/marketing/WarzTH_LE/Item%20Dict/silencer.png</v>
      </c>
      <c r="M217" s="3"/>
      <c r="N217" s="3" t="str">
        <f>IFERROR(__xludf.DUMMYFUNCTION("""COMPUTED_VALUE"""),"The Silencer will lower the sound of a weapons discharge when fired at normal or rapid speeds.")</f>
        <v>The Silencer will lower the sound of a weapons discharge when fired at normal or rapid speeds.</v>
      </c>
      <c r="O217" s="3"/>
    </row>
    <row r="218">
      <c r="A218" s="3" t="b">
        <f>IFERROR(__xludf.DUMMYFUNCTION("""COMPUTED_VALUE"""),TRUE)</f>
        <v>1</v>
      </c>
      <c r="B218" s="3" t="str">
        <f>IFERROR(__xludf.DUMMYFUNCTION("""COMPUTED_VALUE"""),"")</f>
        <v/>
      </c>
      <c r="C218" s="3">
        <f>IFERROR(__xludf.DUMMYFUNCTION("""COMPUTED_VALUE"""),20035.0)</f>
        <v>20035</v>
      </c>
      <c r="D218" s="5" t="str">
        <f>IFERROR(__xludf.DUMMYFUNCTION("""COMPUTED_VALUE"""),"https://cdn.exe.in.th/marketing/WarzTH_LE/Item%20Dict/skull_mask.png")</f>
        <v>https://cdn.exe.in.th/marketing/WarzTH_LE/Item%20Dict/skull_mask.png</v>
      </c>
      <c r="E218" s="3" t="str">
        <f>IFERROR(__xludf.DUMMYFUNCTION("""COMPUTED_VALUE"""),"Skull Mask")</f>
        <v>Skull Mask</v>
      </c>
      <c r="F218" s="2">
        <f>IFERROR(__xludf.DUMMYFUNCTION("""COMPUTED_VALUE"""),1.0)</f>
        <v>1</v>
      </c>
      <c r="G218" s="2" t="str">
        <f>IFERROR(__xludf.DUMMYFUNCTION("""COMPUTED_VALUE"""),"-")</f>
        <v>-</v>
      </c>
      <c r="H218" s="2" t="str">
        <f>IFERROR(__xludf.DUMMYFUNCTION("""COMPUTED_VALUE"""),"1,000 Dollars")</f>
        <v>1,000 Dollars</v>
      </c>
      <c r="I218" s="3" t="str">
        <f>IFERROR(__xludf.DUMMYFUNCTION("""COMPUTED_VALUE"""),"Equipment")</f>
        <v>Equipment</v>
      </c>
      <c r="J218" s="3" t="str">
        <f>IFERROR(__xludf.DUMMYFUNCTION("""COMPUTED_VALUE"""),"No")</f>
        <v>No</v>
      </c>
      <c r="K218" s="3"/>
      <c r="L218" s="3" t="str">
        <f>IFERROR(__xludf.DUMMYFUNCTION("""COMPUTED_VALUE"""),"sftp://graphic@103.41.58.141/marketing/WarzTH_LE/Item%20Dict/skull_mask.png")</f>
        <v>sftp://graphic@103.41.58.141/marketing/WarzTH_LE/Item%20Dict/skull_mask.png</v>
      </c>
      <c r="M218" s="3"/>
      <c r="N218" s="3" t="str">
        <f>IFERROR(__xludf.DUMMYFUNCTION("""COMPUTED_VALUE"""),"The Skull Mask shows you know how to Grin and Bear it!")</f>
        <v>The Skull Mask shows you know how to Grin and Bear it!</v>
      </c>
      <c r="O218" s="3"/>
    </row>
    <row r="219">
      <c r="A219" s="3" t="b">
        <f>IFERROR(__xludf.DUMMYFUNCTION("""COMPUTED_VALUE"""),TRUE)</f>
        <v>1</v>
      </c>
      <c r="B219" s="3" t="str">
        <f>IFERROR(__xludf.DUMMYFUNCTION("""COMPUTED_VALUE"""),"")</f>
        <v/>
      </c>
      <c r="C219" s="3">
        <f>IFERROR(__xludf.DUMMYFUNCTION("""COMPUTED_VALUE"""),20036.0)</f>
        <v>20036</v>
      </c>
      <c r="D219" s="5" t="str">
        <f>IFERROR(__xludf.DUMMYFUNCTION("""COMPUTED_VALUE"""),"https://cdn.exe.in.th/marketing/WarzTH_LE/Item%20Dict/slash_mask.png")</f>
        <v>https://cdn.exe.in.th/marketing/WarzTH_LE/Item%20Dict/slash_mask.png</v>
      </c>
      <c r="E219" s="3" t="str">
        <f>IFERROR(__xludf.DUMMYFUNCTION("""COMPUTED_VALUE"""),"Slash Mask")</f>
        <v>Slash Mask</v>
      </c>
      <c r="F219" s="2">
        <f>IFERROR(__xludf.DUMMYFUNCTION("""COMPUTED_VALUE"""),1.0)</f>
        <v>1</v>
      </c>
      <c r="G219" s="2" t="str">
        <f>IFERROR(__xludf.DUMMYFUNCTION("""COMPUTED_VALUE"""),"-")</f>
        <v>-</v>
      </c>
      <c r="H219" s="2" t="str">
        <f>IFERROR(__xludf.DUMMYFUNCTION("""COMPUTED_VALUE"""),"1,000 Dollars")</f>
        <v>1,000 Dollars</v>
      </c>
      <c r="I219" s="3" t="str">
        <f>IFERROR(__xludf.DUMMYFUNCTION("""COMPUTED_VALUE"""),"Equipment")</f>
        <v>Equipment</v>
      </c>
      <c r="J219" s="3" t="str">
        <f>IFERROR(__xludf.DUMMYFUNCTION("""COMPUTED_VALUE"""),"No")</f>
        <v>No</v>
      </c>
      <c r="K219" s="3"/>
      <c r="L219" s="3" t="str">
        <f>IFERROR(__xludf.DUMMYFUNCTION("""COMPUTED_VALUE"""),"sftp://graphic@103.41.58.141/marketing/WarzTH_LE/Item%20Dict/slash_mask.png")</f>
        <v>sftp://graphic@103.41.58.141/marketing/WarzTH_LE/Item%20Dict/slash_mask.png</v>
      </c>
      <c r="M219" s="3"/>
      <c r="N219" s="3" t="str">
        <f>IFERROR(__xludf.DUMMYFUNCTION("""COMPUTED_VALUE"""),"While not just another pretty face, the Slash Mask is a cut above the rest! Get it and look the part of a killer.")</f>
        <v>While not just another pretty face, the Slash Mask is a cut above the rest! Get it and look the part of a killer.</v>
      </c>
      <c r="O219" s="3"/>
    </row>
    <row r="220">
      <c r="A220" s="3" t="b">
        <f>IFERROR(__xludf.DUMMYFUNCTION("""COMPUTED_VALUE"""),TRUE)</f>
        <v>1</v>
      </c>
      <c r="B220" s="3" t="str">
        <f>IFERROR(__xludf.DUMMYFUNCTION("""COMPUTED_VALUE"""),"")</f>
        <v/>
      </c>
      <c r="C220" s="3">
        <f>IFERROR(__xludf.DUMMYFUNCTION("""COMPUTED_VALUE"""),20176.0)</f>
        <v>20176</v>
      </c>
      <c r="D220" s="5" t="str">
        <f>IFERROR(__xludf.DUMMYFUNCTION("""COMPUTED_VALUE"""),"https://cdn.exe.in.th/marketing/WarzTH_LE/Item%20Dict/small_backpack.png")</f>
        <v>https://cdn.exe.in.th/marketing/WarzTH_LE/Item%20Dict/small_backpack.png</v>
      </c>
      <c r="E220" s="3" t="str">
        <f>IFERROR(__xludf.DUMMYFUNCTION("""COMPUTED_VALUE"""),"Small Backpack")</f>
        <v>Small Backpack</v>
      </c>
      <c r="F220" s="2" t="str">
        <f>IFERROR(__xludf.DUMMYFUNCTION("""COMPUTED_VALUE"""),"-")</f>
        <v>-</v>
      </c>
      <c r="G220" s="2" t="str">
        <f>IFERROR(__xludf.DUMMYFUNCTION("""COMPUTED_VALUE"""),"-")</f>
        <v>-</v>
      </c>
      <c r="H220" s="2" t="str">
        <f>IFERROR(__xludf.DUMMYFUNCTION("""COMPUTED_VALUE"""),"-")</f>
        <v>-</v>
      </c>
      <c r="I220" s="3" t="str">
        <f>IFERROR(__xludf.DUMMYFUNCTION("""COMPUTED_VALUE"""),"Equipment")</f>
        <v>Equipment</v>
      </c>
      <c r="J220" s="3" t="str">
        <f>IFERROR(__xludf.DUMMYFUNCTION("""COMPUTED_VALUE"""),"No")</f>
        <v>No</v>
      </c>
      <c r="K220" s="3"/>
      <c r="L220" s="3" t="str">
        <f>IFERROR(__xludf.DUMMYFUNCTION("""COMPUTED_VALUE"""),"sftp://graphic@103.41.58.141/marketing/WarzTH_LE/Item%20Dict/small_backpack.png")</f>
        <v>sftp://graphic@103.41.58.141/marketing/WarzTH_LE/Item%20Dict/small_backpack.png</v>
      </c>
      <c r="M220" s="3"/>
      <c r="N220" s="3" t="str">
        <f>IFERROR(__xludf.DUMMYFUNCTION("""COMPUTED_VALUE"""),"A small backpack allowing some storage for essential items and equipment.")</f>
        <v>A small backpack allowing some storage for essential items and equipment.</v>
      </c>
      <c r="O220" s="3"/>
    </row>
    <row r="221">
      <c r="A221" s="3" t="b">
        <f>IFERROR(__xludf.DUMMYFUNCTION("""COMPUTED_VALUE"""),TRUE)</f>
        <v>1</v>
      </c>
      <c r="B221" s="3" t="str">
        <f>IFERROR(__xludf.DUMMYFUNCTION("""COMPUTED_VALUE"""),"")</f>
        <v/>
      </c>
      <c r="C221" s="3">
        <f>IFERROR(__xludf.DUMMYFUNCTION("""COMPUTED_VALUE"""),400084.0)</f>
        <v>400084</v>
      </c>
      <c r="D221" s="5" t="str">
        <f>IFERROR(__xludf.DUMMYFUNCTION("""COMPUTED_VALUE"""),"https://cdn.exe.in.th/marketing/WarzTH_LE/Item%20Dict/smg_20_ammo.png")</f>
        <v>https://cdn.exe.in.th/marketing/WarzTH_LE/Item%20Dict/smg_20_ammo.png</v>
      </c>
      <c r="E221" s="3" t="str">
        <f>IFERROR(__xludf.DUMMYFUNCTION("""COMPUTED_VALUE"""),"SMG-20 ammo")</f>
        <v>SMG-20 ammo</v>
      </c>
      <c r="F221" s="2">
        <f>IFERROR(__xludf.DUMMYFUNCTION("""COMPUTED_VALUE"""),1.0)</f>
        <v>1</v>
      </c>
      <c r="G221" s="8" t="str">
        <f>IFERROR(__xludf.DUMMYFUNCTION("""COMPUTED_VALUE"""),"-")</f>
        <v>-</v>
      </c>
      <c r="H221" s="2" t="str">
        <f>IFERROR(__xludf.DUMMYFUNCTION("""COMPUTED_VALUE"""),"1,000 Dollars")</f>
        <v>1,000 Dollars</v>
      </c>
      <c r="I221" s="3" t="str">
        <f>IFERROR(__xludf.DUMMYFUNCTION("""COMPUTED_VALUE"""),"Ammo")</f>
        <v>Ammo</v>
      </c>
      <c r="J221" s="3" t="str">
        <f>IFERROR(__xludf.DUMMYFUNCTION("""COMPUTED_VALUE"""),"Yes")</f>
        <v>Yes</v>
      </c>
      <c r="K221" s="3"/>
      <c r="L221" s="3" t="str">
        <f>IFERROR(__xludf.DUMMYFUNCTION("""COMPUTED_VALUE"""),"sftp://graphic@103.41.58.141/marketing/WarzTH_LE/Item%20Dict/smg_20_ammo.png")</f>
        <v>sftp://graphic@103.41.58.141/marketing/WarzTH_LE/Item%20Dict/smg_20_ammo.png</v>
      </c>
      <c r="M221" s="3"/>
      <c r="N221" s="3" t="str">
        <f>IFERROR(__xludf.DUMMYFUNCTION("""COMPUTED_VALUE"""),"9x19mm Para 20 rounds magazine specially designed for Uzi and Veresk smg.")</f>
        <v>9x19mm Para 20 rounds magazine specially designed for Uzi and Veresk smg.</v>
      </c>
      <c r="O221" s="3"/>
    </row>
    <row r="222">
      <c r="A222" s="3" t="b">
        <f>IFERROR(__xludf.DUMMYFUNCTION("""COMPUTED_VALUE"""),TRUE)</f>
        <v>1</v>
      </c>
      <c r="B222" s="3" t="str">
        <f>IFERROR(__xludf.DUMMYFUNCTION("""COMPUTED_VALUE"""),"")</f>
        <v/>
      </c>
      <c r="C222" s="3">
        <f>IFERROR(__xludf.DUMMYFUNCTION("""COMPUTED_VALUE"""),400085.0)</f>
        <v>400085</v>
      </c>
      <c r="D222" s="5" t="str">
        <f>IFERROR(__xludf.DUMMYFUNCTION("""COMPUTED_VALUE"""),"https://cdn.exe.in.th/marketing/WarzTH_LE/Item%20Dict/smg_40_ammo.png")</f>
        <v>https://cdn.exe.in.th/marketing/WarzTH_LE/Item%20Dict/smg_40_ammo.png</v>
      </c>
      <c r="E222" s="3" t="str">
        <f>IFERROR(__xludf.DUMMYFUNCTION("""COMPUTED_VALUE"""),"SMG-40 ammo")</f>
        <v>SMG-40 ammo</v>
      </c>
      <c r="F222" s="2">
        <f>IFERROR(__xludf.DUMMYFUNCTION("""COMPUTED_VALUE"""),1.0)</f>
        <v>1</v>
      </c>
      <c r="G222" s="2" t="str">
        <f>IFERROR(__xludf.DUMMYFUNCTION("""COMPUTED_VALUE"""),"10 GC")</f>
        <v>10 GC</v>
      </c>
      <c r="H222" s="2" t="str">
        <f>IFERROR(__xludf.DUMMYFUNCTION("""COMPUTED_VALUE"""),"1,000 Dollars")</f>
        <v>1,000 Dollars</v>
      </c>
      <c r="I222" s="3" t="str">
        <f>IFERROR(__xludf.DUMMYFUNCTION("""COMPUTED_VALUE"""),"Ammo")</f>
        <v>Ammo</v>
      </c>
      <c r="J222" s="3" t="str">
        <f>IFERROR(__xludf.DUMMYFUNCTION("""COMPUTED_VALUE"""),"Yes")</f>
        <v>Yes</v>
      </c>
      <c r="K222" s="3"/>
      <c r="L222" s="3" t="str">
        <f>IFERROR(__xludf.DUMMYFUNCTION("""COMPUTED_VALUE"""),"sftp://graphic@103.41.58.141/marketing/WarzTH_LE/Item%20Dict/smg_40_ammo.png")</f>
        <v>sftp://graphic@103.41.58.141/marketing/WarzTH_LE/Item%20Dict/smg_40_ammo.png</v>
      </c>
      <c r="M222" s="3"/>
      <c r="N222" s="3"/>
      <c r="O222" s="3"/>
    </row>
    <row r="223">
      <c r="A223" s="3" t="b">
        <f>IFERROR(__xludf.DUMMYFUNCTION("""COMPUTED_VALUE"""),TRUE)</f>
        <v>1</v>
      </c>
      <c r="B223" s="3" t="str">
        <f>IFERROR(__xludf.DUMMYFUNCTION("""COMPUTED_VALUE"""),"")</f>
        <v/>
      </c>
      <c r="C223" s="3">
        <f>IFERROR(__xludf.DUMMYFUNCTION("""COMPUTED_VALUE"""),400009.0)</f>
        <v>400009</v>
      </c>
      <c r="D223" s="5" t="str">
        <f>IFERROR(__xludf.DUMMYFUNCTION("""COMPUTED_VALUE"""),"https://cdn.exe.in.th/marketing/WarzTH_LE/Item%20Dict/smg_grip.png")</f>
        <v>https://cdn.exe.in.th/marketing/WarzTH_LE/Item%20Dict/smg_grip.png</v>
      </c>
      <c r="E223" s="3" t="str">
        <f>IFERROR(__xludf.DUMMYFUNCTION("""COMPUTED_VALUE"""),"SMG Grip")</f>
        <v>SMG Grip</v>
      </c>
      <c r="F223" s="2">
        <f>IFERROR(__xludf.DUMMYFUNCTION("""COMPUTED_VALUE"""),1.5)</f>
        <v>1.5</v>
      </c>
      <c r="G223" s="2" t="str">
        <f>IFERROR(__xludf.DUMMYFUNCTION("""COMPUTED_VALUE"""),"-")</f>
        <v>-</v>
      </c>
      <c r="H223" s="2" t="str">
        <f>IFERROR(__xludf.DUMMYFUNCTION("""COMPUTED_VALUE"""),"1,500 Dollars")</f>
        <v>1,500 Dollars</v>
      </c>
      <c r="I223" s="3" t="str">
        <f>IFERROR(__xludf.DUMMYFUNCTION("""COMPUTED_VALUE"""),"Attachment")</f>
        <v>Attachment</v>
      </c>
      <c r="J223" s="3" t="str">
        <f>IFERROR(__xludf.DUMMYFUNCTION("""COMPUTED_VALUE"""),"No")</f>
        <v>No</v>
      </c>
      <c r="K223" s="3"/>
      <c r="L223" s="3" t="str">
        <f>IFERROR(__xludf.DUMMYFUNCTION("""COMPUTED_VALUE"""),"sftp://graphic@103.41.58.141/marketing/WarzTH_LE/Item%20Dict/smg_grip.png")</f>
        <v>sftp://graphic@103.41.58.141/marketing/WarzTH_LE/Item%20Dict/smg_grip.png</v>
      </c>
      <c r="M223" s="3"/>
      <c r="N223" s="3" t="str">
        <f>IFERROR(__xludf.DUMMYFUNCTION("""COMPUTED_VALUE"""),"The M 7 grip provides a shooter with more control and accuracy when firing a weapon at a high rate of fire.")</f>
        <v>The M 7 grip provides a shooter with more control and accuracy when firing a weapon at a high rate of fire.</v>
      </c>
      <c r="O223" s="3"/>
    </row>
    <row r="224">
      <c r="A224" s="3" t="b">
        <f>IFERROR(__xludf.DUMMYFUNCTION("""COMPUTED_VALUE"""),TRUE)</f>
        <v>1</v>
      </c>
      <c r="B224" s="3" t="str">
        <f>IFERROR(__xludf.DUMMYFUNCTION("""COMPUTED_VALUE"""),"")</f>
        <v/>
      </c>
      <c r="C224" s="3">
        <f>IFERROR(__xludf.DUMMYFUNCTION("""COMPUTED_VALUE"""),101313.0)</f>
        <v>101313</v>
      </c>
      <c r="D224" s="5" t="str">
        <f>IFERROR(__xludf.DUMMYFUNCTION("""COMPUTED_VALUE"""),"https://cdn.exe.in.th/marketing/WarzTH_LE/Item%20Dict/spiked_bat.png")</f>
        <v>https://cdn.exe.in.th/marketing/WarzTH_LE/Item%20Dict/spiked_bat.png</v>
      </c>
      <c r="E224" s="3" t="str">
        <f>IFERROR(__xludf.DUMMYFUNCTION("""COMPUTED_VALUE"""),"Spiked Bat")</f>
        <v>Spiked Bat</v>
      </c>
      <c r="F224" s="2">
        <f>IFERROR(__xludf.DUMMYFUNCTION("""COMPUTED_VALUE"""),1.0)</f>
        <v>1</v>
      </c>
      <c r="G224" s="2" t="str">
        <f>IFERROR(__xludf.DUMMYFUNCTION("""COMPUTED_VALUE"""),"-")</f>
        <v>-</v>
      </c>
      <c r="H224" s="2" t="str">
        <f>IFERROR(__xludf.DUMMYFUNCTION("""COMPUTED_VALUE"""),"1,000 Dollars")</f>
        <v>1,000 Dollars</v>
      </c>
      <c r="I224" s="3" t="str">
        <f>IFERROR(__xludf.DUMMYFUNCTION("""COMPUTED_VALUE"""),"Weapon")</f>
        <v>Weapon</v>
      </c>
      <c r="J224" s="3" t="str">
        <f>IFERROR(__xludf.DUMMYFUNCTION("""COMPUTED_VALUE"""),"No")</f>
        <v>No</v>
      </c>
      <c r="K224" s="3"/>
      <c r="L224" s="3" t="str">
        <f>IFERROR(__xludf.DUMMYFUNCTION("""COMPUTED_VALUE"""),"sftp://graphic@103.41.58.141/marketing/WarzTH_LE/Item%20Dict/spiked_bat.png")</f>
        <v>sftp://graphic@103.41.58.141/marketing/WarzTH_LE/Item%20Dict/spiked_bat.png</v>
      </c>
      <c r="M224" s="3"/>
      <c r="N224" s="3" t="str">
        <f>IFERROR(__xludf.DUMMYFUNCTION("""COMPUTED_VALUE"""),"Just your traditional baseball bat. With spikes. Razor sharp, sure to leave a mark.")</f>
        <v>Just your traditional baseball bat. With spikes. Razor sharp, sure to leave a mark.</v>
      </c>
      <c r="O224" s="3"/>
    </row>
    <row r="225">
      <c r="A225" s="3" t="b">
        <f>IFERROR(__xludf.DUMMYFUNCTION("""COMPUTED_VALUE"""),TRUE)</f>
        <v>1</v>
      </c>
      <c r="B225" s="3" t="str">
        <f>IFERROR(__xludf.DUMMYFUNCTION("""COMPUTED_VALUE"""),"")</f>
        <v/>
      </c>
      <c r="C225" s="3">
        <f>IFERROR(__xludf.DUMMYFUNCTION("""COMPUTED_VALUE"""),400016.0)</f>
        <v>400016</v>
      </c>
      <c r="D225" s="5" t="str">
        <f>IFERROR(__xludf.DUMMYFUNCTION("""COMPUTED_VALUE"""),"https://cdn.exe.in.th/marketing/WarzTH_LE/Item%20Dict/stanag_30.png")</f>
        <v>https://cdn.exe.in.th/marketing/WarzTH_LE/Item%20Dict/stanag_30.png</v>
      </c>
      <c r="E225" s="3" t="str">
        <f>IFERROR(__xludf.DUMMYFUNCTION("""COMPUTED_VALUE"""),"STANAG 30")</f>
        <v>STANAG 30</v>
      </c>
      <c r="F225" s="2">
        <f>IFERROR(__xludf.DUMMYFUNCTION("""COMPUTED_VALUE"""),0.5)</f>
        <v>0.5</v>
      </c>
      <c r="G225" s="8" t="str">
        <f>IFERROR(__xludf.DUMMYFUNCTION("""COMPUTED_VALUE"""),"-")</f>
        <v>-</v>
      </c>
      <c r="H225" s="2" t="str">
        <f>IFERROR(__xludf.DUMMYFUNCTION("""COMPUTED_VALUE"""),"1,000 Dollars")</f>
        <v>1,000 Dollars</v>
      </c>
      <c r="I225" s="3" t="str">
        <f>IFERROR(__xludf.DUMMYFUNCTION("""COMPUTED_VALUE"""),"Ammo")</f>
        <v>Ammo</v>
      </c>
      <c r="J225" s="3" t="str">
        <f>IFERROR(__xludf.DUMMYFUNCTION("""COMPUTED_VALUE"""),"Yes")</f>
        <v>Yes</v>
      </c>
      <c r="K225" s="3"/>
      <c r="L225" s="3" t="str">
        <f>IFERROR(__xludf.DUMMYFUNCTION("""COMPUTED_VALUE"""),"sftp://graphic@103.41.58.141/marketing/WarzTH_LE/Item%20Dict/stanag_30.png")</f>
        <v>sftp://graphic@103.41.58.141/marketing/WarzTH_LE/Item%20Dict/stanag_30.png</v>
      </c>
      <c r="M225" s="3"/>
      <c r="N225" s="3" t="str">
        <f>IFERROR(__xludf.DUMMYFUNCTION("""COMPUTED_VALUE"""),"Standard 30 round clip of 5.45x45mm NATO rounds for use with the M4 and M16 Assault Rifles")</f>
        <v>Standard 30 round clip of 5.45x45mm NATO rounds for use with the M4 and M16 Assault Rifles</v>
      </c>
      <c r="O225" s="3"/>
    </row>
    <row r="226">
      <c r="A226" s="3" t="b">
        <f>IFERROR(__xludf.DUMMYFUNCTION("""COMPUTED_VALUE"""),TRUE)</f>
        <v>1</v>
      </c>
      <c r="B226" s="3" t="str">
        <f>IFERROR(__xludf.DUMMYFUNCTION("""COMPUTED_VALUE"""),"")</f>
        <v/>
      </c>
      <c r="C226" s="3">
        <f>IFERROR(__xludf.DUMMYFUNCTION("""COMPUTED_VALUE"""),400015.0)</f>
        <v>400015</v>
      </c>
      <c r="D226" s="5" t="str">
        <f>IFERROR(__xludf.DUMMYFUNCTION("""COMPUTED_VALUE"""),"https://cdn.exe.in.th/marketing/WarzTH_LE/Item%20Dict/stanag_45.png")</f>
        <v>https://cdn.exe.in.th/marketing/WarzTH_LE/Item%20Dict/stanag_45.png</v>
      </c>
      <c r="E226" s="3" t="str">
        <f>IFERROR(__xludf.DUMMYFUNCTION("""COMPUTED_VALUE"""),"STANAG 45")</f>
        <v>STANAG 45</v>
      </c>
      <c r="F226" s="2">
        <f>IFERROR(__xludf.DUMMYFUNCTION("""COMPUTED_VALUE"""),0.5)</f>
        <v>0.5</v>
      </c>
      <c r="G226" s="2" t="str">
        <f>IFERROR(__xludf.DUMMYFUNCTION("""COMPUTED_VALUE"""),"5 GC")</f>
        <v>5 GC</v>
      </c>
      <c r="H226" s="2" t="str">
        <f>IFERROR(__xludf.DUMMYFUNCTION("""COMPUTED_VALUE"""),"1,500 Dollars")</f>
        <v>1,500 Dollars</v>
      </c>
      <c r="I226" s="3" t="str">
        <f>IFERROR(__xludf.DUMMYFUNCTION("""COMPUTED_VALUE"""),"Ammo")</f>
        <v>Ammo</v>
      </c>
      <c r="J226" s="3" t="str">
        <f>IFERROR(__xludf.DUMMYFUNCTION("""COMPUTED_VALUE"""),"Yes")</f>
        <v>Yes</v>
      </c>
      <c r="K226" s="3"/>
      <c r="L226" s="3" t="str">
        <f>IFERROR(__xludf.DUMMYFUNCTION("""COMPUTED_VALUE"""),"sftp://graphic@103.41.58.141/marketing/WarzTH_LE/Item%20Dict/stanag_45.png")</f>
        <v>sftp://graphic@103.41.58.141/marketing/WarzTH_LE/Item%20Dict/stanag_45.png</v>
      </c>
      <c r="M226" s="3"/>
      <c r="N226" s="3" t="str">
        <f>IFERROR(__xludf.DUMMYFUNCTION("""COMPUTED_VALUE"""),"Medium 45 round clip of 5.45x45mm NATO rounds for use with the M4 and M16 Assault Rifles")</f>
        <v>Medium 45 round clip of 5.45x45mm NATO rounds for use with the M4 and M16 Assault Rifles</v>
      </c>
      <c r="O226" s="3"/>
    </row>
    <row r="227">
      <c r="A227" s="3" t="b">
        <f>IFERROR(__xludf.DUMMYFUNCTION("""COMPUTED_VALUE"""),TRUE)</f>
        <v>1</v>
      </c>
      <c r="B227" s="3" t="str">
        <f>IFERROR(__xludf.DUMMYFUNCTION("""COMPUTED_VALUE"""),"")</f>
        <v/>
      </c>
      <c r="C227" s="3">
        <f>IFERROR(__xludf.DUMMYFUNCTION("""COMPUTED_VALUE"""),400010.0)</f>
        <v>400010</v>
      </c>
      <c r="D227" s="5" t="str">
        <f>IFERROR(__xludf.DUMMYFUNCTION("""COMPUTED_VALUE"""),"https://cdn.exe.in.th/marketing/WarzTH_LE/Item%20Dict/stanag_60.png")</f>
        <v>https://cdn.exe.in.th/marketing/WarzTH_LE/Item%20Dict/stanag_60.png</v>
      </c>
      <c r="E227" s="3" t="str">
        <f>IFERROR(__xludf.DUMMYFUNCTION("""COMPUTED_VALUE"""),"STANAG 60")</f>
        <v>STANAG 60</v>
      </c>
      <c r="F227" s="2">
        <f>IFERROR(__xludf.DUMMYFUNCTION("""COMPUTED_VALUE"""),1.0)</f>
        <v>1</v>
      </c>
      <c r="G227" s="2" t="str">
        <f>IFERROR(__xludf.DUMMYFUNCTION("""COMPUTED_VALUE"""),"10 GC")</f>
        <v>10 GC</v>
      </c>
      <c r="H227" s="2" t="str">
        <f>IFERROR(__xludf.DUMMYFUNCTION("""COMPUTED_VALUE"""),"2,000 Dollars")</f>
        <v>2,000 Dollars</v>
      </c>
      <c r="I227" s="3" t="str">
        <f>IFERROR(__xludf.DUMMYFUNCTION("""COMPUTED_VALUE"""),"Ammo")</f>
        <v>Ammo</v>
      </c>
      <c r="J227" s="3" t="str">
        <f>IFERROR(__xludf.DUMMYFUNCTION("""COMPUTED_VALUE"""),"Yes")</f>
        <v>Yes</v>
      </c>
      <c r="K227" s="3"/>
      <c r="L227" s="3" t="str">
        <f>IFERROR(__xludf.DUMMYFUNCTION("""COMPUTED_VALUE"""),"sftp://graphic@103.41.58.141/marketing/WarzTH_LE/Item%20Dict/stanag_60.png")</f>
        <v>sftp://graphic@103.41.58.141/marketing/WarzTH_LE/Item%20Dict/stanag_60.png</v>
      </c>
      <c r="M227" s="3"/>
      <c r="N227" s="3" t="str">
        <f>IFERROR(__xludf.DUMMYFUNCTION("""COMPUTED_VALUE"""),"Large 60 round clip of 5.45x45mm NATO rounds for use with the M4 and M16")</f>
        <v>Large 60 round clip of 5.45x45mm NATO rounds for use with the M4 and M16</v>
      </c>
      <c r="O227" s="3"/>
    </row>
    <row r="228">
      <c r="A228" s="3" t="b">
        <f>IFERROR(__xludf.DUMMYFUNCTION("""COMPUTED_VALUE"""),TRUE)</f>
        <v>1</v>
      </c>
      <c r="B228" s="3" t="str">
        <f>IFERROR(__xludf.DUMMYFUNCTION("""COMPUTED_VALUE"""),"")</f>
        <v/>
      </c>
      <c r="C228" s="3">
        <f>IFERROR(__xludf.DUMMYFUNCTION("""COMPUTED_VALUE"""),400017.0)</f>
        <v>400017</v>
      </c>
      <c r="D228" s="5" t="str">
        <f>IFERROR(__xludf.DUMMYFUNCTION("""COMPUTED_VALUE"""),"https://cdn.exe.in.th/marketing/WarzTH_LE/Item%20Dict/stanag_cmag.png")</f>
        <v>https://cdn.exe.in.th/marketing/WarzTH_LE/Item%20Dict/stanag_cmag.png</v>
      </c>
      <c r="E228" s="3" t="str">
        <f>IFERROR(__xludf.DUMMYFUNCTION("""COMPUTED_VALUE"""),"Stanag C-Mag")</f>
        <v>Stanag C-Mag</v>
      </c>
      <c r="F228" s="2">
        <f>IFERROR(__xludf.DUMMYFUNCTION("""COMPUTED_VALUE"""),2.0)</f>
        <v>2</v>
      </c>
      <c r="G228" s="2" t="str">
        <f>IFERROR(__xludf.DUMMYFUNCTION("""COMPUTED_VALUE"""),"20 GC")</f>
        <v>20 GC</v>
      </c>
      <c r="H228" s="2" t="str">
        <f>IFERROR(__xludf.DUMMYFUNCTION("""COMPUTED_VALUE"""),"3,000 Dollars")</f>
        <v>3,000 Dollars</v>
      </c>
      <c r="I228" s="3" t="str">
        <f>IFERROR(__xludf.DUMMYFUNCTION("""COMPUTED_VALUE"""),"Ammo")</f>
        <v>Ammo</v>
      </c>
      <c r="J228" s="3" t="str">
        <f>IFERROR(__xludf.DUMMYFUNCTION("""COMPUTED_VALUE"""),"Yes")</f>
        <v>Yes</v>
      </c>
      <c r="K228" s="3"/>
      <c r="L228" s="3" t="str">
        <f>IFERROR(__xludf.DUMMYFUNCTION("""COMPUTED_VALUE"""),"sftp://graphic@103.41.58.141/marketing/WarzTH_LE/Item%20Dict/stanag_cmag.png")</f>
        <v>sftp://graphic@103.41.58.141/marketing/WarzTH_LE/Item%20Dict/stanag_cmag.png</v>
      </c>
      <c r="M228" s="3"/>
      <c r="N228" s="3" t="str">
        <f>IFERROR(__xludf.DUMMYFUNCTION("""COMPUTED_VALUE"""),"Maximum size100 round drum of 5.45x45mm NATO rounds for use with the M4 and M16 Assault Rifles")</f>
        <v>Maximum size100 round drum of 5.45x45mm NATO rounds for use with the M4 and M16 Assault Rifles</v>
      </c>
      <c r="O228" s="3"/>
    </row>
    <row r="229">
      <c r="A229" s="3" t="b">
        <f>IFERROR(__xludf.DUMMYFUNCTION("""COMPUTED_VALUE"""),TRUE)</f>
        <v>1</v>
      </c>
      <c r="B229" s="3" t="str">
        <f>IFERROR(__xludf.DUMMYFUNCTION("""COMPUTED_VALUE"""),"")</f>
        <v/>
      </c>
      <c r="C229" s="3">
        <f>IFERROR(__xludf.DUMMYFUNCTION("""COMPUTED_VALUE"""),400148.0)</f>
        <v>400148</v>
      </c>
      <c r="D229" s="5" t="str">
        <f>IFERROR(__xludf.DUMMYFUNCTION("""COMPUTED_VALUE"""),"https://cdn.exe.in.th/marketing/WarzTH_LE/Item%20Dict/kruger_standard_mag.png")</f>
        <v>https://cdn.exe.in.th/marketing/WarzTH_LE/Item%20Dict/kruger_standard_mag.png</v>
      </c>
      <c r="E229" s="3" t="str">
        <f>IFERROR(__xludf.DUMMYFUNCTION("""COMPUTED_VALUE"""),"Standard Kruger .22 Rifle Clip")</f>
        <v>Standard Kruger .22 Rifle Clip</v>
      </c>
      <c r="F229" s="2">
        <f>IFERROR(__xludf.DUMMYFUNCTION("""COMPUTED_VALUE"""),0.5)</f>
        <v>0.5</v>
      </c>
      <c r="G229" s="2" t="str">
        <f>IFERROR(__xludf.DUMMYFUNCTION("""COMPUTED_VALUE"""),"5 GC")</f>
        <v>5 GC</v>
      </c>
      <c r="H229" s="2" t="str">
        <f>IFERROR(__xludf.DUMMYFUNCTION("""COMPUTED_VALUE"""),"500 Dollars")</f>
        <v>500 Dollars</v>
      </c>
      <c r="I229" s="3" t="str">
        <f>IFERROR(__xludf.DUMMYFUNCTION("""COMPUTED_VALUE"""),"Ammo")</f>
        <v>Ammo</v>
      </c>
      <c r="J229" s="3" t="str">
        <f>IFERROR(__xludf.DUMMYFUNCTION("""COMPUTED_VALUE"""),"Yes")</f>
        <v>Yes</v>
      </c>
      <c r="K229" s="3"/>
      <c r="L229" s="3" t="str">
        <f>IFERROR(__xludf.DUMMYFUNCTION("""COMPUTED_VALUE"""),"sftp://graphic@103.41.58.141/marketing/WarzTH_LE/Item%20Dict/kruger_standard_mag.png")</f>
        <v>sftp://graphic@103.41.58.141/marketing/WarzTH_LE/Item%20Dict/kruger_standard_mag.png</v>
      </c>
      <c r="M229" s="3"/>
      <c r="N229" s="3" t="str">
        <f>IFERROR(__xludf.DUMMYFUNCTION("""COMPUTED_VALUE"""),"Standard issue 10 round rotary loaded magazine.")</f>
        <v>Standard issue 10 round rotary loaded magazine.</v>
      </c>
      <c r="O229" s="3"/>
    </row>
    <row r="230">
      <c r="A230" s="3" t="b">
        <f>IFERROR(__xludf.DUMMYFUNCTION("""COMPUTED_VALUE"""),TRUE)</f>
        <v>1</v>
      </c>
      <c r="B230" s="3" t="str">
        <f>IFERROR(__xludf.DUMMYFUNCTION("""COMPUTED_VALUE"""),"")</f>
        <v/>
      </c>
      <c r="C230" s="3">
        <f>IFERROR(__xludf.DUMMYFUNCTION("""COMPUTED_VALUE"""),400153.0)</f>
        <v>400153</v>
      </c>
      <c r="D230" s="5" t="str">
        <f>IFERROR(__xludf.DUMMYFUNCTION("""COMPUTED_VALUE"""),"https://cdn.exe.in.th/marketing/WarzTH_LE/Item%20Dict/mosin_mag.png")</f>
        <v>https://cdn.exe.in.th/marketing/WarzTH_LE/Item%20Dict/mosin_mag.png</v>
      </c>
      <c r="E230" s="3" t="str">
        <f>IFERROR(__xludf.DUMMYFUNCTION("""COMPUTED_VALUE"""),"Standard Mosin Magazine")</f>
        <v>Standard Mosin Magazine</v>
      </c>
      <c r="F230" s="2">
        <f>IFERROR(__xludf.DUMMYFUNCTION("""COMPUTED_VALUE"""),1.0)</f>
        <v>1</v>
      </c>
      <c r="G230" s="2" t="str">
        <f>IFERROR(__xludf.DUMMYFUNCTION("""COMPUTED_VALUE"""),"10 GC")</f>
        <v>10 GC</v>
      </c>
      <c r="H230" s="2" t="str">
        <f>IFERROR(__xludf.DUMMYFUNCTION("""COMPUTED_VALUE"""),"1,000 Dollars")</f>
        <v>1,000 Dollars</v>
      </c>
      <c r="I230" s="3" t="str">
        <f>IFERROR(__xludf.DUMMYFUNCTION("""COMPUTED_VALUE"""),"Ammo")</f>
        <v>Ammo</v>
      </c>
      <c r="J230" s="3" t="str">
        <f>IFERROR(__xludf.DUMMYFUNCTION("""COMPUTED_VALUE"""),"Yes")</f>
        <v>Yes</v>
      </c>
      <c r="K230" s="3"/>
      <c r="L230" s="3" t="str">
        <f>IFERROR(__xludf.DUMMYFUNCTION("""COMPUTED_VALUE"""),"sftp://graphic@103.41.58.141/marketing/WarzTH_LE/Item%20Dict/mosin_mag.png")</f>
        <v>sftp://graphic@103.41.58.141/marketing/WarzTH_LE/Item%20Dict/mosin_mag.png</v>
      </c>
      <c r="M230" s="3"/>
      <c r="N230" s="3" t="str">
        <f>IFERROR(__xludf.DUMMYFUNCTION("""COMPUTED_VALUE"""),"Standard internally fed 5 round magazine designed for use in the Mosin rifle")</f>
        <v>Standard internally fed 5 round magazine designed for use in the Mosin rifle</v>
      </c>
      <c r="O230" s="3"/>
    </row>
    <row r="231">
      <c r="A231" s="3" t="b">
        <f>IFERROR(__xludf.DUMMYFUNCTION("""COMPUTED_VALUE"""),TRUE)</f>
        <v>1</v>
      </c>
      <c r="B231" s="3" t="str">
        <f>IFERROR(__xludf.DUMMYFUNCTION("""COMPUTED_VALUE"""),"")</f>
        <v/>
      </c>
      <c r="C231" s="3">
        <f>IFERROR(__xludf.DUMMYFUNCTION("""COMPUTED_VALUE"""),101224.0)</f>
        <v>101224</v>
      </c>
      <c r="D231" s="5" t="str">
        <f>IFERROR(__xludf.DUMMYFUNCTION("""COMPUTED_VALUE"""),"https://cdn.exe.in.th/marketing/WarzTH_LE/Item%20Dict/sti_eagle_elite_.45_acp.png")</f>
        <v>https://cdn.exe.in.th/marketing/WarzTH_LE/Item%20Dict/sti_eagle_elite_.45_acp.png</v>
      </c>
      <c r="E231" s="3" t="str">
        <f>IFERROR(__xludf.DUMMYFUNCTION("""COMPUTED_VALUE"""),"STI Eagle Elite .45 ACP")</f>
        <v>STI Eagle Elite .45 ACP</v>
      </c>
      <c r="F231" s="2">
        <f>IFERROR(__xludf.DUMMYFUNCTION("""COMPUTED_VALUE"""),0.5)</f>
        <v>0.5</v>
      </c>
      <c r="G231" s="2" t="str">
        <f>IFERROR(__xludf.DUMMYFUNCTION("""COMPUTED_VALUE"""),"-")</f>
        <v>-</v>
      </c>
      <c r="H231" s="2" t="str">
        <f>IFERROR(__xludf.DUMMYFUNCTION("""COMPUTED_VALUE"""),"-")</f>
        <v>-</v>
      </c>
      <c r="I231" s="3" t="str">
        <f>IFERROR(__xludf.DUMMYFUNCTION("""COMPUTED_VALUE"""),"Weapon")</f>
        <v>Weapon</v>
      </c>
      <c r="J231" s="3" t="str">
        <f>IFERROR(__xludf.DUMMYFUNCTION("""COMPUTED_VALUE"""),"No")</f>
        <v>No</v>
      </c>
      <c r="K231" s="3" t="str">
        <f>IFERROR(__xludf.DUMMYFUNCTION("""COMPUTED_VALUE"""),"C")</f>
        <v>C</v>
      </c>
      <c r="L231" s="3" t="str">
        <f>IFERROR(__xludf.DUMMYFUNCTION("""COMPUTED_VALUE"""),"sftp://graphic@103.41.58.141/marketing/WarzTH_LE/Item%20Dict/sti_eagle_elite_.45_acp.png")</f>
        <v>sftp://graphic@103.41.58.141/marketing/WarzTH_LE/Item%20Dict/sti_eagle_elite_.45_acp.png</v>
      </c>
      <c r="M231" s="3"/>
      <c r="N231" s="3" t="str">
        <f>IFERROR(__xludf.DUMMYFUNCTION("""COMPUTED_VALUE"""),"The STI Eagle Elite handgun is an upgraded version of the STI Eagle and is designed to fire a .45 ACP round effectively at close ranges.")</f>
        <v>The STI Eagle Elite handgun is an upgraded version of the STI Eagle and is designed to fire a .45 ACP round effectively at close ranges.</v>
      </c>
      <c r="O231" s="3"/>
    </row>
    <row r="232">
      <c r="A232" s="3" t="b">
        <f>IFERROR(__xludf.DUMMYFUNCTION("""COMPUTED_VALUE"""),TRUE)</f>
        <v>1</v>
      </c>
      <c r="B232" s="3" t="str">
        <f>IFERROR(__xludf.DUMMYFUNCTION("""COMPUTED_VALUE"""),"")</f>
        <v/>
      </c>
      <c r="C232" s="3">
        <f>IFERROR(__xludf.DUMMYFUNCTION("""COMPUTED_VALUE"""),101068.0)</f>
        <v>101068</v>
      </c>
      <c r="D232" s="5" t="str">
        <f>IFERROR(__xludf.DUMMYFUNCTION("""COMPUTED_VALUE"""),"https://cdn.exe.in.th/marketing/WarzTH_LE/Item%20Dict/SVD.png")</f>
        <v>https://cdn.exe.in.th/marketing/WarzTH_LE/Item%20Dict/SVD.png</v>
      </c>
      <c r="E232" s="3" t="str">
        <f>IFERROR(__xludf.DUMMYFUNCTION("""COMPUTED_VALUE"""),"SVD")</f>
        <v>SVD</v>
      </c>
      <c r="F232" s="2">
        <f>IFERROR(__xludf.DUMMYFUNCTION("""COMPUTED_VALUE"""),1000.0)</f>
        <v>1000</v>
      </c>
      <c r="G232" s="2" t="str">
        <f>IFERROR(__xludf.DUMMYFUNCTION("""COMPUTED_VALUE"""),"-")</f>
        <v>-</v>
      </c>
      <c r="H232" s="2" t="str">
        <f>IFERROR(__xludf.DUMMYFUNCTION("""COMPUTED_VALUE"""),"-")</f>
        <v>-</v>
      </c>
      <c r="I232" s="3" t="str">
        <f>IFERROR(__xludf.DUMMYFUNCTION("""COMPUTED_VALUE"""),"Weapon")</f>
        <v>Weapon</v>
      </c>
      <c r="J232" s="3" t="str">
        <f>IFERROR(__xludf.DUMMYFUNCTION("""COMPUTED_VALUE"""),"No")</f>
        <v>No</v>
      </c>
      <c r="K232" s="3" t="str">
        <f>IFERROR(__xludf.DUMMYFUNCTION("""COMPUTED_VALUE"""),"S")</f>
        <v>S</v>
      </c>
      <c r="L232" s="3" t="str">
        <f>IFERROR(__xludf.DUMMYFUNCTION("""COMPUTED_VALUE"""),"sftp://graphic@103.41.58.141/marketing/WarzTH_LE/Item%20Dict/SVD.png")</f>
        <v>sftp://graphic@103.41.58.141/marketing/WarzTH_LE/Item%20Dict/SVD.png</v>
      </c>
      <c r="M232" s="3"/>
      <c r="N232" s="3" t="str">
        <f>IFERROR(__xludf.DUMMYFUNCTION("""COMPUTED_VALUE"""),"The SVD sniper rifle was designed to fire a 7.62 mm round from a 10 round clip. Combined with an Optical Sniper Scope it is extremely accurate.")</f>
        <v>The SVD sniper rifle was designed to fire a 7.62 mm round from a 10 round clip. Combined with an Optical Sniper Scope it is extremely accurate.</v>
      </c>
      <c r="O232" s="3"/>
    </row>
    <row r="233">
      <c r="A233" s="3" t="b">
        <f>IFERROR(__xludf.DUMMYFUNCTION("""COMPUTED_VALUE"""),TRUE)</f>
        <v>1</v>
      </c>
      <c r="B233" s="3" t="str">
        <f>IFERROR(__xludf.DUMMYFUNCTION("""COMPUTED_VALUE"""),"")</f>
        <v/>
      </c>
      <c r="C233" s="3">
        <f>IFERROR(__xludf.DUMMYFUNCTION("""COMPUTED_VALUE"""),400048.0)</f>
        <v>400048</v>
      </c>
      <c r="D233" s="5" t="str">
        <f>IFERROR(__xludf.DUMMYFUNCTION("""COMPUTED_VALUE"""),"https://cdn.exe.in.th/marketing/WarzTH_LE/Item%20Dict/svd_ammo.png")</f>
        <v>https://cdn.exe.in.th/marketing/WarzTH_LE/Item%20Dict/svd_ammo.png</v>
      </c>
      <c r="E233" s="3" t="str">
        <f>IFERROR(__xludf.DUMMYFUNCTION("""COMPUTED_VALUE"""),"SVD ammo")</f>
        <v>SVD ammo</v>
      </c>
      <c r="F233" s="2" t="str">
        <f>IFERROR(__xludf.DUMMYFUNCTION("""COMPUTED_VALUE"""),"-")</f>
        <v>-</v>
      </c>
      <c r="G233" s="2" t="str">
        <f>IFERROR(__xludf.DUMMYFUNCTION("""COMPUTED_VALUE"""),"-")</f>
        <v>-</v>
      </c>
      <c r="H233" s="2" t="str">
        <f>IFERROR(__xludf.DUMMYFUNCTION("""COMPUTED_VALUE"""),"-")</f>
        <v>-</v>
      </c>
      <c r="I233" s="3" t="str">
        <f>IFERROR(__xludf.DUMMYFUNCTION("""COMPUTED_VALUE"""),"Ammo")</f>
        <v>Ammo</v>
      </c>
      <c r="J233" s="3" t="str">
        <f>IFERROR(__xludf.DUMMYFUNCTION("""COMPUTED_VALUE"""),"Yes")</f>
        <v>Yes</v>
      </c>
      <c r="K233" s="3"/>
      <c r="L233" s="3" t="str">
        <f>IFERROR(__xludf.DUMMYFUNCTION("""COMPUTED_VALUE"""),"sftp://graphic@103.41.58.141/marketing/WarzTH_LE/Item%20Dict/svd_ammo.png")</f>
        <v>sftp://graphic@103.41.58.141/marketing/WarzTH_LE/Item%20Dict/svd_ammo.png</v>
      </c>
      <c r="M233" s="3"/>
      <c r="N233" s="3" t="str">
        <f>IFERROR(__xludf.DUMMYFUNCTION("""COMPUTED_VALUE"""),"10 round magazine of 7.62x54mm ammo for the SVD (Dragunov Sniper Rifle)")</f>
        <v>10 round magazine of 7.62x54mm ammo for the SVD (Dragunov Sniper Rifle)</v>
      </c>
      <c r="O233" s="3"/>
    </row>
    <row r="234">
      <c r="A234" s="3" t="b">
        <f>IFERROR(__xludf.DUMMYFUNCTION("""COMPUTED_VALUE"""),TRUE)</f>
        <v>1</v>
      </c>
      <c r="B234" s="3" t="str">
        <f>IFERROR(__xludf.DUMMYFUNCTION("""COMPUTED_VALUE"""),"")</f>
        <v/>
      </c>
      <c r="C234" s="3">
        <f>IFERROR(__xludf.DUMMYFUNCTION("""COMPUTED_VALUE"""),400039.0)</f>
        <v>400039</v>
      </c>
      <c r="D234" s="5" t="str">
        <f>IFERROR(__xludf.DUMMYFUNCTION("""COMPUTED_VALUE"""),"https://cdn.exe.in.th/marketing/WarzTH_LE/Item%20Dict/swiss_scope_8x.png")</f>
        <v>https://cdn.exe.in.th/marketing/WarzTH_LE/Item%20Dict/swiss_scope_8x.png</v>
      </c>
      <c r="E234" s="3" t="str">
        <f>IFERROR(__xludf.DUMMYFUNCTION("""COMPUTED_VALUE"""),"Swiss Arms Scope 8x")</f>
        <v>Swiss Arms Scope 8x</v>
      </c>
      <c r="F234" s="2">
        <f>IFERROR(__xludf.DUMMYFUNCTION("""COMPUTED_VALUE"""),2.0)</f>
        <v>2</v>
      </c>
      <c r="G234" s="2" t="str">
        <f>IFERROR(__xludf.DUMMYFUNCTION("""COMPUTED_VALUE"""),"20 GC")</f>
        <v>20 GC</v>
      </c>
      <c r="H234" s="2" t="str">
        <f>IFERROR(__xludf.DUMMYFUNCTION("""COMPUTED_VALUE"""),"2,000 Dollars")</f>
        <v>2,000 Dollars</v>
      </c>
      <c r="I234" s="3" t="str">
        <f>IFERROR(__xludf.DUMMYFUNCTION("""COMPUTED_VALUE"""),"Attachment")</f>
        <v>Attachment</v>
      </c>
      <c r="J234" s="3" t="str">
        <f>IFERROR(__xludf.DUMMYFUNCTION("""COMPUTED_VALUE"""),"No")</f>
        <v>No</v>
      </c>
      <c r="K234" s="3"/>
      <c r="L234" s="3" t="str">
        <f>IFERROR(__xludf.DUMMYFUNCTION("""COMPUTED_VALUE"""),"sftp://graphic@103.41.58.141/marketing/WarzTH_LE/Item%20Dict/swiss_scope_8x.png")</f>
        <v>sftp://graphic@103.41.58.141/marketing/WarzTH_LE/Item%20Dict/swiss_scope_8x.png</v>
      </c>
      <c r="M234" s="3"/>
      <c r="N234" s="3" t="str">
        <f>IFERROR(__xludf.DUMMYFUNCTION("""COMPUTED_VALUE"""),"The Swiss Arms multirail scope is a rail mounted scope used to extend a shooters accuracy at medium and long ranges.")</f>
        <v>The Swiss Arms multirail scope is a rail mounted scope used to extend a shooters accuracy at medium and long ranges.</v>
      </c>
      <c r="O234" s="3"/>
    </row>
    <row r="235">
      <c r="A235" s="3" t="b">
        <f>IFERROR(__xludf.DUMMYFUNCTION("""COMPUTED_VALUE"""),TRUE)</f>
        <v>1</v>
      </c>
      <c r="B235" s="3" t="str">
        <f>IFERROR(__xludf.DUMMYFUNCTION("""COMPUTED_VALUE"""),"")</f>
        <v/>
      </c>
      <c r="C235" s="3">
        <f>IFERROR(__xludf.DUMMYFUNCTION("""COMPUTED_VALUE"""),101267.0)</f>
        <v>101267</v>
      </c>
      <c r="D235" s="5" t="str">
        <f>IFERROR(__xludf.DUMMYFUNCTION("""COMPUTED_VALUE"""),"https://cdn.exe.in.th/marketing/WarzTH_LE/Item%20Dict/tactical_knife.png")</f>
        <v>https://cdn.exe.in.th/marketing/WarzTH_LE/Item%20Dict/tactical_knife.png</v>
      </c>
      <c r="E235" s="3" t="str">
        <f>IFERROR(__xludf.DUMMYFUNCTION("""COMPUTED_VALUE"""),"Tactical Knife")</f>
        <v>Tactical Knife</v>
      </c>
      <c r="F235" s="2">
        <f>IFERROR(__xludf.DUMMYFUNCTION("""COMPUTED_VALUE"""),1.5)</f>
        <v>1.5</v>
      </c>
      <c r="G235" s="2" t="str">
        <f>IFERROR(__xludf.DUMMYFUNCTION("""COMPUTED_VALUE"""),"15 GC")</f>
        <v>15 GC</v>
      </c>
      <c r="H235" s="2" t="str">
        <f>IFERROR(__xludf.DUMMYFUNCTION("""COMPUTED_VALUE"""),"1,500 Dollars")</f>
        <v>1,500 Dollars</v>
      </c>
      <c r="I235" s="3" t="str">
        <f>IFERROR(__xludf.DUMMYFUNCTION("""COMPUTED_VALUE"""),"Weapon")</f>
        <v>Weapon</v>
      </c>
      <c r="J235" s="3" t="str">
        <f>IFERROR(__xludf.DUMMYFUNCTION("""COMPUTED_VALUE"""),"No")</f>
        <v>No</v>
      </c>
      <c r="K235" s="3"/>
      <c r="L235" s="3" t="str">
        <f>IFERROR(__xludf.DUMMYFUNCTION("""COMPUTED_VALUE"""),"sftp://graphic@103.41.58.141/marketing/WarzTH_LE/Item%20Dict/tactical_knife.png")</f>
        <v>sftp://graphic@103.41.58.141/marketing/WarzTH_LE/Item%20Dict/tactical_knife.png</v>
      </c>
      <c r="M235" s="3"/>
      <c r="N235" s="3" t="str">
        <f>IFERROR(__xludf.DUMMYFUNCTION("""COMPUTED_VALUE"""),"A standard issue knife with an 8"" fixed blade, this knife was first designed in 1985 for the United States Army and was later adapted by several other countries as well as mercenary groups throughout the world due to its sturdy design and stopping power.")</f>
        <v>A standard issue knife with an 8" fixed blade, this knife was first designed in 1985 for the United States Army and was later adapted by several other countries as well as mercenary groups throughout the world due to its sturdy design and stopping power.</v>
      </c>
      <c r="O235" s="3"/>
    </row>
    <row r="236">
      <c r="A236" s="3" t="b">
        <f>IFERROR(__xludf.DUMMYFUNCTION("""COMPUTED_VALUE"""),TRUE)</f>
        <v>1</v>
      </c>
      <c r="B236" s="3" t="str">
        <f>IFERROR(__xludf.DUMMYFUNCTION("""COMPUTED_VALUE"""),"")</f>
        <v/>
      </c>
      <c r="C236" s="3">
        <f>IFERROR(__xludf.DUMMYFUNCTION("""COMPUTED_VALUE"""),400008.0)</f>
        <v>400008</v>
      </c>
      <c r="D236" s="5" t="str">
        <f>IFERROR(__xludf.DUMMYFUNCTION("""COMPUTED_VALUE"""),"https://cdn.exe.in.th/marketing/WarzTH_LE/Item%20Dict/tact_snp_scope.png")</f>
        <v>https://cdn.exe.in.th/marketing/WarzTH_LE/Item%20Dict/tact_snp_scope.png</v>
      </c>
      <c r="E236" s="3" t="str">
        <f>IFERROR(__xludf.DUMMYFUNCTION("""COMPUTED_VALUE"""),"Tactical Sniper Scope")</f>
        <v>Tactical Sniper Scope</v>
      </c>
      <c r="F236" s="2">
        <f>IFERROR(__xludf.DUMMYFUNCTION("""COMPUTED_VALUE"""),3.0)</f>
        <v>3</v>
      </c>
      <c r="G236" s="2" t="str">
        <f>IFERROR(__xludf.DUMMYFUNCTION("""COMPUTED_VALUE"""),"30 GC")</f>
        <v>30 GC</v>
      </c>
      <c r="H236" s="2" t="str">
        <f>IFERROR(__xludf.DUMMYFUNCTION("""COMPUTED_VALUE"""),"3,000 Dollars")</f>
        <v>3,000 Dollars</v>
      </c>
      <c r="I236" s="3" t="str">
        <f>IFERROR(__xludf.DUMMYFUNCTION("""COMPUTED_VALUE"""),"Attachment")</f>
        <v>Attachment</v>
      </c>
      <c r="J236" s="3" t="str">
        <f>IFERROR(__xludf.DUMMYFUNCTION("""COMPUTED_VALUE"""),"No")</f>
        <v>No</v>
      </c>
      <c r="K236" s="3"/>
      <c r="L236" s="3" t="str">
        <f>IFERROR(__xludf.DUMMYFUNCTION("""COMPUTED_VALUE"""),"sftp://graphic@103.41.58.141/marketing/WarzTH_LE/Item%20Dict/tact_snp_scope.png")</f>
        <v>sftp://graphic@103.41.58.141/marketing/WarzTH_LE/Item%20Dict/tact_snp_scope.png</v>
      </c>
      <c r="M236" s="3"/>
      <c r="N236" s="3" t="str">
        <f>IFERROR(__xludf.DUMMYFUNCTION("""COMPUTED_VALUE"""),"8x rail mounted scope designed to be used used atmedium ranges.")</f>
        <v>8x rail mounted scope designed to be used used atmedium ranges.</v>
      </c>
      <c r="O236" s="3"/>
    </row>
    <row r="237">
      <c r="A237" s="3" t="b">
        <f>IFERROR(__xludf.DUMMYFUNCTION("""COMPUTED_VALUE"""),TRUE)</f>
        <v>1</v>
      </c>
      <c r="B237" s="3" t="str">
        <f>IFERROR(__xludf.DUMMYFUNCTION("""COMPUTED_VALUE"""),"")</f>
        <v/>
      </c>
      <c r="C237" s="3">
        <f>IFERROR(__xludf.DUMMYFUNCTION("""COMPUTED_VALUE"""),20181.0)</f>
        <v>20181</v>
      </c>
      <c r="D237" s="5" t="str">
        <f>IFERROR(__xludf.DUMMYFUNCTION("""COMPUTED_VALUE"""),"https://cdn.exe.in.th/marketing/WarzTH_LE/Item%20Dict/teddybear_backpack.png")</f>
        <v>https://cdn.exe.in.th/marketing/WarzTH_LE/Item%20Dict/teddybear_backpack.png</v>
      </c>
      <c r="E237" s="3" t="str">
        <f>IFERROR(__xludf.DUMMYFUNCTION("""COMPUTED_VALUE"""),"Teddy Bear backpack")</f>
        <v>Teddy Bear backpack</v>
      </c>
      <c r="F237" s="2">
        <f>IFERROR(__xludf.DUMMYFUNCTION("""COMPUTED_VALUE"""),1.0)</f>
        <v>1</v>
      </c>
      <c r="G237" s="2" t="str">
        <f>IFERROR(__xludf.DUMMYFUNCTION("""COMPUTED_VALUE"""),"10 GC")</f>
        <v>10 GC</v>
      </c>
      <c r="H237" s="2" t="str">
        <f>IFERROR(__xludf.DUMMYFUNCTION("""COMPUTED_VALUE"""),"1,000 Dollars")</f>
        <v>1,000 Dollars</v>
      </c>
      <c r="I237" s="3" t="str">
        <f>IFERROR(__xludf.DUMMYFUNCTION("""COMPUTED_VALUE"""),"Equipment")</f>
        <v>Equipment</v>
      </c>
      <c r="J237" s="3" t="str">
        <f>IFERROR(__xludf.DUMMYFUNCTION("""COMPUTED_VALUE"""),"No")</f>
        <v>No</v>
      </c>
      <c r="K237" s="3"/>
      <c r="L237" s="3" t="str">
        <f>IFERROR(__xludf.DUMMYFUNCTION("""COMPUTED_VALUE"""),"sftp://graphic@103.41.58.141/marketing/WarzTH_LE/Item%20Dict/teddybear_backpack.png")</f>
        <v>sftp://graphic@103.41.58.141/marketing/WarzTH_LE/Item%20Dict/teddybear_backpack.png</v>
      </c>
      <c r="M237" s="3"/>
      <c r="N237" s="3" t="str">
        <f>IFERROR(__xludf.DUMMYFUNCTION("""COMPUTED_VALUE"""),"Roman's favorite accessory")</f>
        <v>Roman's favorite accessory</v>
      </c>
      <c r="O237" s="3"/>
    </row>
    <row r="238">
      <c r="A238" s="3" t="b">
        <f>IFERROR(__xludf.DUMMYFUNCTION("""COMPUTED_VALUE"""),TRUE)</f>
        <v>1</v>
      </c>
      <c r="B238" s="3" t="str">
        <f>IFERROR(__xludf.DUMMYFUNCTION("""COMPUTED_VALUE"""),"")</f>
        <v/>
      </c>
      <c r="C238" s="3">
        <f>IFERROR(__xludf.DUMMYFUNCTION("""COMPUTED_VALUE"""),20194.0)</f>
        <v>20194</v>
      </c>
      <c r="D238" s="5" t="str">
        <f>IFERROR(__xludf.DUMMYFUNCTION("""COMPUTED_VALUE"""),"https://cdn.exe.in.th/marketing/WarzTH_LE/Item%20Dict/character_female01.png")</f>
        <v>https://cdn.exe.in.th/marketing/WarzTH_LE/Item%20Dict/character_female01.png</v>
      </c>
      <c r="E238" s="3" t="str">
        <f>IFERROR(__xludf.DUMMYFUNCTION("""COMPUTED_VALUE"""),"The Mechanic")</f>
        <v>The Mechanic</v>
      </c>
      <c r="F238" s="2">
        <f>IFERROR(__xludf.DUMMYFUNCTION("""COMPUTED_VALUE"""),90.0)</f>
        <v>90</v>
      </c>
      <c r="G238" s="2" t="str">
        <f>IFERROR(__xludf.DUMMYFUNCTION("""COMPUTED_VALUE"""),"900 GC")</f>
        <v>900 GC</v>
      </c>
      <c r="H238" s="2" t="str">
        <f>IFERROR(__xludf.DUMMYFUNCTION("""COMPUTED_VALUE"""),"72,000 Dollars")</f>
        <v>72,000 Dollars</v>
      </c>
      <c r="I238" s="3" t="str">
        <f>IFERROR(__xludf.DUMMYFUNCTION("""COMPUTED_VALUE"""),"Character")</f>
        <v>Character</v>
      </c>
      <c r="J238" s="3" t="str">
        <f>IFERROR(__xludf.DUMMYFUNCTION("""COMPUTED_VALUE"""),"No")</f>
        <v>No</v>
      </c>
      <c r="K238" s="3"/>
      <c r="L238" s="3" t="str">
        <f>IFERROR(__xludf.DUMMYFUNCTION("""COMPUTED_VALUE"""),"sftp://graphic@103.41.58.141/marketing/WarzTH_LE/Item%20Dict/character_female01.png")</f>
        <v>sftp://graphic@103.41.58.141/marketing/WarzTH_LE/Item%20Dict/character_female01.png</v>
      </c>
      <c r="M238" s="3"/>
      <c r="N238" s="3" t="str">
        <f>IFERROR(__xludf.DUMMYFUNCTION("""COMPUTED_VALUE"""),"-")</f>
        <v>-</v>
      </c>
      <c r="O238" s="3"/>
    </row>
    <row r="239">
      <c r="A239" s="3" t="b">
        <f>IFERROR(__xludf.DUMMYFUNCTION("""COMPUTED_VALUE"""),TRUE)</f>
        <v>1</v>
      </c>
      <c r="B239" s="3" t="str">
        <f>IFERROR(__xludf.DUMMYFUNCTION("""COMPUTED_VALUE"""),"")</f>
        <v/>
      </c>
      <c r="C239" s="3">
        <f>IFERROR(__xludf.DUMMYFUNCTION("""COMPUTED_VALUE"""),101305.0)</f>
        <v>101305</v>
      </c>
      <c r="D239" s="5" t="str">
        <f>IFERROR(__xludf.DUMMYFUNCTION("""COMPUTED_VALUE"""),"https://cdn.exe.in.th/marketing/WarzTH_LE/Item%20Dict/time_capsule.png")</f>
        <v>https://cdn.exe.in.th/marketing/WarzTH_LE/Item%20Dict/time_capsule.png</v>
      </c>
      <c r="E239" s="3" t="str">
        <f>IFERROR(__xludf.DUMMYFUNCTION("""COMPUTED_VALUE"""),"Time Capsule")</f>
        <v>Time Capsule</v>
      </c>
      <c r="F239" s="2" t="str">
        <f>IFERROR(__xludf.DUMMYFUNCTION("""COMPUTED_VALUE"""),"-")</f>
        <v>-</v>
      </c>
      <c r="G239" s="2" t="str">
        <f>IFERROR(__xludf.DUMMYFUNCTION("""COMPUTED_VALUE"""),"-")</f>
        <v>-</v>
      </c>
      <c r="H239" s="2" t="str">
        <f>IFERROR(__xludf.DUMMYFUNCTION("""COMPUTED_VALUE"""),"-")</f>
        <v>-</v>
      </c>
      <c r="I239" s="3" t="str">
        <f>IFERROR(__xludf.DUMMYFUNCTION("""COMPUTED_VALUE"""),"Consumable")</f>
        <v>Consumable</v>
      </c>
      <c r="J239" s="3" t="str">
        <f>IFERROR(__xludf.DUMMYFUNCTION("""COMPUTED_VALUE"""),"Yes")</f>
        <v>Yes</v>
      </c>
      <c r="K239" s="3"/>
      <c r="L239" s="3" t="str">
        <f>IFERROR(__xludf.DUMMYFUNCTION("""COMPUTED_VALUE"""),"sftp://graphic@103.41.58.141/marketing/WarzTH_LE/Item%20Dict/time_capsule.png")</f>
        <v>sftp://graphic@103.41.58.141/marketing/WarzTH_LE/Item%20Dict/time_capsule.png</v>
      </c>
      <c r="M239" s="3"/>
      <c r="N239" s="3" t="str">
        <f>IFERROR(__xludf.DUMMYFUNCTION("""COMPUTED_VALUE"""),"Write a message and leave it anywhere in the world for others to find")</f>
        <v>Write a message and leave it anywhere in the world for others to find</v>
      </c>
      <c r="O239" s="3"/>
    </row>
    <row r="240">
      <c r="A240" s="3" t="b">
        <f>IFERROR(__xludf.DUMMYFUNCTION("""COMPUTED_VALUE"""),TRUE)</f>
        <v>1</v>
      </c>
      <c r="B240" s="3" t="str">
        <f>IFERROR(__xludf.DUMMYFUNCTION("""COMPUTED_VALUE"""),"")</f>
        <v/>
      </c>
      <c r="C240" s="3">
        <f>IFERROR(__xludf.DUMMYFUNCTION("""COMPUTED_VALUE"""),101064.0)</f>
        <v>101064</v>
      </c>
      <c r="D240" s="5" t="str">
        <f>IFERROR(__xludf.DUMMYFUNCTION("""COMPUTED_VALUE"""),"https://cdn.exe.in.th/marketing/WarzTH_LE/Item%20Dict/uzi.png")</f>
        <v>https://cdn.exe.in.th/marketing/WarzTH_LE/Item%20Dict/uzi.png</v>
      </c>
      <c r="E240" s="3" t="str">
        <f>IFERROR(__xludf.DUMMYFUNCTION("""COMPUTED_VALUE"""),"UZI")</f>
        <v>UZI</v>
      </c>
      <c r="F240" s="2">
        <f>IFERROR(__xludf.DUMMYFUNCTION("""COMPUTED_VALUE"""),2.0)</f>
        <v>2</v>
      </c>
      <c r="G240" s="2" t="str">
        <f>IFERROR(__xludf.DUMMYFUNCTION("""COMPUTED_VALUE"""),"-")</f>
        <v>-</v>
      </c>
      <c r="H240" s="2" t="str">
        <f>IFERROR(__xludf.DUMMYFUNCTION("""COMPUTED_VALUE"""),"-")</f>
        <v>-</v>
      </c>
      <c r="I240" s="3" t="str">
        <f>IFERROR(__xludf.DUMMYFUNCTION("""COMPUTED_VALUE"""),"Weapon")</f>
        <v>Weapon</v>
      </c>
      <c r="J240" s="3" t="str">
        <f>IFERROR(__xludf.DUMMYFUNCTION("""COMPUTED_VALUE"""),"No")</f>
        <v>No</v>
      </c>
      <c r="K240" s="3" t="str">
        <f>IFERROR(__xludf.DUMMYFUNCTION("""COMPUTED_VALUE"""),"C")</f>
        <v>C</v>
      </c>
      <c r="L240" s="3" t="str">
        <f>IFERROR(__xludf.DUMMYFUNCTION("""COMPUTED_VALUE"""),"sftp://graphic@103.41.58.141/marketing/WarzTH_LE/Item%20Dict/uzi.png")</f>
        <v>sftp://graphic@103.41.58.141/marketing/WarzTH_LE/Item%20Dict/uzi.png</v>
      </c>
      <c r="M240" s="3"/>
      <c r="N240" s="3" t="str">
        <f>IFERROR(__xludf.DUMMYFUNCTION("""COMPUTED_VALUE"""),"The special issue UZI submachine gun is a open bolt, blow back design that fires 9 mm rounds from its magazine housed in the weapons pistol grip.")</f>
        <v>The special issue UZI submachine gun is a open bolt, blow back design that fires 9 mm rounds from its magazine housed in the weapons pistol grip.</v>
      </c>
      <c r="O240" s="3"/>
    </row>
    <row r="241">
      <c r="A241" s="3" t="b">
        <f>IFERROR(__xludf.DUMMYFUNCTION("""COMPUTED_VALUE"""),TRUE)</f>
        <v>1</v>
      </c>
      <c r="B241" s="3" t="str">
        <f>IFERROR(__xludf.DUMMYFUNCTION("""COMPUTED_VALUE"""),"")</f>
        <v/>
      </c>
      <c r="C241" s="3">
        <f>IFERROR(__xludf.DUMMYFUNCTION("""COMPUTED_VALUE"""),101201.0)</f>
        <v>101201</v>
      </c>
      <c r="D241" s="5" t="str">
        <f>IFERROR(__xludf.DUMMYFUNCTION("""COMPUTED_VALUE"""),"https://cdn.exe.in.th/marketing/WarzTH_LE/Item%20Dict/verserk_sr2.png")</f>
        <v>https://cdn.exe.in.th/marketing/WarzTH_LE/Item%20Dict/verserk_sr2.png</v>
      </c>
      <c r="E241" s="3" t="str">
        <f>IFERROR(__xludf.DUMMYFUNCTION("""COMPUTED_VALUE"""),"VERESK SR-2")</f>
        <v>VERESK SR-2</v>
      </c>
      <c r="F241" s="2">
        <f>IFERROR(__xludf.DUMMYFUNCTION("""COMPUTED_VALUE"""),2.0)</f>
        <v>2</v>
      </c>
      <c r="G241" s="2" t="str">
        <f>IFERROR(__xludf.DUMMYFUNCTION("""COMPUTED_VALUE"""),"-")</f>
        <v>-</v>
      </c>
      <c r="H241" s="2" t="str">
        <f>IFERROR(__xludf.DUMMYFUNCTION("""COMPUTED_VALUE"""),"-")</f>
        <v>-</v>
      </c>
      <c r="I241" s="3" t="str">
        <f>IFERROR(__xludf.DUMMYFUNCTION("""COMPUTED_VALUE"""),"Weapon")</f>
        <v>Weapon</v>
      </c>
      <c r="J241" s="3" t="str">
        <f>IFERROR(__xludf.DUMMYFUNCTION("""COMPUTED_VALUE"""),"No")</f>
        <v>No</v>
      </c>
      <c r="K241" s="3" t="str">
        <f>IFERROR(__xludf.DUMMYFUNCTION("""COMPUTED_VALUE"""),"C")</f>
        <v>C</v>
      </c>
      <c r="L241" s="3" t="str">
        <f>IFERROR(__xludf.DUMMYFUNCTION("""COMPUTED_VALUE"""),"sftp://graphic@103.41.58.141/marketing/WarzTH_LE/Item%20Dict/verserk_sr2.png")</f>
        <v>sftp://graphic@103.41.58.141/marketing/WarzTH_LE/Item%20Dict/verserk_sr2.png</v>
      </c>
      <c r="M241" s="3"/>
      <c r="N241" s="3" t="str">
        <f>IFERROR(__xludf.DUMMYFUNCTION("""COMPUTED_VALUE"""),"The MTAC Flasher submachine gun was designed to fire a standard 9 mm round at a high rate of fire with reasonable accuracy at close range targets.")</f>
        <v>The MTAC Flasher submachine gun was designed to fire a standard 9 mm round at a high rate of fire with reasonable accuracy at close range targets.</v>
      </c>
      <c r="O241" s="3"/>
    </row>
    <row r="242">
      <c r="A242" s="3" t="b">
        <f>IFERROR(__xludf.DUMMYFUNCTION("""COMPUTED_VALUE"""),TRUE)</f>
        <v>1</v>
      </c>
      <c r="B242" s="3" t="str">
        <f>IFERROR(__xludf.DUMMYFUNCTION("""COMPUTED_VALUE"""),"")</f>
        <v/>
      </c>
      <c r="C242" s="3">
        <f>IFERROR(__xludf.DUMMYFUNCTION("""COMPUTED_VALUE"""),400031.0)</f>
        <v>400031</v>
      </c>
      <c r="D242" s="5" t="str">
        <f>IFERROR(__xludf.DUMMYFUNCTION("""COMPUTED_VALUE"""),"https://cdn.exe.in.th/marketing/WarzTH_LE/Item%20Dict/vss_10.png")</f>
        <v>https://cdn.exe.in.th/marketing/WarzTH_LE/Item%20Dict/vss_10.png</v>
      </c>
      <c r="E242" s="3" t="str">
        <f>IFERROR(__xludf.DUMMYFUNCTION("""COMPUTED_VALUE"""),"VSS-10")</f>
        <v>VSS-10</v>
      </c>
      <c r="F242" s="2" t="str">
        <f>IFERROR(__xludf.DUMMYFUNCTION("""COMPUTED_VALUE"""),"-")</f>
        <v>-</v>
      </c>
      <c r="G242" s="2" t="str">
        <f>IFERROR(__xludf.DUMMYFUNCTION("""COMPUTED_VALUE"""),"-")</f>
        <v>-</v>
      </c>
      <c r="H242" s="2" t="str">
        <f>IFERROR(__xludf.DUMMYFUNCTION("""COMPUTED_VALUE"""),"-")</f>
        <v>-</v>
      </c>
      <c r="I242" s="3" t="str">
        <f>IFERROR(__xludf.DUMMYFUNCTION("""COMPUTED_VALUE"""),"Ammo")</f>
        <v>Ammo</v>
      </c>
      <c r="J242" s="3" t="str">
        <f>IFERROR(__xludf.DUMMYFUNCTION("""COMPUTED_VALUE"""),"Yes")</f>
        <v>Yes</v>
      </c>
      <c r="K242" s="3"/>
      <c r="L242" s="3" t="str">
        <f>IFERROR(__xludf.DUMMYFUNCTION("""COMPUTED_VALUE"""),"sftp://graphic@103.41.58.141/marketing/WarzTH_LE/Item%20Dict/vss_10.png")</f>
        <v>sftp://graphic@103.41.58.141/marketing/WarzTH_LE/Item%20Dict/vss_10.png</v>
      </c>
      <c r="M242" s="3"/>
      <c r="N242" s="3" t="str">
        <f>IFERROR(__xludf.DUMMYFUNCTION("""COMPUTED_VALUE"""),"""Specially designed high power 9x39mm low velocity, high penetration subsonic round for VSS Vintorez sniper rifle. Standard 10 rounds magazine.""")</f>
        <v>"Specially designed high power 9x39mm low velocity, high penetration subsonic round for VSS Vintorez sniper rifle. Standard 10 rounds magazine."</v>
      </c>
      <c r="O242" s="3"/>
    </row>
    <row r="243">
      <c r="A243" s="3" t="b">
        <f>IFERROR(__xludf.DUMMYFUNCTION("""COMPUTED_VALUE"""),TRUE)</f>
        <v>1</v>
      </c>
      <c r="B243" s="3" t="str">
        <f>IFERROR(__xludf.DUMMYFUNCTION("""COMPUTED_VALUE"""),"")</f>
        <v/>
      </c>
      <c r="C243" s="3">
        <f>IFERROR(__xludf.DUMMYFUNCTION("""COMPUTED_VALUE"""),400030.0)</f>
        <v>400030</v>
      </c>
      <c r="D243" s="5" t="str">
        <f>IFERROR(__xludf.DUMMYFUNCTION("""COMPUTED_VALUE"""),"https://cdn.exe.in.th/marketing/WarzTH_LE/Item%20Dict/vss_20.png")</f>
        <v>https://cdn.exe.in.th/marketing/WarzTH_LE/Item%20Dict/vss_20.png</v>
      </c>
      <c r="E243" s="3" t="str">
        <f>IFERROR(__xludf.DUMMYFUNCTION("""COMPUTED_VALUE"""),"VSS-20")</f>
        <v>VSS-20</v>
      </c>
      <c r="F243" s="2" t="str">
        <f>IFERROR(__xludf.DUMMYFUNCTION("""COMPUTED_VALUE"""),"-")</f>
        <v>-</v>
      </c>
      <c r="G243" s="2" t="str">
        <f>IFERROR(__xludf.DUMMYFUNCTION("""COMPUTED_VALUE"""),"-")</f>
        <v>-</v>
      </c>
      <c r="H243" s="2" t="str">
        <f>IFERROR(__xludf.DUMMYFUNCTION("""COMPUTED_VALUE"""),"-")</f>
        <v>-</v>
      </c>
      <c r="I243" s="3" t="str">
        <f>IFERROR(__xludf.DUMMYFUNCTION("""COMPUTED_VALUE"""),"Ammo")</f>
        <v>Ammo</v>
      </c>
      <c r="J243" s="3" t="str">
        <f>IFERROR(__xludf.DUMMYFUNCTION("""COMPUTED_VALUE"""),"Yes")</f>
        <v>Yes</v>
      </c>
      <c r="K243" s="3"/>
      <c r="L243" s="3" t="str">
        <f>IFERROR(__xludf.DUMMYFUNCTION("""COMPUTED_VALUE"""),"sftp://graphic@103.41.58.141/marketing/WarzTH_LE/Item%20Dict/vss_20.png")</f>
        <v>sftp://graphic@103.41.58.141/marketing/WarzTH_LE/Item%20Dict/vss_20.png</v>
      </c>
      <c r="M243" s="3"/>
      <c r="N243" s="3" t="str">
        <f>IFERROR(__xludf.DUMMYFUNCTION("""COMPUTED_VALUE"""),"""Specially designed high power 9x39mm low velocity, high penetration subsonic round for VSS Vintorez sniper rifle. Extended 20 rounds magazine.""")</f>
        <v>"Specially designed high power 9x39mm low velocity, high penetration subsonic round for VSS Vintorez sniper rifle. Extended 20 rounds magazine."</v>
      </c>
      <c r="O243" s="3"/>
    </row>
    <row r="244">
      <c r="A244" s="3" t="b">
        <f>IFERROR(__xludf.DUMMYFUNCTION("""COMPUTED_VALUE"""),TRUE)</f>
        <v>1</v>
      </c>
      <c r="B244" s="3" t="str">
        <f>IFERROR(__xludf.DUMMYFUNCTION("""COMPUTED_VALUE"""),"")</f>
        <v/>
      </c>
      <c r="C244" s="3">
        <f>IFERROR(__xludf.DUMMYFUNCTION("""COMPUTED_VALUE"""),101084.0)</f>
        <v>101084</v>
      </c>
      <c r="D244" s="5" t="str">
        <f>IFERROR(__xludf.DUMMYFUNCTION("""COMPUTED_VALUE"""),"https://cdn.exe.in.th/marketing/WarzTH_LE/Item%20Dict/vss_vintorez.png")</f>
        <v>https://cdn.exe.in.th/marketing/WarzTH_LE/Item%20Dict/vss_vintorez.png</v>
      </c>
      <c r="E244" s="3" t="str">
        <f>IFERROR(__xludf.DUMMYFUNCTION("""COMPUTED_VALUE"""),"VSS VINTOREZ")</f>
        <v>VSS VINTOREZ</v>
      </c>
      <c r="F244" s="2">
        <f>IFERROR(__xludf.DUMMYFUNCTION("""COMPUTED_VALUE"""),15000.0)</f>
        <v>15000</v>
      </c>
      <c r="G244" s="2" t="str">
        <f>IFERROR(__xludf.DUMMYFUNCTION("""COMPUTED_VALUE"""),"-")</f>
        <v>-</v>
      </c>
      <c r="H244" s="2" t="str">
        <f>IFERROR(__xludf.DUMMYFUNCTION("""COMPUTED_VALUE"""),"-")</f>
        <v>-</v>
      </c>
      <c r="I244" s="3" t="str">
        <f>IFERROR(__xludf.DUMMYFUNCTION("""COMPUTED_VALUE"""),"Weapon")</f>
        <v>Weapon</v>
      </c>
      <c r="J244" s="3" t="str">
        <f>IFERROR(__xludf.DUMMYFUNCTION("""COMPUTED_VALUE"""),"No")</f>
        <v>No</v>
      </c>
      <c r="K244" s="3" t="str">
        <f>IFERROR(__xludf.DUMMYFUNCTION("""COMPUTED_VALUE"""),"SR")</f>
        <v>SR</v>
      </c>
      <c r="L244" s="3" t="str">
        <f>IFERROR(__xludf.DUMMYFUNCTION("""COMPUTED_VALUE"""),"sftp://graphic@103.41.58.141/marketing/WarzTH_LE/Item%20Dict/vss_vintorez.png")</f>
        <v>sftp://graphic@103.41.58.141/marketing/WarzTH_LE/Item%20Dict/vss_vintorez.png</v>
      </c>
      <c r="M244" s="3"/>
      <c r="N244" s="3" t="str">
        <f>IFERROR(__xludf.DUMMYFUNCTION("""COMPUTED_VALUE"""),"The VSS Vintorez sniper rifle was designed to fire a 9 x 39 mm round using a gas operated, rotating bolt firing system. It is designed to be effective at medium distances.")</f>
        <v>The VSS Vintorez sniper rifle was designed to fire a 9 x 39 mm round using a gas operated, rotating bolt firing system. It is designed to be effective at medium distances.</v>
      </c>
      <c r="O244" s="3"/>
    </row>
    <row r="245">
      <c r="A245" s="3" t="b">
        <f>IFERROR(__xludf.DUMMYFUNCTION("""COMPUTED_VALUE"""),TRUE)</f>
        <v>1</v>
      </c>
      <c r="B245" s="3" t="str">
        <f>IFERROR(__xludf.DUMMYFUNCTION("""COMPUTED_VALUE"""),"")</f>
        <v/>
      </c>
      <c r="C245" s="3">
        <f>IFERROR(__xludf.DUMMYFUNCTION("""COMPUTED_VALUE"""),101298.0)</f>
        <v>101298</v>
      </c>
      <c r="D245" s="5" t="str">
        <f>IFERROR(__xludf.DUMMYFUNCTION("""COMPUTED_VALUE"""),"https://cdn.exe.in.th/marketing/WarzTH_LE/Item%20Dict/water_1l.png")</f>
        <v>https://cdn.exe.in.th/marketing/WarzTH_LE/Item%20Dict/water_1l.png</v>
      </c>
      <c r="E245" s="3" t="str">
        <f>IFERROR(__xludf.DUMMYFUNCTION("""COMPUTED_VALUE"""),"Water 1L")</f>
        <v>Water 1L</v>
      </c>
      <c r="F245" s="2">
        <f>IFERROR(__xludf.DUMMYFUNCTION("""COMPUTED_VALUE"""),0.5)</f>
        <v>0.5</v>
      </c>
      <c r="G245" s="2" t="str">
        <f>IFERROR(__xludf.DUMMYFUNCTION("""COMPUTED_VALUE"""),"5 GC")</f>
        <v>5 GC</v>
      </c>
      <c r="H245" s="2" t="str">
        <f>IFERROR(__xludf.DUMMYFUNCTION("""COMPUTED_VALUE"""),"500 Dollars")</f>
        <v>500 Dollars</v>
      </c>
      <c r="I245" s="3" t="str">
        <f>IFERROR(__xludf.DUMMYFUNCTION("""COMPUTED_VALUE"""),"Consumable")</f>
        <v>Consumable</v>
      </c>
      <c r="J245" s="3" t="str">
        <f>IFERROR(__xludf.DUMMYFUNCTION("""COMPUTED_VALUE"""),"Yes")</f>
        <v>Yes</v>
      </c>
      <c r="K245" s="3"/>
      <c r="L245" s="3" t="str">
        <f>IFERROR(__xludf.DUMMYFUNCTION("""COMPUTED_VALUE"""),"sftp://graphic@103.41.58.141/marketing/WarzTH_LE/Item%20Dict/water_1l.png")</f>
        <v>sftp://graphic@103.41.58.141/marketing/WarzTH_LE/Item%20Dict/water_1l.png</v>
      </c>
      <c r="M245" s="3"/>
      <c r="N245" s="3" t="str">
        <f>IFERROR(__xludf.DUMMYFUNCTION("""COMPUTED_VALUE"""),"A large bottle of water that when consumed quenches moderate thirst.")</f>
        <v>A large bottle of water that when consumed quenches moderate thirst.</v>
      </c>
      <c r="O245" s="3"/>
    </row>
    <row r="246">
      <c r="A246" s="3" t="b">
        <f>IFERROR(__xludf.DUMMYFUNCTION("""COMPUTED_VALUE"""),TRUE)</f>
        <v>1</v>
      </c>
      <c r="B246" s="3" t="str">
        <f>IFERROR(__xludf.DUMMYFUNCTION("""COMPUTED_VALUE"""),"")</f>
        <v/>
      </c>
      <c r="C246" s="3">
        <f>IFERROR(__xludf.DUMMYFUNCTION("""COMPUTED_VALUE"""),101299.0)</f>
        <v>101299</v>
      </c>
      <c r="D246" s="5" t="str">
        <f>IFERROR(__xludf.DUMMYFUNCTION("""COMPUTED_VALUE"""),"https://cdn.exe.in.th/marketing/WarzTH_LE/Item%20Dict/water_375ml.png")</f>
        <v>https://cdn.exe.in.th/marketing/WarzTH_LE/Item%20Dict/water_375ml.png</v>
      </c>
      <c r="E246" s="3" t="str">
        <f>IFERROR(__xludf.DUMMYFUNCTION("""COMPUTED_VALUE"""),"Water 375ml")</f>
        <v>Water 375ml</v>
      </c>
      <c r="F246" s="2">
        <f>IFERROR(__xludf.DUMMYFUNCTION("""COMPUTED_VALUE"""),0.3)</f>
        <v>0.3</v>
      </c>
      <c r="G246" s="2" t="str">
        <f>IFERROR(__xludf.DUMMYFUNCTION("""COMPUTED_VALUE"""),"-")</f>
        <v>-</v>
      </c>
      <c r="H246" s="2" t="str">
        <f>IFERROR(__xludf.DUMMYFUNCTION("""COMPUTED_VALUE"""),"300 Dollars")</f>
        <v>300 Dollars</v>
      </c>
      <c r="I246" s="3" t="str">
        <f>IFERROR(__xludf.DUMMYFUNCTION("""COMPUTED_VALUE"""),"Consumable")</f>
        <v>Consumable</v>
      </c>
      <c r="J246" s="3" t="str">
        <f>IFERROR(__xludf.DUMMYFUNCTION("""COMPUTED_VALUE"""),"Yes")</f>
        <v>Yes</v>
      </c>
      <c r="K246" s="3"/>
      <c r="L246" s="3" t="str">
        <f>IFERROR(__xludf.DUMMYFUNCTION("""COMPUTED_VALUE"""),"sftp://graphic@103.41.58.141/marketing/WarzTH_LE/Item%20Dict/water_375ml.png")</f>
        <v>sftp://graphic@103.41.58.141/marketing/WarzTH_LE/Item%20Dict/water_375ml.png</v>
      </c>
      <c r="M246" s="3"/>
      <c r="N246" s="3" t="str">
        <f>IFERROR(__xludf.DUMMYFUNCTION("""COMPUTED_VALUE"""),"A small bottle of water that when consumed quenches moderate thirst.")</f>
        <v>A small bottle of water that when consumed quenches moderate thirst.</v>
      </c>
      <c r="O246" s="3"/>
    </row>
    <row r="247">
      <c r="A247" s="3" t="b">
        <f>IFERROR(__xludf.DUMMYFUNCTION("""COMPUTED_VALUE"""),TRUE)</f>
        <v>1</v>
      </c>
      <c r="B247" s="3" t="str">
        <f>IFERROR(__xludf.DUMMYFUNCTION("""COMPUTED_VALUE"""),"")</f>
        <v/>
      </c>
      <c r="C247" s="3">
        <f>IFERROR(__xludf.DUMMYFUNCTION("""COMPUTED_VALUE"""),101391.0)</f>
        <v>101391</v>
      </c>
      <c r="D247" s="5" t="str">
        <f>IFERROR(__xludf.DUMMYFUNCTION("""COMPUTED_VALUE"""),"https://cdn.exe.in.th/marketing/WarzTH_LE/Item%20Dict/wrench.png")</f>
        <v>https://cdn.exe.in.th/marketing/WarzTH_LE/Item%20Dict/wrench.png</v>
      </c>
      <c r="E247" s="6" t="str">
        <f>IFERROR(__xludf.DUMMYFUNCTION("""COMPUTED_VALUE"""),"Wrench")</f>
        <v>Wrench</v>
      </c>
      <c r="F247" s="2">
        <f>IFERROR(__xludf.DUMMYFUNCTION("""COMPUTED_VALUE"""),1.5)</f>
        <v>1.5</v>
      </c>
      <c r="G247" s="2" t="str">
        <f>IFERROR(__xludf.DUMMYFUNCTION("""COMPUTED_VALUE"""),"15 GC")</f>
        <v>15 GC</v>
      </c>
      <c r="H247" s="2" t="str">
        <f>IFERROR(__xludf.DUMMYFUNCTION("""COMPUTED_VALUE"""),"1,500 Dollars")</f>
        <v>1,500 Dollars</v>
      </c>
      <c r="I247" s="3" t="str">
        <f>IFERROR(__xludf.DUMMYFUNCTION("""COMPUTED_VALUE"""),"Weapon")</f>
        <v>Weapon</v>
      </c>
      <c r="J247" s="3" t="str">
        <f>IFERROR(__xludf.DUMMYFUNCTION("""COMPUTED_VALUE"""),"No")</f>
        <v>No</v>
      </c>
      <c r="K247" s="3"/>
      <c r="L247" s="3" t="str">
        <f>IFERROR(__xludf.DUMMYFUNCTION("""COMPUTED_VALUE"""),"sftp://graphic@103.41.58.141/marketing/WarzTH_LE/Item%20Dict/wrench.png")</f>
        <v>sftp://graphic@103.41.58.141/marketing/WarzTH_LE/Item%20Dict/wrench.png</v>
      </c>
      <c r="M247" s="3"/>
      <c r="N247" s="3" t="str">
        <f>IFERROR(__xludf.DUMMYFUNCTION("""COMPUTED_VALUE"""),"Loved by plumbers around the world, this hefty tool can easily collapse the skulls of your foes")</f>
        <v>Loved by plumbers around the world, this hefty tool can easily collapse the skulls of your foes</v>
      </c>
      <c r="O247" s="3"/>
    </row>
    <row r="248">
      <c r="A248" s="3" t="b">
        <f>IFERROR(__xludf.DUMMYFUNCTION("""COMPUTED_VALUE"""),TRUE)</f>
        <v>1</v>
      </c>
      <c r="B248" s="3" t="str">
        <f>IFERROR(__xludf.DUMMYFUNCTION("""COMPUTED_VALUE"""),"")</f>
        <v/>
      </c>
      <c r="C248" s="3">
        <f>IFERROR(__xludf.DUMMYFUNCTION("""COMPUTED_VALUE"""),101301.0)</f>
        <v>101301</v>
      </c>
      <c r="D248" s="5" t="str">
        <f>IFERROR(__xludf.DUMMYFUNCTION("""COMPUTED_VALUE"""),"https://cdn.exe.in.th/marketing/WarzTH_LE/Item%20Dict/zombie_repellent.png")</f>
        <v>https://cdn.exe.in.th/marketing/WarzTH_LE/Item%20Dict/zombie_repellent.png</v>
      </c>
      <c r="E248" s="3" t="str">
        <f>IFERROR(__xludf.DUMMYFUNCTION("""COMPUTED_VALUE"""),"Zombie Repellent")</f>
        <v>Zombie Repellent</v>
      </c>
      <c r="F248" s="2" t="str">
        <f>IFERROR(__xludf.DUMMYFUNCTION("""COMPUTED_VALUE"""),"-")</f>
        <v>-</v>
      </c>
      <c r="G248" s="2" t="str">
        <f>IFERROR(__xludf.DUMMYFUNCTION("""COMPUTED_VALUE"""),"-")</f>
        <v>-</v>
      </c>
      <c r="H248" s="2" t="str">
        <f>IFERROR(__xludf.DUMMYFUNCTION("""COMPUTED_VALUE"""),"-")</f>
        <v>-</v>
      </c>
      <c r="I248" s="3" t="str">
        <f>IFERROR(__xludf.DUMMYFUNCTION("""COMPUTED_VALUE"""),"Consumable")</f>
        <v>Consumable</v>
      </c>
      <c r="J248" s="3" t="str">
        <f>IFERROR(__xludf.DUMMYFUNCTION("""COMPUTED_VALUE"""),"Yes")</f>
        <v>Yes</v>
      </c>
      <c r="K248" s="3"/>
      <c r="L248" s="3" t="str">
        <f>IFERROR(__xludf.DUMMYFUNCTION("""COMPUTED_VALUE"""),"sftp://graphic@103.41.58.141/marketing/WarzTH_LE/Item%20Dict/zombie_repellent.png")</f>
        <v>sftp://graphic@103.41.58.141/marketing/WarzTH_LE/Item%20Dict/zombie_repellent.png</v>
      </c>
      <c r="M248" s="3"/>
      <c r="N248" s="3" t="str">
        <f>IFERROR(__xludf.DUMMYFUNCTION("""COMPUTED_VALUE"""),"A spray on solution that when applied to the skin, it enters the blood stream and masks the smell of fresh blood.")</f>
        <v>A spray on solution that when applied to the skin, it enters the blood stream and masks the smell of fresh blood.</v>
      </c>
      <c r="O248" s="3"/>
    </row>
    <row r="249">
      <c r="A249" s="3" t="b">
        <f>IFERROR(__xludf.DUMMYFUNCTION("""COMPUTED_VALUE"""),FALSE)</f>
        <v>0</v>
      </c>
      <c r="B249" s="3" t="str">
        <f>IFERROR(__xludf.DUMMYFUNCTION("""COMPUTED_VALUE"""),"")</f>
        <v/>
      </c>
      <c r="C249" s="3">
        <f>IFERROR(__xludf.DUMMYFUNCTION("""COMPUTED_VALUE"""),312001.0)</f>
        <v>312001</v>
      </c>
      <c r="D249" s="3" t="str">
        <f>IFERROR(__xludf.DUMMYFUNCTION("""COMPUTED_VALUE"""),"")</f>
        <v/>
      </c>
      <c r="E249" s="3" t="str">
        <f>IFERROR(__xludf.DUMMYFUNCTION("""COMPUTED_VALUE"""),"100 Premium Bait Cans")</f>
        <v>100 Premium Bait Cans</v>
      </c>
      <c r="F249" s="2">
        <f>IFERROR(__xludf.DUMMYFUNCTION("""COMPUTED_VALUE"""),100.0)</f>
        <v>100</v>
      </c>
      <c r="G249" s="2" t="str">
        <f>IFERROR(__xludf.DUMMYFUNCTION("""COMPUTED_VALUE"""),"1000 GC")</f>
        <v>1000 GC</v>
      </c>
      <c r="H249" s="2" t="str">
        <f>IFERROR(__xludf.DUMMYFUNCTION("""COMPUTED_VALUE"""),"100,000 Dollars")</f>
        <v>100,000 Dollars</v>
      </c>
      <c r="I249" s="3" t="str">
        <f>IFERROR(__xludf.DUMMYFUNCTION("""COMPUTED_VALUE"""),"Consumable")</f>
        <v>Consumable</v>
      </c>
      <c r="J249" s="3" t="str">
        <f>IFERROR(__xludf.DUMMYFUNCTION("""COMPUTED_VALUE"""),"Yes")</f>
        <v>Yes</v>
      </c>
      <c r="K249" s="3"/>
      <c r="L249" s="3"/>
      <c r="M249" s="3"/>
      <c r="N249" s="3"/>
      <c r="O249" s="3"/>
    </row>
    <row r="250">
      <c r="A250" s="3" t="b">
        <f>IFERROR(__xludf.DUMMYFUNCTION("""COMPUTED_VALUE"""),FALSE)</f>
        <v>0</v>
      </c>
      <c r="B250" s="3" t="str">
        <f>IFERROR(__xludf.DUMMYFUNCTION("""COMPUTED_VALUE"""),"")</f>
        <v/>
      </c>
      <c r="C250" s="3">
        <f>IFERROR(__xludf.DUMMYFUNCTION("""COMPUTED_VALUE"""),101363.0)</f>
        <v>101363</v>
      </c>
      <c r="D250" s="5" t="str">
        <f>IFERROR(__xludf.DUMMYFUNCTION("""COMPUTED_VALUE"""),"https://cdn.exe.in.th/marketing/WarzTH_LE/Item%20Dict/apple_farm_block.png")</f>
        <v>https://cdn.exe.in.th/marketing/WarzTH_LE/Item%20Dict/apple_farm_block.png</v>
      </c>
      <c r="E250" s="3" t="str">
        <f>IFERROR(__xludf.DUMMYFUNCTION("""COMPUTED_VALUE"""),"Apple farm block")</f>
        <v>Apple farm block</v>
      </c>
      <c r="F250" s="3"/>
      <c r="G250" s="3"/>
      <c r="H250" s="3"/>
      <c r="I250" s="3" t="str">
        <f>IFERROR(__xludf.DUMMYFUNCTION("""COMPUTED_VALUE"""),"Consumable")</f>
        <v>Consumable</v>
      </c>
      <c r="J250" s="3" t="str">
        <f>IFERROR(__xludf.DUMMYFUNCTION("""COMPUTED_VALUE"""),"Yes")</f>
        <v>Yes</v>
      </c>
      <c r="K250" s="3"/>
      <c r="L250" s="3" t="str">
        <f>IFERROR(__xludf.DUMMYFUNCTION("""COMPUTED_VALUE"""),"sftp://graphic@103.41.58.141/marketing/WarzTH_LE/Item%20Dict/apple_farm_block.png")</f>
        <v>sftp://graphic@103.41.58.141/marketing/WarzTH_LE/Item%20Dict/apple_farm_block.png</v>
      </c>
      <c r="M250" s="3"/>
      <c r="N250" s="3"/>
      <c r="O250" s="3"/>
    </row>
    <row r="251">
      <c r="A251" s="3" t="b">
        <f>IFERROR(__xludf.DUMMYFUNCTION("""COMPUTED_VALUE"""),FALSE)</f>
        <v>0</v>
      </c>
      <c r="B251" s="3" t="str">
        <f>IFERROR(__xludf.DUMMYFUNCTION("""COMPUTED_VALUE"""),"")</f>
        <v/>
      </c>
      <c r="C251" s="3">
        <f>IFERROR(__xludf.DUMMYFUNCTION("""COMPUTED_VALUE"""),311000.0)</f>
        <v>311000</v>
      </c>
      <c r="D251" s="3" t="str">
        <f>IFERROR(__xludf.DUMMYFUNCTION("""COMPUTED_VALUE"""),"")</f>
        <v/>
      </c>
      <c r="E251" s="3" t="str">
        <f>IFERROR(__xludf.DUMMYFUNCTION("""COMPUTED_VALUE"""),"Bag Money 100,000")</f>
        <v>Bag Money 100,000</v>
      </c>
      <c r="F251" s="2" t="str">
        <f>IFERROR(__xludf.DUMMYFUNCTION("""COMPUTED_VALUE"""),"-")</f>
        <v>-</v>
      </c>
      <c r="G251" s="2" t="str">
        <f>IFERROR(__xludf.DUMMYFUNCTION("""COMPUTED_VALUE"""),"-")</f>
        <v>-</v>
      </c>
      <c r="H251" s="2" t="str">
        <f>IFERROR(__xludf.DUMMYFUNCTION("""COMPUTED_VALUE"""),"-")</f>
        <v>-</v>
      </c>
      <c r="I251" s="3" t="str">
        <f>IFERROR(__xludf.DUMMYFUNCTION("""COMPUTED_VALUE"""),"Consumable")</f>
        <v>Consumable</v>
      </c>
      <c r="J251" s="3" t="str">
        <f>IFERROR(__xludf.DUMMYFUNCTION("""COMPUTED_VALUE"""),"Yes")</f>
        <v>Yes</v>
      </c>
      <c r="K251" s="3"/>
      <c r="L251" s="3"/>
      <c r="M251" s="3"/>
      <c r="N251" s="3"/>
      <c r="O251" s="3"/>
    </row>
    <row r="252">
      <c r="A252" s="3" t="b">
        <f>IFERROR(__xludf.DUMMYFUNCTION("""COMPUTED_VALUE"""),FALSE)</f>
        <v>0</v>
      </c>
      <c r="B252" s="3" t="str">
        <f>IFERROR(__xludf.DUMMYFUNCTION("""COMPUTED_VALUE"""),"")</f>
        <v/>
      </c>
      <c r="C252" s="3">
        <f>IFERROR(__xludf.DUMMYFUNCTION("""COMPUTED_VALUE"""),101362.0)</f>
        <v>101362</v>
      </c>
      <c r="D252" s="5" t="str">
        <f>IFERROR(__xludf.DUMMYFUNCTION("""COMPUTED_VALUE"""),"https://cdn.exe.in.th/marketing/WarzTH_LE/Item%20Dict/bag_of_chips_farm_block.png")</f>
        <v>https://cdn.exe.in.th/marketing/WarzTH_LE/Item%20Dict/bag_of_chips_farm_block.png</v>
      </c>
      <c r="E252" s="3" t="str">
        <f>IFERROR(__xludf.DUMMYFUNCTION("""COMPUTED_VALUE"""),"Bag of Chips farm block")</f>
        <v>Bag of Chips farm block</v>
      </c>
      <c r="F252" s="3"/>
      <c r="G252" s="3"/>
      <c r="H252" s="3"/>
      <c r="I252" s="3" t="str">
        <f>IFERROR(__xludf.DUMMYFUNCTION("""COMPUTED_VALUE"""),"Consumable")</f>
        <v>Consumable</v>
      </c>
      <c r="J252" s="3" t="str">
        <f>IFERROR(__xludf.DUMMYFUNCTION("""COMPUTED_VALUE"""),"Yes")</f>
        <v>Yes</v>
      </c>
      <c r="K252" s="3"/>
      <c r="L252" s="3" t="str">
        <f>IFERROR(__xludf.DUMMYFUNCTION("""COMPUTED_VALUE"""),"sftp://graphic@103.41.58.141/marketing/WarzTH_LE/Item%20Dict/bag_of_chips_farm_block.png")</f>
        <v>sftp://graphic@103.41.58.141/marketing/WarzTH_LE/Item%20Dict/bag_of_chips_farm_block.png</v>
      </c>
      <c r="M252" s="3"/>
      <c r="N252" s="3"/>
      <c r="O252" s="3"/>
    </row>
    <row r="253">
      <c r="A253" s="3" t="b">
        <f>IFERROR(__xludf.DUMMYFUNCTION("""COMPUTED_VALUE"""),FALSE)</f>
        <v>0</v>
      </c>
      <c r="B253" s="3" t="str">
        <f>IFERROR(__xludf.DUMMYFUNCTION("""COMPUTED_VALUE"""),"")</f>
        <v/>
      </c>
      <c r="C253" s="3">
        <f>IFERROR(__xludf.DUMMYFUNCTION("""COMPUTED_VALUE"""),101364.0)</f>
        <v>101364</v>
      </c>
      <c r="D253" s="5" t="str">
        <f>IFERROR(__xludf.DUMMYFUNCTION("""COMPUTED_VALUE"""),"https://cdn.exe.in.th/marketing/WarzTH_LE/Item%20Dict/banana_farm_block.png")</f>
        <v>https://cdn.exe.in.th/marketing/WarzTH_LE/Item%20Dict/banana_farm_block.png</v>
      </c>
      <c r="E253" s="3" t="str">
        <f>IFERROR(__xludf.DUMMYFUNCTION("""COMPUTED_VALUE"""),"Banana farm block")</f>
        <v>Banana farm block</v>
      </c>
      <c r="F253" s="3"/>
      <c r="G253" s="3"/>
      <c r="H253" s="3"/>
      <c r="I253" s="3" t="str">
        <f>IFERROR(__xludf.DUMMYFUNCTION("""COMPUTED_VALUE"""),"Consumable")</f>
        <v>Consumable</v>
      </c>
      <c r="J253" s="3" t="str">
        <f>IFERROR(__xludf.DUMMYFUNCTION("""COMPUTED_VALUE"""),"Yes")</f>
        <v>Yes</v>
      </c>
      <c r="K253" s="3"/>
      <c r="L253" s="3" t="str">
        <f>IFERROR(__xludf.DUMMYFUNCTION("""COMPUTED_VALUE"""),"sftp://graphic@103.41.58.141/marketing/WarzTH_LE/Item%20Dict/banana_farm_block.png")</f>
        <v>sftp://graphic@103.41.58.141/marketing/WarzTH_LE/Item%20Dict/banana_farm_block.png</v>
      </c>
      <c r="M253" s="3"/>
      <c r="N253" s="3"/>
      <c r="O253" s="3"/>
    </row>
    <row r="254">
      <c r="A254" s="3" t="b">
        <f>IFERROR(__xludf.DUMMYFUNCTION("""COMPUTED_VALUE"""),FALSE)</f>
        <v>0</v>
      </c>
      <c r="B254" s="3" t="str">
        <f>IFERROR(__xludf.DUMMYFUNCTION("""COMPUTED_VALUE"""),"")</f>
        <v/>
      </c>
      <c r="C254" s="3">
        <f>IFERROR(__xludf.DUMMYFUNCTION("""COMPUTED_VALUE"""),301340.0)</f>
        <v>301340</v>
      </c>
      <c r="D254" s="5" t="str">
        <f>IFERROR(__xludf.DUMMYFUNCTION("""COMPUTED_VALUE"""),"https://cdn.exe.in.th/marketing/WarzTH_LE/Item%20Dict/recipe.png")</f>
        <v>https://cdn.exe.in.th/marketing/WarzTH_LE/Item%20Dict/recipe.png</v>
      </c>
      <c r="E254" s="3" t="str">
        <f>IFERROR(__xludf.DUMMYFUNCTION("""COMPUTED_VALUE"""),"Bandage Recipe")</f>
        <v>Bandage Recipe</v>
      </c>
      <c r="F254" s="3"/>
      <c r="G254" s="3"/>
      <c r="H254" s="3"/>
      <c r="I254" s="3" t="str">
        <f>IFERROR(__xludf.DUMMYFUNCTION("""COMPUTED_VALUE"""),"Blueprint")</f>
        <v>Blueprint</v>
      </c>
      <c r="J254" s="3"/>
      <c r="K254" s="3"/>
      <c r="L254" s="3" t="str">
        <f>IFERROR(__xludf.DUMMYFUNCTION("""COMPUTED_VALUE"""),"sftp://graphic@103.41.58.141/marketing/WarzTH_LE/Item%20Dict/recipe.png")</f>
        <v>sftp://graphic@103.41.58.141/marketing/WarzTH_LE/Item%20Dict/recipe.png</v>
      </c>
      <c r="M254" s="3"/>
      <c r="N254" s="3"/>
      <c r="O254" s="3"/>
    </row>
    <row r="255">
      <c r="A255" s="3" t="b">
        <f>IFERROR(__xludf.DUMMYFUNCTION("""COMPUTED_VALUE"""),FALSE)</f>
        <v>0</v>
      </c>
      <c r="B255" s="3" t="str">
        <f>IFERROR(__xludf.DUMMYFUNCTION("""COMPUTED_VALUE"""),"")</f>
        <v/>
      </c>
      <c r="C255" s="3">
        <f>IFERROR(__xludf.DUMMYFUNCTION("""COMPUTED_VALUE"""),230002.0)</f>
        <v>230002</v>
      </c>
      <c r="D255" s="5" t="str">
        <f>IFERROR(__xludf.DUMMYFUNCTION("""COMPUTED_VALUE"""),"https://cdn.exe.in.th/marketing/WarzTH_LE/Item%20Dict/blueprint__gear_backpack_med_HOF_SET.png")</f>
        <v>https://cdn.exe.in.th/marketing/WarzTH_LE/Item%20Dict/blueprint__gear_backpack_med_HOF_SET.png</v>
      </c>
      <c r="E255" s="3" t="str">
        <f>IFERROR(__xludf.DUMMYFUNCTION("""COMPUTED_VALUE"""),"Blueprints Skin ALICE Rucksack HOF")</f>
        <v>Blueprints Skin ALICE Rucksack HOF</v>
      </c>
      <c r="F255" s="3"/>
      <c r="G255" s="3"/>
      <c r="H255" s="3"/>
      <c r="I255" s="3" t="str">
        <f>IFERROR(__xludf.DUMMYFUNCTION("""COMPUTED_VALUE"""),"Blueprint Skin")</f>
        <v>Blueprint Skin</v>
      </c>
      <c r="J255" s="3" t="str">
        <f>IFERROR(__xludf.DUMMYFUNCTION("""COMPUTED_VALUE"""),"Yes")</f>
        <v>Yes</v>
      </c>
      <c r="K255" s="3"/>
      <c r="L255" s="3" t="str">
        <f>IFERROR(__xludf.DUMMYFUNCTION("""COMPUTED_VALUE"""),"sftp://graphic@103.41.58.141/marketing/WarzTH_LE/Item%20Dict/blueprint__gear_backpack_med_HOF_SET.png")</f>
        <v>sftp://graphic@103.41.58.141/marketing/WarzTH_LE/Item%20Dict/blueprint__gear_backpack_med_HOF_SET.png</v>
      </c>
      <c r="M255" s="3"/>
      <c r="N255" s="3"/>
      <c r="O255" s="3"/>
    </row>
    <row r="256">
      <c r="A256" s="3" t="b">
        <f>IFERROR(__xludf.DUMMYFUNCTION("""COMPUTED_VALUE"""),FALSE)</f>
        <v>0</v>
      </c>
      <c r="B256" s="3" t="str">
        <f>IFERROR(__xludf.DUMMYFUNCTION("""COMPUTED_VALUE"""),"")</f>
        <v/>
      </c>
      <c r="C256" s="3">
        <f>IFERROR(__xludf.DUMMYFUNCTION("""COMPUTED_VALUE"""),220002.0)</f>
        <v>220002</v>
      </c>
      <c r="D256" s="5" t="str">
        <f>IFERROR(__xludf.DUMMYFUNCTION("""COMPUTED_VALUE"""),"https://cdn.exe.in.th/marketing/WarzTH_LE/Item%20Dict/blueprint__armor_rebel_heavy_HOF_SET.png")</f>
        <v>https://cdn.exe.in.th/marketing/WarzTH_LE/Item%20Dict/blueprint__armor_rebel_heavy_HOF_SET.png</v>
      </c>
      <c r="E256" s="3" t="str">
        <f>IFERROR(__xludf.DUMMYFUNCTION("""COMPUTED_VALUE"""),"Blueprints Skin Custom Guerilla HOF")</f>
        <v>Blueprints Skin Custom Guerilla HOF</v>
      </c>
      <c r="F256" s="3"/>
      <c r="G256" s="3"/>
      <c r="H256" s="3"/>
      <c r="I256" s="3" t="str">
        <f>IFERROR(__xludf.DUMMYFUNCTION("""COMPUTED_VALUE"""),"Blueprint Skin")</f>
        <v>Blueprint Skin</v>
      </c>
      <c r="J256" s="3" t="str">
        <f>IFERROR(__xludf.DUMMYFUNCTION("""COMPUTED_VALUE"""),"Yes")</f>
        <v>Yes</v>
      </c>
      <c r="K256" s="3"/>
      <c r="L256" s="3" t="str">
        <f>IFERROR(__xludf.DUMMYFUNCTION("""COMPUTED_VALUE"""),"sftp://graphic@103.41.58.141/marketing/WarzTH_LE/Item%20Dict/blueprint__armor_rebel_heavy_HOF_SET.png")</f>
        <v>sftp://graphic@103.41.58.141/marketing/WarzTH_LE/Item%20Dict/blueprint__armor_rebel_heavy_HOF_SET.png</v>
      </c>
      <c r="M256" s="3"/>
      <c r="N256" s="3"/>
      <c r="O256" s="3"/>
    </row>
    <row r="257">
      <c r="A257" s="3" t="b">
        <f>IFERROR(__xludf.DUMMYFUNCTION("""COMPUTED_VALUE"""),FALSE)</f>
        <v>0</v>
      </c>
      <c r="B257" s="3" t="str">
        <f>IFERROR(__xludf.DUMMYFUNCTION("""COMPUTED_VALUE"""),"")</f>
        <v/>
      </c>
      <c r="C257" s="3">
        <f>IFERROR(__xludf.DUMMYFUNCTION("""COMPUTED_VALUE"""),220004.0)</f>
        <v>220004</v>
      </c>
      <c r="D257" s="5" t="str">
        <f>IFERROR(__xludf.DUMMYFUNCTION("""COMPUTED_VALUE"""),"https://cdn.exe.in.th/marketing/WarzTH_LE/Item%20Dict/bp_armor_rebel_heavy_WarzTH.png")</f>
        <v>https://cdn.exe.in.th/marketing/WarzTH_LE/Item%20Dict/bp_armor_rebel_heavy_WarzTH.png</v>
      </c>
      <c r="E257" s="3" t="str">
        <f>IFERROR(__xludf.DUMMYFUNCTION("""COMPUTED_VALUE"""),"Blueprints Skin Custom Warz TH")</f>
        <v>Blueprints Skin Custom Warz TH</v>
      </c>
      <c r="F257" s="2">
        <f>IFERROR(__xludf.DUMMYFUNCTION("""COMPUTED_VALUE"""),1500.0)</f>
        <v>1500</v>
      </c>
      <c r="G257" s="3"/>
      <c r="H257" s="3"/>
      <c r="I257" s="3" t="str">
        <f>IFERROR(__xludf.DUMMYFUNCTION("""COMPUTED_VALUE"""),"Blueprint Skin")</f>
        <v>Blueprint Skin</v>
      </c>
      <c r="J257" s="3" t="str">
        <f>IFERROR(__xludf.DUMMYFUNCTION("""COMPUTED_VALUE"""),"Yes")</f>
        <v>Yes</v>
      </c>
      <c r="K257" s="3"/>
      <c r="L257" s="3" t="str">
        <f>IFERROR(__xludf.DUMMYFUNCTION("""COMPUTED_VALUE"""),"sftp://graphic@103.41.58.141/marketing/WarzTH_LE/Item%20Dict/bp_armor_rebel_heavy_WarzTH.png")</f>
        <v>sftp://graphic@103.41.58.141/marketing/WarzTH_LE/Item%20Dict/bp_armor_rebel_heavy_WarzTH.png</v>
      </c>
      <c r="M257" s="3"/>
      <c r="N257" s="3"/>
      <c r="O257" s="3"/>
    </row>
    <row r="258">
      <c r="A258" s="3" t="b">
        <f>IFERROR(__xludf.DUMMYFUNCTION("""COMPUTED_VALUE"""),FALSE)</f>
        <v>0</v>
      </c>
      <c r="B258" s="3" t="str">
        <f>IFERROR(__xludf.DUMMYFUNCTION("""COMPUTED_VALUE"""),"")</f>
        <v/>
      </c>
      <c r="C258" s="3">
        <f>IFERROR(__xludf.DUMMYFUNCTION("""COMPUTED_VALUE"""),210005.0)</f>
        <v>210005</v>
      </c>
      <c r="D258" s="5" t="str">
        <f>IFERROR(__xludf.DUMMYFUNCTION("""COMPUTED_VALUE"""),"https://cdn.exe.in.th/marketing/WarzTH_LE/Item%20Dict/bp_asr_tar21_neon_purple.png")</f>
        <v>https://cdn.exe.in.th/marketing/WarzTH_LE/Item%20Dict/bp_asr_tar21_neon_purple.png</v>
      </c>
      <c r="E258" s="3" t="str">
        <f>IFERROR(__xludf.DUMMYFUNCTION("""COMPUTED_VALUE"""),"Blueprints Skin IMI TAR-21 Neon Purple")</f>
        <v>Blueprints Skin IMI TAR-21 Neon Purple</v>
      </c>
      <c r="F258" s="3"/>
      <c r="G258" s="3"/>
      <c r="H258" s="3"/>
      <c r="I258" s="3" t="str">
        <f>IFERROR(__xludf.DUMMYFUNCTION("""COMPUTED_VALUE"""),"Blueprint Skin")</f>
        <v>Blueprint Skin</v>
      </c>
      <c r="J258" s="3" t="str">
        <f>IFERROR(__xludf.DUMMYFUNCTION("""COMPUTED_VALUE"""),"Yes")</f>
        <v>Yes</v>
      </c>
      <c r="K258" s="3"/>
      <c r="L258" s="3" t="str">
        <f>IFERROR(__xludf.DUMMYFUNCTION("""COMPUTED_VALUE"""),"sftp://graphic@103.41.58.141/marketing/WarzTH_LE/Item%20Dict/bp_asr_tar21_neon_purple.png")</f>
        <v>sftp://graphic@103.41.58.141/marketing/WarzTH_LE/Item%20Dict/bp_asr_tar21_neon_purple.png</v>
      </c>
      <c r="M258" s="3"/>
      <c r="N258" s="3"/>
      <c r="O258" s="3"/>
    </row>
    <row r="259">
      <c r="A259" s="3" t="b">
        <f>IFERROR(__xludf.DUMMYFUNCTION("""COMPUTED_VALUE"""),FALSE)</f>
        <v>0</v>
      </c>
      <c r="B259" s="3" t="str">
        <f>IFERROR(__xludf.DUMMYFUNCTION("""COMPUTED_VALUE"""),"")</f>
        <v/>
      </c>
      <c r="C259" s="3">
        <f>IFERROR(__xludf.DUMMYFUNCTION("""COMPUTED_VALUE"""),210009.0)</f>
        <v>210009</v>
      </c>
      <c r="D259" s="5" t="str">
        <f>IFERROR(__xludf.DUMMYFUNCTION("""COMPUTED_VALUE"""),"https://cdn.exe.in.th/marketing/WarzTH_LE/Item%20Dict/bp_mel_katana_01_WarzTH.png")</f>
        <v>https://cdn.exe.in.th/marketing/WarzTH_LE/Item%20Dict/bp_mel_katana_01_WarzTH.png</v>
      </c>
      <c r="E259" s="3" t="str">
        <f>IFERROR(__xludf.DUMMYFUNCTION("""COMPUTED_VALUE"""),"Blueprints Skin Katana Warz TH")</f>
        <v>Blueprints Skin Katana Warz TH</v>
      </c>
      <c r="F259" s="2">
        <f>IFERROR(__xludf.DUMMYFUNCTION("""COMPUTED_VALUE"""),500.0)</f>
        <v>500</v>
      </c>
      <c r="G259" s="3"/>
      <c r="H259" s="3"/>
      <c r="I259" s="3" t="str">
        <f>IFERROR(__xludf.DUMMYFUNCTION("""COMPUTED_VALUE"""),"Blueprint Skin")</f>
        <v>Blueprint Skin</v>
      </c>
      <c r="J259" s="3" t="str">
        <f>IFERROR(__xludf.DUMMYFUNCTION("""COMPUTED_VALUE"""),"Yes")</f>
        <v>Yes</v>
      </c>
      <c r="K259" s="3"/>
      <c r="L259" s="3" t="str">
        <f>IFERROR(__xludf.DUMMYFUNCTION("""COMPUTED_VALUE"""),"sftp://graphic@103.41.58.141/marketing/WarzTH_LE/Item%20Dict/bp_mel_katana_01_WarzTH.png")</f>
        <v>sftp://graphic@103.41.58.141/marketing/WarzTH_LE/Item%20Dict/bp_mel_katana_01_WarzTH.png</v>
      </c>
      <c r="M259" s="3"/>
      <c r="N259" s="3"/>
      <c r="O259" s="3"/>
    </row>
    <row r="260">
      <c r="A260" s="3" t="b">
        <f>IFERROR(__xludf.DUMMYFUNCTION("""COMPUTED_VALUE"""),FALSE)</f>
        <v>0</v>
      </c>
      <c r="B260" s="3" t="str">
        <f>IFERROR(__xludf.DUMMYFUNCTION("""COMPUTED_VALUE"""),"")</f>
        <v/>
      </c>
      <c r="C260" s="3">
        <f>IFERROR(__xludf.DUMMYFUNCTION("""COMPUTED_VALUE"""),220003.0)</f>
        <v>220003</v>
      </c>
      <c r="D260" s="5" t="str">
        <f>IFERROR(__xludf.DUMMYFUNCTION("""COMPUTED_VALUE"""),"https://cdn.exe.in.th/marketing/WarzTH_LE/Item%20Dict/blueprint__hgear_kstyle_nvg_HOF_SET.png")</f>
        <v>https://cdn.exe.in.th/marketing/WarzTH_LE/Item%20Dict/blueprint__hgear_kstyle_nvg_HOF_SET.png</v>
      </c>
      <c r="E260" s="3" t="str">
        <f>IFERROR(__xludf.DUMMYFUNCTION("""COMPUTED_VALUE"""),"Blueprints Skin K Style NVG HOF")</f>
        <v>Blueprints Skin K Style NVG HOF</v>
      </c>
      <c r="F260" s="2" t="str">
        <f>IFERROR(__xludf.DUMMYFUNCTION("""COMPUTED_VALUE""")," ")</f>
        <v> </v>
      </c>
      <c r="G260" s="3"/>
      <c r="H260" s="3"/>
      <c r="I260" s="3" t="str">
        <f>IFERROR(__xludf.DUMMYFUNCTION("""COMPUTED_VALUE"""),"Blueprint Skin")</f>
        <v>Blueprint Skin</v>
      </c>
      <c r="J260" s="3" t="str">
        <f>IFERROR(__xludf.DUMMYFUNCTION("""COMPUTED_VALUE"""),"Yes")</f>
        <v>Yes</v>
      </c>
      <c r="K260" s="3"/>
      <c r="L260" s="3" t="str">
        <f>IFERROR(__xludf.DUMMYFUNCTION("""COMPUTED_VALUE"""),"sftp://graphic@103.41.58.141/marketing/WarzTH_LE/Item%20Dict/blueprint__hgear_kstyle_nvg_HOF_SET.png")</f>
        <v>sftp://graphic@103.41.58.141/marketing/WarzTH_LE/Item%20Dict/blueprint__hgear_kstyle_nvg_HOF_SET.png</v>
      </c>
      <c r="M260" s="3"/>
      <c r="N260" s="3"/>
      <c r="O260" s="3"/>
    </row>
    <row r="261">
      <c r="A261" s="3" t="b">
        <f>IFERROR(__xludf.DUMMYFUNCTION("""COMPUTED_VALUE"""),FALSE)</f>
        <v>0</v>
      </c>
      <c r="B261" s="3" t="str">
        <f>IFERROR(__xludf.DUMMYFUNCTION("""COMPUTED_VALUE"""),"")</f>
        <v/>
      </c>
      <c r="C261" s="3">
        <f>IFERROR(__xludf.DUMMYFUNCTION("""COMPUTED_VALUE"""),210004.0)</f>
        <v>210004</v>
      </c>
      <c r="D261" s="5" t="str">
        <f>IFERROR(__xludf.DUMMYFUNCTION("""COMPUTED_VALUE"""),"https://cdn.exe.in.th/marketing/WarzTH_LE/Item%20Dict/bp_asr_m16_neon_purple.png")</f>
        <v>https://cdn.exe.in.th/marketing/WarzTH_LE/Item%20Dict/bp_asr_m16_neon_purple.png</v>
      </c>
      <c r="E261" s="3" t="str">
        <f>IFERROR(__xludf.DUMMYFUNCTION("""COMPUTED_VALUE"""),"Blueprints Skin M16 Neon Purple")</f>
        <v>Blueprints Skin M16 Neon Purple</v>
      </c>
      <c r="F261" s="3"/>
      <c r="G261" s="3"/>
      <c r="H261" s="3"/>
      <c r="I261" s="3" t="str">
        <f>IFERROR(__xludf.DUMMYFUNCTION("""COMPUTED_VALUE"""),"Blueprint Skin")</f>
        <v>Blueprint Skin</v>
      </c>
      <c r="J261" s="3" t="str">
        <f>IFERROR(__xludf.DUMMYFUNCTION("""COMPUTED_VALUE"""),"Yes")</f>
        <v>Yes</v>
      </c>
      <c r="K261" s="3"/>
      <c r="L261" s="3" t="str">
        <f>IFERROR(__xludf.DUMMYFUNCTION("""COMPUTED_VALUE"""),"sftp://graphic@103.41.58.141/marketing/WarzTH_LE/Item%20Dict/bp_asr_m16_neon_purple.png")</f>
        <v>sftp://graphic@103.41.58.141/marketing/WarzTH_LE/Item%20Dict/bp_asr_m16_neon_purple.png</v>
      </c>
      <c r="M261" s="3"/>
      <c r="N261" s="3"/>
      <c r="O261" s="3"/>
    </row>
    <row r="262">
      <c r="A262" s="3" t="b">
        <f>IFERROR(__xludf.DUMMYFUNCTION("""COMPUTED_VALUE"""),FALSE)</f>
        <v>0</v>
      </c>
      <c r="B262" s="3" t="str">
        <f>IFERROR(__xludf.DUMMYFUNCTION("""COMPUTED_VALUE"""),"")</f>
        <v/>
      </c>
      <c r="C262" s="3">
        <f>IFERROR(__xludf.DUMMYFUNCTION("""COMPUTED_VALUE"""),210003.0)</f>
        <v>210003</v>
      </c>
      <c r="D262" s="5" t="str">
        <f>IFERROR(__xludf.DUMMYFUNCTION("""COMPUTED_VALUE"""),"https://cdn.exe.in.th/marketing/WarzTH_LE/Item%20Dict/bp_asr_m4ffh_neon_purple.png")</f>
        <v>https://cdn.exe.in.th/marketing/WarzTH_LE/Item%20Dict/bp_asr_m4ffh_neon_purple.png</v>
      </c>
      <c r="E262" s="3" t="str">
        <f>IFERROR(__xludf.DUMMYFUNCTION("""COMPUTED_VALUE"""),"Blueprints Skin M4 Neon Purple")</f>
        <v>Blueprints Skin M4 Neon Purple</v>
      </c>
      <c r="F262" s="3"/>
      <c r="G262" s="3"/>
      <c r="H262" s="3"/>
      <c r="I262" s="3" t="str">
        <f>IFERROR(__xludf.DUMMYFUNCTION("""COMPUTED_VALUE"""),"Blueprint Skin")</f>
        <v>Blueprint Skin</v>
      </c>
      <c r="J262" s="3" t="str">
        <f>IFERROR(__xludf.DUMMYFUNCTION("""COMPUTED_VALUE"""),"Yes")</f>
        <v>Yes</v>
      </c>
      <c r="K262" s="3"/>
      <c r="L262" s="3" t="str">
        <f>IFERROR(__xludf.DUMMYFUNCTION("""COMPUTED_VALUE"""),"sftp://graphic@103.41.58.141/marketing/WarzTH_LE/Item%20Dict/bp_asr_m4ffh_neon_purple.png")</f>
        <v>sftp://graphic@103.41.58.141/marketing/WarzTH_LE/Item%20Dict/bp_asr_m4ffh_neon_purple.png</v>
      </c>
      <c r="M262" s="3"/>
      <c r="N262" s="3"/>
      <c r="O262" s="3"/>
    </row>
    <row r="263">
      <c r="A263" s="3" t="b">
        <f>IFERROR(__xludf.DUMMYFUNCTION("""COMPUTED_VALUE"""),FALSE)</f>
        <v>0</v>
      </c>
      <c r="B263" s="3" t="str">
        <f>IFERROR(__xludf.DUMMYFUNCTION("""COMPUTED_VALUE"""),"")</f>
        <v/>
      </c>
      <c r="C263" s="3">
        <f>IFERROR(__xludf.DUMMYFUNCTION("""COMPUTED_VALUE"""),210002.0)</f>
        <v>210002</v>
      </c>
      <c r="D263" s="5" t="str">
        <f>IFERROR(__xludf.DUMMYFUNCTION("""COMPUTED_VALUE"""),"https://cdn.exe.in.th/marketing/WarzTH_LE/Item%20Dict/blueprint_asr_sig516_HOF_SET.png")</f>
        <v>https://cdn.exe.in.th/marketing/WarzTH_LE/Item%20Dict/blueprint_asr_sig516_HOF_SET.png</v>
      </c>
      <c r="E263" s="3" t="str">
        <f>IFERROR(__xludf.DUMMYFUNCTION("""COMPUTED_VALUE"""),"Blueprints Skin M4 Semi HOF")</f>
        <v>Blueprints Skin M4 Semi HOF</v>
      </c>
      <c r="F263" s="3"/>
      <c r="G263" s="3"/>
      <c r="H263" s="3"/>
      <c r="I263" s="3" t="str">
        <f>IFERROR(__xludf.DUMMYFUNCTION("""COMPUTED_VALUE"""),"Blueprint Skin")</f>
        <v>Blueprint Skin</v>
      </c>
      <c r="J263" s="3" t="str">
        <f>IFERROR(__xludf.DUMMYFUNCTION("""COMPUTED_VALUE"""),"Yes")</f>
        <v>Yes</v>
      </c>
      <c r="K263" s="3"/>
      <c r="L263" s="3" t="str">
        <f>IFERROR(__xludf.DUMMYFUNCTION("""COMPUTED_VALUE"""),"sftp://graphic@103.41.58.141/marketing/WarzTH_LE/Item%20Dict/blueprint_asr_sig516_HOF_SET.png")</f>
        <v>sftp://graphic@103.41.58.141/marketing/WarzTH_LE/Item%20Dict/blueprint_asr_sig516_HOF_SET.png</v>
      </c>
      <c r="M263" s="3"/>
      <c r="N263" s="3"/>
      <c r="O263" s="3"/>
    </row>
    <row r="264">
      <c r="A264" s="3" t="b">
        <f>IFERROR(__xludf.DUMMYFUNCTION("""COMPUTED_VALUE"""),FALSE)</f>
        <v>0</v>
      </c>
      <c r="B264" s="3" t="str">
        <f>IFERROR(__xludf.DUMMYFUNCTION("""COMPUTED_VALUE"""),"")</f>
        <v/>
      </c>
      <c r="C264" s="3">
        <f>IFERROR(__xludf.DUMMYFUNCTION("""COMPUTED_VALUE"""),210008.0)</f>
        <v>210008</v>
      </c>
      <c r="D264" s="5" t="str">
        <f>IFERROR(__xludf.DUMMYFUNCTION("""COMPUTED_VALUE"""),"https://cdn.exe.in.th/marketing/WarzTH_LE/Item%20Dict/bp_asr_m4ffh_WarzTH.png")</f>
        <v>https://cdn.exe.in.th/marketing/WarzTH_LE/Item%20Dict/bp_asr_m4ffh_WarzTH.png</v>
      </c>
      <c r="E264" s="3" t="str">
        <f>IFERROR(__xludf.DUMMYFUNCTION("""COMPUTED_VALUE"""),"Blueprints Skin M4 Warz TH")</f>
        <v>Blueprints Skin M4 Warz TH</v>
      </c>
      <c r="F264" s="2">
        <f>IFERROR(__xludf.DUMMYFUNCTION("""COMPUTED_VALUE"""),1500.0)</f>
        <v>1500</v>
      </c>
      <c r="G264" s="3"/>
      <c r="H264" s="3"/>
      <c r="I264" s="3" t="str">
        <f>IFERROR(__xludf.DUMMYFUNCTION("""COMPUTED_VALUE"""),"Blueprint Skin")</f>
        <v>Blueprint Skin</v>
      </c>
      <c r="J264" s="3" t="str">
        <f>IFERROR(__xludf.DUMMYFUNCTION("""COMPUTED_VALUE"""),"Yes")</f>
        <v>Yes</v>
      </c>
      <c r="K264" s="3"/>
      <c r="L264" s="3" t="str">
        <f>IFERROR(__xludf.DUMMYFUNCTION("""COMPUTED_VALUE"""),"sftp://graphic@103.41.58.141/marketing/WarzTH_LE/Item%20Dict/bp_asr_m4ffh_WarzTH.png")</f>
        <v>sftp://graphic@103.41.58.141/marketing/WarzTH_LE/Item%20Dict/bp_asr_m4ffh_WarzTH.png</v>
      </c>
      <c r="M264" s="3"/>
      <c r="N264" s="3"/>
      <c r="O264" s="3"/>
    </row>
    <row r="265">
      <c r="A265" s="3" t="b">
        <f>IFERROR(__xludf.DUMMYFUNCTION("""COMPUTED_VALUE"""),FALSE)</f>
        <v>0</v>
      </c>
      <c r="B265" s="3" t="str">
        <f>IFERROR(__xludf.DUMMYFUNCTION("""COMPUTED_VALUE"""),"")</f>
        <v/>
      </c>
      <c r="C265" s="3">
        <f>IFERROR(__xludf.DUMMYFUNCTION("""COMPUTED_VALUE"""),210007.0)</f>
        <v>210007</v>
      </c>
      <c r="D265" s="5" t="str">
        <f>IFERROR(__xludf.DUMMYFUNCTION("""COMPUTED_VALUE"""),"https://cdn.exe.in.th/marketing/WarzTH_LE/Item%20Dict/bp_asr_sig_sg556_Freezing.png")</f>
        <v>https://cdn.exe.in.th/marketing/WarzTH_LE/Item%20Dict/bp_asr_sig_sg556_Freezing.png</v>
      </c>
      <c r="E265" s="3" t="str">
        <f>IFERROR(__xludf.DUMMYFUNCTION("""COMPUTED_VALUE"""),"Blueprints Skin SIG SAUER 556 Freezing")</f>
        <v>Blueprints Skin SIG SAUER 556 Freezing</v>
      </c>
      <c r="F265" s="3"/>
      <c r="G265" s="3"/>
      <c r="H265" s="3"/>
      <c r="I265" s="3" t="str">
        <f>IFERROR(__xludf.DUMMYFUNCTION("""COMPUTED_VALUE"""),"Blueprint Skin")</f>
        <v>Blueprint Skin</v>
      </c>
      <c r="J265" s="3" t="str">
        <f>IFERROR(__xludf.DUMMYFUNCTION("""COMPUTED_VALUE"""),"Yes")</f>
        <v>Yes</v>
      </c>
      <c r="K265" s="3"/>
      <c r="L265" s="3" t="str">
        <f>IFERROR(__xludf.DUMMYFUNCTION("""COMPUTED_VALUE"""),"sftp://graphic@103.41.58.141/marketing/WarzTH_LE/Item%20Dict/bp_asr_sig_sg556_Freezing.png")</f>
        <v>sftp://graphic@103.41.58.141/marketing/WarzTH_LE/Item%20Dict/bp_asr_sig_sg556_Freezing.png</v>
      </c>
      <c r="M265" s="3"/>
      <c r="N265" s="3"/>
      <c r="O265" s="3"/>
    </row>
    <row r="266">
      <c r="A266" s="3" t="b">
        <f>IFERROR(__xludf.DUMMYFUNCTION("""COMPUTED_VALUE"""),FALSE)</f>
        <v>0</v>
      </c>
      <c r="B266" s="3" t="str">
        <f>IFERROR(__xludf.DUMMYFUNCTION("""COMPUTED_VALUE"""),"")</f>
        <v/>
      </c>
      <c r="C266" s="3">
        <f>IFERROR(__xludf.DUMMYFUNCTION("""COMPUTED_VALUE"""),210006.0)</f>
        <v>210006</v>
      </c>
      <c r="D266" s="5" t="str">
        <f>IFERROR(__xludf.DUMMYFUNCTION("""COMPUTED_VALUE"""),"https://cdn.exe.in.th/marketing/WarzTH_LE/Item%20Dict/bp_asr_sig_sg556_neon_purple.png")</f>
        <v>https://cdn.exe.in.th/marketing/WarzTH_LE/Item%20Dict/bp_asr_sig_sg556_neon_purple.png</v>
      </c>
      <c r="E266" s="3" t="str">
        <f>IFERROR(__xludf.DUMMYFUNCTION("""COMPUTED_VALUE"""),"Blueprints Skin SIG SAUER 556 Neon Purple")</f>
        <v>Blueprints Skin SIG SAUER 556 Neon Purple</v>
      </c>
      <c r="F266" s="3"/>
      <c r="G266" s="3"/>
      <c r="H266" s="3"/>
      <c r="I266" s="3" t="str">
        <f>IFERROR(__xludf.DUMMYFUNCTION("""COMPUTED_VALUE"""),"Blueprint Skin")</f>
        <v>Blueprint Skin</v>
      </c>
      <c r="J266" s="3" t="str">
        <f>IFERROR(__xludf.DUMMYFUNCTION("""COMPUTED_VALUE"""),"Yes")</f>
        <v>Yes</v>
      </c>
      <c r="K266" s="3"/>
      <c r="L266" s="3" t="str">
        <f>IFERROR(__xludf.DUMMYFUNCTION("""COMPUTED_VALUE"""),"sftp://graphic@103.41.58.141/marketing/WarzTH_LE/Item%20Dict/bp_asr_sig_sg556_neon_purple.png")</f>
        <v>sftp://graphic@103.41.58.141/marketing/WarzTH_LE/Item%20Dict/bp_asr_sig_sg556_neon_purple.png</v>
      </c>
      <c r="M266" s="3"/>
      <c r="N266" s="3"/>
      <c r="O266" s="3"/>
    </row>
    <row r="267">
      <c r="A267" s="3" t="b">
        <f>IFERROR(__xludf.DUMMYFUNCTION("""COMPUTED_VALUE"""),FALSE)</f>
        <v>0</v>
      </c>
      <c r="B267" s="3" t="str">
        <f>IFERROR(__xludf.DUMMYFUNCTION("""COMPUTED_VALUE"""),"")</f>
        <v/>
      </c>
      <c r="C267" s="3">
        <f>IFERROR(__xludf.DUMMYFUNCTION("""COMPUTED_VALUE"""),301355.0)</f>
        <v>301355</v>
      </c>
      <c r="D267" s="5" t="str">
        <f>IFERROR(__xludf.DUMMYFUNCTION("""COMPUTED_VALUE"""),"https://cdn.exe.in.th/marketing/WarzTH_LE/Item%20Dict/broom.png")</f>
        <v>https://cdn.exe.in.th/marketing/WarzTH_LE/Item%20Dict/broom.png</v>
      </c>
      <c r="E267" s="3" t="str">
        <f>IFERROR(__xludf.DUMMYFUNCTION("""COMPUTED_VALUE"""),"Broom")</f>
        <v>Broom</v>
      </c>
      <c r="F267" s="3"/>
      <c r="G267" s="3"/>
      <c r="H267" s="3"/>
      <c r="I267" s="3" t="str">
        <f>IFERROR(__xludf.DUMMYFUNCTION("""COMPUTED_VALUE"""),"Components")</f>
        <v>Components</v>
      </c>
      <c r="J267" s="3"/>
      <c r="K267" s="3"/>
      <c r="L267" s="3" t="str">
        <f>IFERROR(__xludf.DUMMYFUNCTION("""COMPUTED_VALUE"""),"sftp://graphic@103.41.58.141/marketing/WarzTH_LE/Item%20Dict/broom.png")</f>
        <v>sftp://graphic@103.41.58.141/marketing/WarzTH_LE/Item%20Dict/broom.png</v>
      </c>
      <c r="M267" s="3"/>
      <c r="N267" s="3"/>
      <c r="O267" s="3"/>
    </row>
    <row r="268">
      <c r="A268" s="3" t="b">
        <f>IFERROR(__xludf.DUMMYFUNCTION("""COMPUTED_VALUE"""),FALSE)</f>
        <v>0</v>
      </c>
      <c r="B268" s="3" t="str">
        <f>IFERROR(__xludf.DUMMYFUNCTION("""COMPUTED_VALUE"""),"")</f>
        <v/>
      </c>
      <c r="C268" s="3">
        <f>IFERROR(__xludf.DUMMYFUNCTION("""COMPUTED_VALUE"""),301342.0)</f>
        <v>301342</v>
      </c>
      <c r="D268" s="5" t="str">
        <f>IFERROR(__xludf.DUMMYFUNCTION("""COMPUTED_VALUE"""),"https://cdn.exe.in.th/marketing/WarzTH_LE/Item%20Dict/recipe.png")</f>
        <v>https://cdn.exe.in.th/marketing/WarzTH_LE/Item%20Dict/recipe.png</v>
      </c>
      <c r="E268" s="3" t="str">
        <f>IFERROR(__xludf.DUMMYFUNCTION("""COMPUTED_VALUE"""),"Canoe Paddle with Knives recipe")</f>
        <v>Canoe Paddle with Knives recipe</v>
      </c>
      <c r="F268" s="3"/>
      <c r="G268" s="3"/>
      <c r="H268" s="3"/>
      <c r="I268" s="3" t="str">
        <f>IFERROR(__xludf.DUMMYFUNCTION("""COMPUTED_VALUE"""),"Blueprint")</f>
        <v>Blueprint</v>
      </c>
      <c r="J268" s="3"/>
      <c r="K268" s="3"/>
      <c r="L268" s="3" t="str">
        <f>IFERROR(__xludf.DUMMYFUNCTION("""COMPUTED_VALUE"""),"sftp://graphic@103.41.58.141/marketing/WarzTH_LE/Item%20Dict/recipe.png")</f>
        <v>sftp://graphic@103.41.58.141/marketing/WarzTH_LE/Item%20Dict/recipe.png</v>
      </c>
      <c r="M268" s="3"/>
      <c r="N268" s="3"/>
      <c r="O268" s="3"/>
    </row>
    <row r="269">
      <c r="A269" s="3" t="b">
        <f>IFERROR(__xludf.DUMMYFUNCTION("""COMPUTED_VALUE"""),FALSE)</f>
        <v>0</v>
      </c>
      <c r="B269" s="3" t="str">
        <f>IFERROR(__xludf.DUMMYFUNCTION("""COMPUTED_VALUE"""),"")</f>
        <v/>
      </c>
      <c r="C269" s="3">
        <f>IFERROR(__xludf.DUMMYFUNCTION("""COMPUTED_VALUE"""),101365.0)</f>
        <v>101365</v>
      </c>
      <c r="D269" s="5" t="str">
        <f>IFERROR(__xludf.DUMMYFUNCTION("""COMPUTED_VALUE"""),"https://cdn.exe.in.th/marketing/WarzTH_LE/Item%20Dict/carrot_farm_block.png")</f>
        <v>https://cdn.exe.in.th/marketing/WarzTH_LE/Item%20Dict/carrot_farm_block.png</v>
      </c>
      <c r="E269" s="3" t="str">
        <f>IFERROR(__xludf.DUMMYFUNCTION("""COMPUTED_VALUE"""),"Carrot farm block")</f>
        <v>Carrot farm block</v>
      </c>
      <c r="F269" s="3"/>
      <c r="G269" s="3"/>
      <c r="H269" s="3"/>
      <c r="I269" s="3" t="str">
        <f>IFERROR(__xludf.DUMMYFUNCTION("""COMPUTED_VALUE"""),"Consumable")</f>
        <v>Consumable</v>
      </c>
      <c r="J269" s="3" t="str">
        <f>IFERROR(__xludf.DUMMYFUNCTION("""COMPUTED_VALUE"""),"Yes")</f>
        <v>Yes</v>
      </c>
      <c r="K269" s="3"/>
      <c r="L269" s="3" t="str">
        <f>IFERROR(__xludf.DUMMYFUNCTION("""COMPUTED_VALUE"""),"sftp://graphic@103.41.58.141/marketing/WarzTH_LE/Item%20Dict/carrot_farm_block.png")</f>
        <v>sftp://graphic@103.41.58.141/marketing/WarzTH_LE/Item%20Dict/carrot_farm_block.png</v>
      </c>
      <c r="M269" s="3"/>
      <c r="N269" s="3"/>
      <c r="O269" s="3"/>
    </row>
    <row r="270">
      <c r="A270" s="3" t="b">
        <f>IFERROR(__xludf.DUMMYFUNCTION("""COMPUTED_VALUE"""),FALSE)</f>
        <v>0</v>
      </c>
      <c r="B270" s="3" t="str">
        <f>IFERROR(__xludf.DUMMYFUNCTION("""COMPUTED_VALUE"""),"")</f>
        <v/>
      </c>
      <c r="C270" s="3">
        <f>IFERROR(__xludf.DUMMYFUNCTION("""COMPUTED_VALUE"""),301357.0)</f>
        <v>301357</v>
      </c>
      <c r="D270" s="5" t="str">
        <f>IFERROR(__xludf.DUMMYFUNCTION("""COMPUTED_VALUE"""),"https://cdn.exe.in.th/marketing/WarzTH_LE/Item%20Dict/charcoal.png")</f>
        <v>https://cdn.exe.in.th/marketing/WarzTH_LE/Item%20Dict/charcoal.png</v>
      </c>
      <c r="E270" s="3" t="str">
        <f>IFERROR(__xludf.DUMMYFUNCTION("""COMPUTED_VALUE"""),"Charcoal")</f>
        <v>Charcoal</v>
      </c>
      <c r="F270" s="3"/>
      <c r="G270" s="3"/>
      <c r="H270" s="3"/>
      <c r="I270" s="3" t="str">
        <f>IFERROR(__xludf.DUMMYFUNCTION("""COMPUTED_VALUE"""),"Components")</f>
        <v>Components</v>
      </c>
      <c r="J270" s="3"/>
      <c r="K270" s="3"/>
      <c r="L270" s="3" t="str">
        <f>IFERROR(__xludf.DUMMYFUNCTION("""COMPUTED_VALUE"""),"sftp://graphic@103.41.58.141/marketing/WarzTH_LE/Item%20Dict/charcoal.png")</f>
        <v>sftp://graphic@103.41.58.141/marketing/WarzTH_LE/Item%20Dict/charcoal.png</v>
      </c>
      <c r="M270" s="3"/>
      <c r="N270" s="3"/>
      <c r="O270" s="3"/>
    </row>
    <row r="271">
      <c r="A271" s="3" t="b">
        <f>IFERROR(__xludf.DUMMYFUNCTION("""COMPUTED_VALUE"""),FALSE)</f>
        <v>0</v>
      </c>
      <c r="B271" s="3" t="str">
        <f>IFERROR(__xludf.DUMMYFUNCTION("""COMPUTED_VALUE"""),"")</f>
        <v/>
      </c>
      <c r="C271" s="3">
        <f>IFERROR(__xludf.DUMMYFUNCTION("""COMPUTED_VALUE"""),301319.0)</f>
        <v>301319</v>
      </c>
      <c r="D271" s="5" t="str">
        <f>IFERROR(__xludf.DUMMYFUNCTION("""COMPUTED_VALUE"""),"https://cdn.exe.in.th/marketing/WarzTH_LE/Item%20Dict/duct_tape.png")</f>
        <v>https://cdn.exe.in.th/marketing/WarzTH_LE/Item%20Dict/duct_tape.png</v>
      </c>
      <c r="E271" s="3" t="str">
        <f>IFERROR(__xludf.DUMMYFUNCTION("""COMPUTED_VALUE"""),"Duck Tape")</f>
        <v>Duck Tape</v>
      </c>
      <c r="F271" s="3"/>
      <c r="G271" s="3"/>
      <c r="H271" s="3"/>
      <c r="I271" s="3" t="str">
        <f>IFERROR(__xludf.DUMMYFUNCTION("""COMPUTED_VALUE"""),"Components")</f>
        <v>Components</v>
      </c>
      <c r="J271" s="3"/>
      <c r="K271" s="3"/>
      <c r="L271" s="3" t="str">
        <f>IFERROR(__xludf.DUMMYFUNCTION("""COMPUTED_VALUE"""),"sftp://graphic@103.41.58.141/marketing/WarzTH_LE/Item%20Dict/duct_tape.png")</f>
        <v>sftp://graphic@103.41.58.141/marketing/WarzTH_LE/Item%20Dict/duct_tape.png</v>
      </c>
      <c r="M271" s="3"/>
      <c r="N271" s="3"/>
      <c r="O271" s="3"/>
    </row>
    <row r="272">
      <c r="A272" s="3" t="b">
        <f>IFERROR(__xludf.DUMMYFUNCTION("""COMPUTED_VALUE"""),FALSE)</f>
        <v>0</v>
      </c>
      <c r="B272" s="3" t="str">
        <f>IFERROR(__xludf.DUMMYFUNCTION("""COMPUTED_VALUE"""),"")</f>
        <v/>
      </c>
      <c r="C272" s="3">
        <f>IFERROR(__xludf.DUMMYFUNCTION("""COMPUTED_VALUE"""),301320.0)</f>
        <v>301320</v>
      </c>
      <c r="D272" s="5" t="str">
        <f>IFERROR(__xludf.DUMMYFUNCTION("""COMPUTED_VALUE"""),"https://cdn.exe.in.th/marketing/WarzTH_LE/Item%20Dict/empty_bottle.png")</f>
        <v>https://cdn.exe.in.th/marketing/WarzTH_LE/Item%20Dict/empty_bottle.png</v>
      </c>
      <c r="E272" s="3" t="str">
        <f>IFERROR(__xludf.DUMMYFUNCTION("""COMPUTED_VALUE"""),"Empty Bottle")</f>
        <v>Empty Bottle</v>
      </c>
      <c r="F272" s="3"/>
      <c r="G272" s="3"/>
      <c r="H272" s="3"/>
      <c r="I272" s="3" t="str">
        <f>IFERROR(__xludf.DUMMYFUNCTION("""COMPUTED_VALUE"""),"Components")</f>
        <v>Components</v>
      </c>
      <c r="J272" s="3"/>
      <c r="K272" s="3"/>
      <c r="L272" s="3" t="str">
        <f>IFERROR(__xludf.DUMMYFUNCTION("""COMPUTED_VALUE"""),"sftp://graphic@103.41.58.141/marketing/WarzTH_LE/Item%20Dict/empty_bottle.png")</f>
        <v>sftp://graphic@103.41.58.141/marketing/WarzTH_LE/Item%20Dict/empty_bottle.png</v>
      </c>
      <c r="M272" s="3"/>
      <c r="N272" s="3"/>
      <c r="O272" s="3"/>
    </row>
    <row r="273">
      <c r="A273" s="3" t="b">
        <f>IFERROR(__xludf.DUMMYFUNCTION("""COMPUTED_VALUE"""),FALSE)</f>
        <v>0</v>
      </c>
      <c r="B273" s="3" t="str">
        <f>IFERROR(__xludf.DUMMYFUNCTION("""COMPUTED_VALUE"""),"")</f>
        <v/>
      </c>
      <c r="C273" s="3">
        <f>IFERROR(__xludf.DUMMYFUNCTION("""COMPUTED_VALUE"""),301318.0)</f>
        <v>301318</v>
      </c>
      <c r="D273" s="5" t="str">
        <f>IFERROR(__xludf.DUMMYFUNCTION("""COMPUTED_VALUE"""),"https://cdn.exe.in.th/marketing/WarzTH_LE/Item%20Dict/empty_can.png")</f>
        <v>https://cdn.exe.in.th/marketing/WarzTH_LE/Item%20Dict/empty_can.png</v>
      </c>
      <c r="E273" s="3" t="str">
        <f>IFERROR(__xludf.DUMMYFUNCTION("""COMPUTED_VALUE"""),"Empty Can")</f>
        <v>Empty Can</v>
      </c>
      <c r="F273" s="3"/>
      <c r="G273" s="3"/>
      <c r="H273" s="3"/>
      <c r="I273" s="3" t="str">
        <f>IFERROR(__xludf.DUMMYFUNCTION("""COMPUTED_VALUE"""),"Components")</f>
        <v>Components</v>
      </c>
      <c r="J273" s="3"/>
      <c r="K273" s="3"/>
      <c r="L273" s="3" t="str">
        <f>IFERROR(__xludf.DUMMYFUNCTION("""COMPUTED_VALUE"""),"sftp://graphic@103.41.58.141/marketing/WarzTH_LE/Item%20Dict/empty_can.png")</f>
        <v>sftp://graphic@103.41.58.141/marketing/WarzTH_LE/Item%20Dict/empty_can.png</v>
      </c>
      <c r="M273" s="3"/>
      <c r="N273" s="3"/>
      <c r="O273" s="3"/>
    </row>
    <row r="274">
      <c r="A274" s="3" t="b">
        <f>IFERROR(__xludf.DUMMYFUNCTION("""COMPUTED_VALUE"""),FALSE)</f>
        <v>0</v>
      </c>
      <c r="B274" s="3" t="str">
        <f>IFERROR(__xludf.DUMMYFUNCTION("""COMPUTED_VALUE"""),"")</f>
        <v/>
      </c>
      <c r="C274" s="3">
        <f>IFERROR(__xludf.DUMMYFUNCTION("""COMPUTED_VALUE"""),400159.0)</f>
        <v>400159</v>
      </c>
      <c r="D274" s="5" t="str">
        <f>IFERROR(__xludf.DUMMYFUNCTION("""COMPUTED_VALUE"""),"https://cdn.exe.in.th/marketing/WarzTH_LE/Item%20Dict/famas_30.png")</f>
        <v>https://cdn.exe.in.th/marketing/WarzTH_LE/Item%20Dict/famas_30.png</v>
      </c>
      <c r="E274" s="3" t="str">
        <f>IFERROR(__xludf.DUMMYFUNCTION("""COMPUTED_VALUE"""),"Famas 30 rounds")</f>
        <v>Famas 30 rounds</v>
      </c>
      <c r="F274" s="3"/>
      <c r="G274" s="3"/>
      <c r="H274" s="3"/>
      <c r="I274" s="3" t="str">
        <f>IFERROR(__xludf.DUMMYFUNCTION("""COMPUTED_VALUE"""),"Ammo")</f>
        <v>Ammo</v>
      </c>
      <c r="J274" s="3" t="str">
        <f>IFERROR(__xludf.DUMMYFUNCTION("""COMPUTED_VALUE"""),"Yes")</f>
        <v>Yes</v>
      </c>
      <c r="K274" s="3"/>
      <c r="L274" s="3" t="str">
        <f>IFERROR(__xludf.DUMMYFUNCTION("""COMPUTED_VALUE"""),"sftp://graphic@103.41.58.141/marketing/WarzTH_LE/Item%20Dict/famas_30.png")</f>
        <v>sftp://graphic@103.41.58.141/marketing/WarzTH_LE/Item%20Dict/famas_30.png</v>
      </c>
      <c r="M274" s="3"/>
      <c r="N274" s="3" t="str">
        <f>IFERROR(__xludf.DUMMYFUNCTION("""COMPUTED_VALUE"""),"This is a 30 round magazine for the Famas that allows the shooter to carry more ammo.")</f>
        <v>This is a 30 round magazine for the Famas that allows the shooter to carry more ammo.</v>
      </c>
      <c r="O274" s="3"/>
    </row>
    <row r="275">
      <c r="A275" s="3" t="b">
        <f>IFERROR(__xludf.DUMMYFUNCTION("""COMPUTED_VALUE"""),FALSE)</f>
        <v>0</v>
      </c>
      <c r="B275" s="3" t="str">
        <f>IFERROR(__xludf.DUMMYFUNCTION("""COMPUTED_VALUE"""),"")</f>
        <v/>
      </c>
      <c r="C275" s="3">
        <f>IFERROR(__xludf.DUMMYFUNCTION("""COMPUTED_VALUE"""),101357.0)</f>
        <v>101357</v>
      </c>
      <c r="D275" s="5" t="str">
        <f>IFERROR(__xludf.DUMMYFUNCTION("""COMPUTED_VALUE"""),"https://cdn.exe.in.th/marketing/WarzTH_LE/Item%20Dict/farm_block.png")</f>
        <v>https://cdn.exe.in.th/marketing/WarzTH_LE/Item%20Dict/farm_block.png</v>
      </c>
      <c r="E275" s="3" t="str">
        <f>IFERROR(__xludf.DUMMYFUNCTION("""COMPUTED_VALUE"""),"Farm Block")</f>
        <v>Farm Block</v>
      </c>
      <c r="F275" s="3"/>
      <c r="G275" s="3"/>
      <c r="H275" s="3"/>
      <c r="I275" s="3" t="str">
        <f>IFERROR(__xludf.DUMMYFUNCTION("""COMPUTED_VALUE"""),"Consumable")</f>
        <v>Consumable</v>
      </c>
      <c r="J275" s="3" t="str">
        <f>IFERROR(__xludf.DUMMYFUNCTION("""COMPUTED_VALUE"""),"Yes")</f>
        <v>Yes</v>
      </c>
      <c r="K275" s="3"/>
      <c r="L275" s="3" t="str">
        <f>IFERROR(__xludf.DUMMYFUNCTION("""COMPUTED_VALUE"""),"sftp://graphic@103.41.58.141/marketing/WarzTH_LE/Item%20Dict/farm_block.png")</f>
        <v>sftp://graphic@103.41.58.141/marketing/WarzTH_LE/Item%20Dict/farm_block.png</v>
      </c>
      <c r="M275" s="3"/>
      <c r="N275" s="3"/>
      <c r="O275" s="3"/>
    </row>
    <row r="276">
      <c r="A276" s="3" t="b">
        <f>IFERROR(__xludf.DUMMYFUNCTION("""COMPUTED_VALUE"""),FALSE)</f>
        <v>0</v>
      </c>
      <c r="B276" s="3" t="str">
        <f>IFERROR(__xludf.DUMMYFUNCTION("""COMPUTED_VALUE"""),"")</f>
        <v/>
      </c>
      <c r="C276" s="3">
        <f>IFERROR(__xludf.DUMMYFUNCTION("""COMPUTED_VALUE"""),101372.0)</f>
        <v>101372</v>
      </c>
      <c r="D276" s="5" t="str">
        <f>IFERROR(__xludf.DUMMYFUNCTION("""COMPUTED_VALUE"""),"https://cdn.exe.in.th/marketing/WarzTH_LE/Item%20Dict/farm_block_crate.png")</f>
        <v>https://cdn.exe.in.th/marketing/WarzTH_LE/Item%20Dict/farm_block_crate.png</v>
      </c>
      <c r="E276" s="3" t="str">
        <f>IFERROR(__xludf.DUMMYFUNCTION("""COMPUTED_VALUE"""),"Farm Block Crate")</f>
        <v>Farm Block Crate</v>
      </c>
      <c r="F276" s="3"/>
      <c r="G276" s="3"/>
      <c r="H276" s="3"/>
      <c r="I276" s="3" t="str">
        <f>IFERROR(__xludf.DUMMYFUNCTION("""COMPUTED_VALUE"""),"Consumable")</f>
        <v>Consumable</v>
      </c>
      <c r="J276" s="3" t="str">
        <f>IFERROR(__xludf.DUMMYFUNCTION("""COMPUTED_VALUE"""),"Yes")</f>
        <v>Yes</v>
      </c>
      <c r="K276" s="3"/>
      <c r="L276" s="3" t="str">
        <f>IFERROR(__xludf.DUMMYFUNCTION("""COMPUTED_VALUE"""),"sftp://graphic@103.41.58.141/marketing/WarzTH_LE/Item%20Dict/farm_block_crate.png")</f>
        <v>sftp://graphic@103.41.58.141/marketing/WarzTH_LE/Item%20Dict/farm_block_crate.png</v>
      </c>
      <c r="M276" s="3"/>
      <c r="N276" s="3"/>
      <c r="O276" s="3"/>
    </row>
    <row r="277">
      <c r="A277" s="3" t="b">
        <f>IFERROR(__xludf.DUMMYFUNCTION("""COMPUTED_VALUE"""),FALSE)</f>
        <v>0</v>
      </c>
      <c r="B277" s="3" t="str">
        <f>IFERROR(__xludf.DUMMYFUNCTION("""COMPUTED_VALUE"""),"")</f>
        <v/>
      </c>
      <c r="C277" s="3">
        <f>IFERROR(__xludf.DUMMYFUNCTION("""COMPUTED_VALUE"""),400152.0)</f>
        <v>400152</v>
      </c>
      <c r="D277" s="5" t="str">
        <f>IFERROR(__xludf.DUMMYFUNCTION("""COMPUTED_VALUE"""),"https://cdn.exe.in.th/marketing/WarzTH_LE/Item%20Dict/flare_clip.png")</f>
        <v>https://cdn.exe.in.th/marketing/WarzTH_LE/Item%20Dict/flare_clip.png</v>
      </c>
      <c r="E277" s="3" t="str">
        <f>IFERROR(__xludf.DUMMYFUNCTION("""COMPUTED_VALUE"""),"Flare clip")</f>
        <v>Flare clip</v>
      </c>
      <c r="F277" s="3"/>
      <c r="G277" s="3"/>
      <c r="H277" s="3"/>
      <c r="I277" s="3" t="str">
        <f>IFERROR(__xludf.DUMMYFUNCTION("""COMPUTED_VALUE"""),"Ammo")</f>
        <v>Ammo</v>
      </c>
      <c r="J277" s="3" t="str">
        <f>IFERROR(__xludf.DUMMYFUNCTION("""COMPUTED_VALUE"""),"Yes")</f>
        <v>Yes</v>
      </c>
      <c r="K277" s="3"/>
      <c r="L277" s="3" t="str">
        <f>IFERROR(__xludf.DUMMYFUNCTION("""COMPUTED_VALUE"""),"sftp://graphic@103.41.58.141/marketing/WarzTH_LE/Item%20Dict/flare_clip.png")</f>
        <v>sftp://graphic@103.41.58.141/marketing/WarzTH_LE/Item%20Dict/flare_clip.png</v>
      </c>
      <c r="M277" s="3"/>
      <c r="N277" s="3" t="str">
        <f>IFERROR(__xludf.DUMMYFUNCTION("""COMPUTED_VALUE"""),"Ammo for the flare gun")</f>
        <v>Ammo for the flare gun</v>
      </c>
      <c r="O277" s="3"/>
    </row>
    <row r="278">
      <c r="A278" s="3" t="b">
        <f>IFERROR(__xludf.DUMMYFUNCTION("""COMPUTED_VALUE"""),FALSE)</f>
        <v>0</v>
      </c>
      <c r="B278" s="3" t="str">
        <f>IFERROR(__xludf.DUMMYFUNCTION("""COMPUTED_VALUE"""),"")</f>
        <v/>
      </c>
      <c r="C278" s="3">
        <f>IFERROR(__xludf.DUMMYFUNCTION("""COMPUTED_VALUE"""),301344.0)</f>
        <v>301344</v>
      </c>
      <c r="D278" s="5" t="str">
        <f>IFERROR(__xludf.DUMMYFUNCTION("""COMPUTED_VALUE"""),"https://cdn.exe.in.th/marketing/WarzTH_LE/Item%20Dict/recipe.png")</f>
        <v>https://cdn.exe.in.th/marketing/WarzTH_LE/Item%20Dict/recipe.png</v>
      </c>
      <c r="E278" s="3" t="str">
        <f>IFERROR(__xludf.DUMMYFUNCTION("""COMPUTED_VALUE"""),"Gas Mask Recipe")</f>
        <v>Gas Mask Recipe</v>
      </c>
      <c r="F278" s="3"/>
      <c r="G278" s="3"/>
      <c r="H278" s="3"/>
      <c r="I278" s="3" t="str">
        <f>IFERROR(__xludf.DUMMYFUNCTION("""COMPUTED_VALUE"""),"Blueprint")</f>
        <v>Blueprint</v>
      </c>
      <c r="J278" s="3"/>
      <c r="K278" s="3"/>
      <c r="L278" s="3" t="str">
        <f>IFERROR(__xludf.DUMMYFUNCTION("""COMPUTED_VALUE"""),"sftp://graphic@103.41.58.141/marketing/WarzTH_LE/Item%20Dict/recipe.png")</f>
        <v>sftp://graphic@103.41.58.141/marketing/WarzTH_LE/Item%20Dict/recipe.png</v>
      </c>
      <c r="M278" s="3"/>
      <c r="N278" s="3"/>
      <c r="O278" s="3"/>
    </row>
    <row r="279">
      <c r="A279" s="3" t="b">
        <f>IFERROR(__xludf.DUMMYFUNCTION("""COMPUTED_VALUE"""),FALSE)</f>
        <v>0</v>
      </c>
      <c r="B279" s="3" t="str">
        <f>IFERROR(__xludf.DUMMYFUNCTION("""COMPUTED_VALUE"""),"")</f>
        <v/>
      </c>
      <c r="C279" s="3">
        <f>IFERROR(__xludf.DUMMYFUNCTION("""COMPUTED_VALUE"""),301324.0)</f>
        <v>301324</v>
      </c>
      <c r="D279" s="5" t="str">
        <f>IFERROR(__xludf.DUMMYFUNCTION("""COMPUTED_VALUE"""),"https://cdn.exe.in.th/marketing/WarzTH_LE/Item%20Dict/gun_powder.png")</f>
        <v>https://cdn.exe.in.th/marketing/WarzTH_LE/Item%20Dict/gun_powder.png</v>
      </c>
      <c r="E279" s="3" t="str">
        <f>IFERROR(__xludf.DUMMYFUNCTION("""COMPUTED_VALUE"""),"Gun Powder")</f>
        <v>Gun Powder</v>
      </c>
      <c r="F279" s="3"/>
      <c r="G279" s="3"/>
      <c r="H279" s="3"/>
      <c r="I279" s="3" t="str">
        <f>IFERROR(__xludf.DUMMYFUNCTION("""COMPUTED_VALUE"""),"Components")</f>
        <v>Components</v>
      </c>
      <c r="J279" s="3"/>
      <c r="K279" s="3"/>
      <c r="L279" s="3" t="str">
        <f>IFERROR(__xludf.DUMMYFUNCTION("""COMPUTED_VALUE"""),"sftp://graphic@103.41.58.141/marketing/WarzTH_LE/Item%20Dict/gun_powder.png")</f>
        <v>sftp://graphic@103.41.58.141/marketing/WarzTH_LE/Item%20Dict/gun_powder.png</v>
      </c>
      <c r="M279" s="3"/>
      <c r="N279" s="3"/>
      <c r="O279" s="3"/>
    </row>
    <row r="280">
      <c r="A280" s="3" t="b">
        <f>IFERROR(__xludf.DUMMYFUNCTION("""COMPUTED_VALUE"""),FALSE)</f>
        <v>0</v>
      </c>
      <c r="B280" s="3" t="str">
        <f>IFERROR(__xludf.DUMMYFUNCTION("""COMPUTED_VALUE"""),"")</f>
        <v/>
      </c>
      <c r="C280" s="3">
        <f>IFERROR(__xludf.DUMMYFUNCTION("""COMPUTED_VALUE"""),101375.0)</f>
        <v>101375</v>
      </c>
      <c r="D280" s="5" t="str">
        <f>IFERROR(__xludf.DUMMYFUNCTION("""COMPUTED_VALUE"""),"https://cdn.exe.in.th/marketing/WarzTH_LE/Item%20Dict/industrial_power_generator_block.png")</f>
        <v>https://cdn.exe.in.th/marketing/WarzTH_LE/Item%20Dict/industrial_power_generator_block.png</v>
      </c>
      <c r="E280" s="3" t="str">
        <f>IFERROR(__xludf.DUMMYFUNCTION("""COMPUTED_VALUE"""),"Industrial Power Generator block")</f>
        <v>Industrial Power Generator block</v>
      </c>
      <c r="F280" s="3"/>
      <c r="G280" s="3"/>
      <c r="H280" s="3"/>
      <c r="I280" s="3" t="str">
        <f>IFERROR(__xludf.DUMMYFUNCTION("""COMPUTED_VALUE"""),"Consumable")</f>
        <v>Consumable</v>
      </c>
      <c r="J280" s="3" t="str">
        <f>IFERROR(__xludf.DUMMYFUNCTION("""COMPUTED_VALUE"""),"Yes")</f>
        <v>Yes</v>
      </c>
      <c r="K280" s="3"/>
      <c r="L280" s="3" t="str">
        <f>IFERROR(__xludf.DUMMYFUNCTION("""COMPUTED_VALUE"""),"sftp://graphic@103.41.58.141/marketing/WarzTH_LE/Item%20Dict/industrial_power_generator_block.png")</f>
        <v>sftp://graphic@103.41.58.141/marketing/WarzTH_LE/Item%20Dict/industrial_power_generator_block.png</v>
      </c>
      <c r="M280" s="3"/>
      <c r="N280" s="3"/>
      <c r="O280" s="3"/>
    </row>
    <row r="281">
      <c r="A281" s="3" t="b">
        <f>IFERROR(__xludf.DUMMYFUNCTION("""COMPUTED_VALUE"""),FALSE)</f>
        <v>0</v>
      </c>
      <c r="B281" s="3" t="str">
        <f>IFERROR(__xludf.DUMMYFUNCTION("""COMPUTED_VALUE"""),"")</f>
        <v/>
      </c>
      <c r="C281" s="3">
        <f>IFERROR(__xludf.DUMMYFUNCTION("""COMPUTED_VALUE"""),101373.0)</f>
        <v>101373</v>
      </c>
      <c r="D281" s="5" t="str">
        <f>IFERROR(__xludf.DUMMYFUNCTION("""COMPUTED_VALUE"""),"https://cdn.exe.in.th/marketing/WarzTH_LE/Item%20Dict/light_block_crate.png")</f>
        <v>https://cdn.exe.in.th/marketing/WarzTH_LE/Item%20Dict/light_block_crate.png</v>
      </c>
      <c r="E281" s="3" t="str">
        <f>IFERROR(__xludf.DUMMYFUNCTION("""COMPUTED_VALUE"""),"Light block crate")</f>
        <v>Light block crate</v>
      </c>
      <c r="F281" s="3"/>
      <c r="G281" s="3"/>
      <c r="H281" s="3"/>
      <c r="I281" s="3" t="str">
        <f>IFERROR(__xludf.DUMMYFUNCTION("""COMPUTED_VALUE"""),"Consumable")</f>
        <v>Consumable</v>
      </c>
      <c r="J281" s="3" t="str">
        <f>IFERROR(__xludf.DUMMYFUNCTION("""COMPUTED_VALUE"""),"Yes")</f>
        <v>Yes</v>
      </c>
      <c r="K281" s="3"/>
      <c r="L281" s="3" t="str">
        <f>IFERROR(__xludf.DUMMYFUNCTION("""COMPUTED_VALUE"""),"sftp://graphic@103.41.58.141/marketing/WarzTH_LE/Item%20Dict/light_block_crate.png")</f>
        <v>sftp://graphic@103.41.58.141/marketing/WarzTH_LE/Item%20Dict/light_block_crate.png</v>
      </c>
      <c r="M281" s="3"/>
      <c r="N281" s="3"/>
      <c r="O281" s="3"/>
    </row>
    <row r="282">
      <c r="A282" s="3" t="b">
        <f>IFERROR(__xludf.DUMMYFUNCTION("""COMPUTED_VALUE"""),FALSE)</f>
        <v>0</v>
      </c>
      <c r="B282" s="3" t="str">
        <f>IFERROR(__xludf.DUMMYFUNCTION("""COMPUTED_VALUE"""),"")</f>
        <v/>
      </c>
      <c r="C282" s="3">
        <f>IFERROR(__xludf.DUMMYFUNCTION("""COMPUTED_VALUE"""),101410.0)</f>
        <v>101410</v>
      </c>
      <c r="D282" s="5" t="str">
        <f>IFERROR(__xludf.DUMMYFUNCTION("""COMPUTED_VALUE"""),"https://cdn.exe.in.th/marketing/WarzTH_LE/Item%20Dict/meat.png")</f>
        <v>https://cdn.exe.in.th/marketing/WarzTH_LE/Item%20Dict/meat.png</v>
      </c>
      <c r="E282" s="3" t="str">
        <f>IFERROR(__xludf.DUMMYFUNCTION("""COMPUTED_VALUE"""),"Meat")</f>
        <v>Meat</v>
      </c>
      <c r="F282" s="3"/>
      <c r="G282" s="3"/>
      <c r="H282" s="3"/>
      <c r="I282" s="3" t="str">
        <f>IFERROR(__xludf.DUMMYFUNCTION("""COMPUTED_VALUE"""),"Consumable")</f>
        <v>Consumable</v>
      </c>
      <c r="J282" s="3" t="str">
        <f>IFERROR(__xludf.DUMMYFUNCTION("""COMPUTED_VALUE"""),"Yes")</f>
        <v>Yes</v>
      </c>
      <c r="K282" s="3"/>
      <c r="L282" s="3" t="str">
        <f>IFERROR(__xludf.DUMMYFUNCTION("""COMPUTED_VALUE"""),"sftp://graphic@103.41.58.141/marketing/WarzTH_LE/Item%20Dict/meat.png")</f>
        <v>sftp://graphic@103.41.58.141/marketing/WarzTH_LE/Item%20Dict/meat.png</v>
      </c>
      <c r="M282" s="3"/>
      <c r="N282" s="3"/>
      <c r="O282" s="3"/>
    </row>
    <row r="283">
      <c r="A283" s="3" t="b">
        <f>IFERROR(__xludf.DUMMYFUNCTION("""COMPUTED_VALUE"""),FALSE)</f>
        <v>0</v>
      </c>
      <c r="B283" s="3" t="str">
        <f>IFERROR(__xludf.DUMMYFUNCTION("""COMPUTED_VALUE"""),"")</f>
        <v/>
      </c>
      <c r="C283" s="3">
        <f>IFERROR(__xludf.DUMMYFUNCTION("""COMPUTED_VALUE"""),301365.0)</f>
        <v>301365</v>
      </c>
      <c r="D283" s="5" t="str">
        <f>IFERROR(__xludf.DUMMYFUNCTION("""COMPUTED_VALUE"""),"https://cdn.exe.in.th/marketing/WarzTH_LE/Item%20Dict/metal_pipe.png")</f>
        <v>https://cdn.exe.in.th/marketing/WarzTH_LE/Item%20Dict/metal_pipe.png</v>
      </c>
      <c r="E283" s="3" t="str">
        <f>IFERROR(__xludf.DUMMYFUNCTION("""COMPUTED_VALUE"""),"Metal Pipe")</f>
        <v>Metal Pipe</v>
      </c>
      <c r="F283" s="3"/>
      <c r="G283" s="3"/>
      <c r="H283" s="3"/>
      <c r="I283" s="3" t="str">
        <f>IFERROR(__xludf.DUMMYFUNCTION("""COMPUTED_VALUE"""),"Components")</f>
        <v>Components</v>
      </c>
      <c r="J283" s="3"/>
      <c r="K283" s="3"/>
      <c r="L283" s="3" t="str">
        <f>IFERROR(__xludf.DUMMYFUNCTION("""COMPUTED_VALUE"""),"sftp://graphic@103.41.58.141/marketing/WarzTH_LE/Item%20Dict/metal_pipe.png")</f>
        <v>sftp://graphic@103.41.58.141/marketing/WarzTH_LE/Item%20Dict/metal_pipe.png</v>
      </c>
      <c r="M283" s="3"/>
      <c r="N283" s="3"/>
      <c r="O283" s="3"/>
    </row>
    <row r="284">
      <c r="A284" s="3" t="b">
        <f>IFERROR(__xludf.DUMMYFUNCTION("""COMPUTED_VALUE"""),FALSE)</f>
        <v>0</v>
      </c>
      <c r="B284" s="3" t="str">
        <f>IFERROR(__xludf.DUMMYFUNCTION("""COMPUTED_VALUE"""),"")</f>
        <v/>
      </c>
      <c r="C284" s="3">
        <f>IFERROR(__xludf.DUMMYFUNCTION("""COMPUTED_VALUE"""),301327.0)</f>
        <v>301327</v>
      </c>
      <c r="D284" s="5" t="str">
        <f>IFERROR(__xludf.DUMMYFUNCTION("""COMPUTED_VALUE"""),"https://cdn.exe.in.th/marketing/WarzTH_LE/Item%20Dict/metal_scrap.png")</f>
        <v>https://cdn.exe.in.th/marketing/WarzTH_LE/Item%20Dict/metal_scrap.png</v>
      </c>
      <c r="E284" s="3" t="str">
        <f>IFERROR(__xludf.DUMMYFUNCTION("""COMPUTED_VALUE"""),"Metal Scrap")</f>
        <v>Metal Scrap</v>
      </c>
      <c r="F284" s="3"/>
      <c r="G284" s="3"/>
      <c r="H284" s="3"/>
      <c r="I284" s="3" t="str">
        <f>IFERROR(__xludf.DUMMYFUNCTION("""COMPUTED_VALUE"""),"Components")</f>
        <v>Components</v>
      </c>
      <c r="J284" s="3"/>
      <c r="K284" s="3"/>
      <c r="L284" s="3" t="str">
        <f>IFERROR(__xludf.DUMMYFUNCTION("""COMPUTED_VALUE"""),"sftp://graphic@103.41.58.141/marketing/WarzTH_LE/Item%20Dict/metal_scrap.png")</f>
        <v>sftp://graphic@103.41.58.141/marketing/WarzTH_LE/Item%20Dict/metal_scrap.png</v>
      </c>
      <c r="M284" s="3"/>
      <c r="N284" s="3"/>
      <c r="O284" s="3"/>
    </row>
    <row r="285">
      <c r="A285" s="3" t="b">
        <f>IFERROR(__xludf.DUMMYFUNCTION("""COMPUTED_VALUE"""),FALSE)</f>
        <v>0</v>
      </c>
      <c r="B285" s="3" t="str">
        <f>IFERROR(__xludf.DUMMYFUNCTION("""COMPUTED_VALUE"""),"")</f>
        <v/>
      </c>
      <c r="C285" s="3">
        <f>IFERROR(__xludf.DUMMYFUNCTION("""COMPUTED_VALUE"""),301328.0)</f>
        <v>301328</v>
      </c>
      <c r="D285" s="5" t="str">
        <f>IFERROR(__xludf.DUMMYFUNCTION("""COMPUTED_VALUE"""),"https://cdn.exe.in.th/marketing/WarzTH_LE/Item%20Dict/nail_mag.png")</f>
        <v>https://cdn.exe.in.th/marketing/WarzTH_LE/Item%20Dict/nail_mag.png</v>
      </c>
      <c r="E285" s="3" t="str">
        <f>IFERROR(__xludf.DUMMYFUNCTION("""COMPUTED_VALUE"""),"Nails")</f>
        <v>Nails</v>
      </c>
      <c r="F285" s="3"/>
      <c r="G285" s="3"/>
      <c r="H285" s="3"/>
      <c r="I285" s="3" t="str">
        <f>IFERROR(__xludf.DUMMYFUNCTION("""COMPUTED_VALUE"""),"Components")</f>
        <v>Components</v>
      </c>
      <c r="J285" s="3"/>
      <c r="K285" s="3"/>
      <c r="L285" s="3" t="str">
        <f>IFERROR(__xludf.DUMMYFUNCTION("""COMPUTED_VALUE"""),"sftp://graphic@103.41.58.141/marketing/WarzTH_LE/Item%20Dict/nail_mag.png")</f>
        <v>sftp://graphic@103.41.58.141/marketing/WarzTH_LE/Item%20Dict/nail_mag.png</v>
      </c>
      <c r="M285" s="3"/>
      <c r="N285" s="3"/>
      <c r="O285" s="3"/>
    </row>
    <row r="286">
      <c r="A286" s="3" t="b">
        <f>IFERROR(__xludf.DUMMYFUNCTION("""COMPUTED_VALUE"""),FALSE)</f>
        <v>0</v>
      </c>
      <c r="B286" s="3" t="str">
        <f>IFERROR(__xludf.DUMMYFUNCTION("""COMPUTED_VALUE"""),"")</f>
        <v/>
      </c>
      <c r="C286" s="3">
        <f>IFERROR(__xludf.DUMMYFUNCTION("""COMPUTED_VALUE"""),301366.0)</f>
        <v>301366</v>
      </c>
      <c r="D286" s="5" t="str">
        <f>IFERROR(__xludf.DUMMYFUNCTION("""COMPUTED_VALUE"""),"https://cdn.exe.in.th/marketing/WarzTH_LE/Item%20Dict/ointment.png")</f>
        <v>https://cdn.exe.in.th/marketing/WarzTH_LE/Item%20Dict/ointment.png</v>
      </c>
      <c r="E286" s="3" t="str">
        <f>IFERROR(__xludf.DUMMYFUNCTION("""COMPUTED_VALUE"""),"Ointment")</f>
        <v>Ointment</v>
      </c>
      <c r="F286" s="3"/>
      <c r="G286" s="3"/>
      <c r="H286" s="3"/>
      <c r="I286" s="3" t="str">
        <f>IFERROR(__xludf.DUMMYFUNCTION("""COMPUTED_VALUE"""),"Components")</f>
        <v>Components</v>
      </c>
      <c r="J286" s="3"/>
      <c r="K286" s="3"/>
      <c r="L286" s="3" t="str">
        <f>IFERROR(__xludf.DUMMYFUNCTION("""COMPUTED_VALUE"""),"sftp://graphic@103.41.58.141/marketing/WarzTH_LE/Item%20Dict/ointment.png")</f>
        <v>sftp://graphic@103.41.58.141/marketing/WarzTH_LE/Item%20Dict/ointment.png</v>
      </c>
      <c r="M286" s="3"/>
      <c r="N286" s="3"/>
      <c r="O286" s="3"/>
    </row>
    <row r="287">
      <c r="A287" s="3" t="b">
        <f>IFERROR(__xludf.DUMMYFUNCTION("""COMPUTED_VALUE"""),FALSE)</f>
        <v>0</v>
      </c>
      <c r="B287" s="3" t="str">
        <f>IFERROR(__xludf.DUMMYFUNCTION("""COMPUTED_VALUE"""),"")</f>
        <v/>
      </c>
      <c r="C287" s="3">
        <f>IFERROR(__xludf.DUMMYFUNCTION("""COMPUTED_VALUE"""),101060.0)</f>
        <v>101060</v>
      </c>
      <c r="D287" s="5" t="str">
        <f>IFERROR(__xludf.DUMMYFUNCTION("""COMPUTED_VALUE"""),"https://cdn.exe.in.th/marketing/WarzTH_LE/Item%20Dict/pkm.png")</f>
        <v>https://cdn.exe.in.th/marketing/WarzTH_LE/Item%20Dict/pkm.png</v>
      </c>
      <c r="E287" s="3" t="str">
        <f>IFERROR(__xludf.DUMMYFUNCTION("""COMPUTED_VALUE"""),"PKM")</f>
        <v>PKM</v>
      </c>
      <c r="F287" s="2">
        <f>IFERROR(__xludf.DUMMYFUNCTION("""COMPUTED_VALUE"""),10.0)</f>
        <v>10</v>
      </c>
      <c r="G287" s="2" t="str">
        <f>IFERROR(__xludf.DUMMYFUNCTION("""COMPUTED_VALUE"""),"-")</f>
        <v>-</v>
      </c>
      <c r="H287" s="2" t="str">
        <f>IFERROR(__xludf.DUMMYFUNCTION("""COMPUTED_VALUE"""),"-")</f>
        <v>-</v>
      </c>
      <c r="I287" s="3" t="str">
        <f>IFERROR(__xludf.DUMMYFUNCTION("""COMPUTED_VALUE"""),"Weapon")</f>
        <v>Weapon</v>
      </c>
      <c r="J287" s="3" t="str">
        <f>IFERROR(__xludf.DUMMYFUNCTION("""COMPUTED_VALUE"""),"No")</f>
        <v>No</v>
      </c>
      <c r="K287" s="3" t="str">
        <f>IFERROR(__xludf.DUMMYFUNCTION("""COMPUTED_VALUE"""),"B")</f>
        <v>B</v>
      </c>
      <c r="L287" s="3" t="str">
        <f>IFERROR(__xludf.DUMMYFUNCTION("""COMPUTED_VALUE"""),"sftp://graphic@103.41.58.141/marketing/WarzTH_LE/Item%20Dict/pkm.png")</f>
        <v>sftp://graphic@103.41.58.141/marketing/WarzTH_LE/Item%20Dict/pkm.png</v>
      </c>
      <c r="M287" s="3"/>
      <c r="N287" s="3" t="str">
        <f>IFERROR(__xludf.DUMMYFUNCTION("""COMPUTED_VALUE"""),"The PKM machine gun was designed to fire a 7.62 mm rounds from a linked system and is reasonably accurate out to medium ranged targets.")</f>
        <v>The PKM machine gun was designed to fire a 7.62 mm rounds from a linked system and is reasonably accurate out to medium ranged targets.</v>
      </c>
      <c r="O287" s="3"/>
    </row>
    <row r="288">
      <c r="A288" s="3" t="b">
        <f>IFERROR(__xludf.DUMMYFUNCTION("""COMPUTED_VALUE"""),FALSE)</f>
        <v>0</v>
      </c>
      <c r="B288" s="3" t="str">
        <f>IFERROR(__xludf.DUMMYFUNCTION("""COMPUTED_VALUE"""),"")</f>
        <v/>
      </c>
      <c r="C288" s="3">
        <f>IFERROR(__xludf.DUMMYFUNCTION("""COMPUTED_VALUE"""),301343.0)</f>
        <v>301343</v>
      </c>
      <c r="D288" s="5" t="str">
        <f>IFERROR(__xludf.DUMMYFUNCTION("""COMPUTED_VALUE"""),"https://cdn.exe.in.th/marketing/WarzTH_LE/Item%20Dict/recipe.png")</f>
        <v>https://cdn.exe.in.th/marketing/WarzTH_LE/Item%20Dict/recipe.png</v>
      </c>
      <c r="E288" s="3" t="str">
        <f>IFERROR(__xludf.DUMMYFUNCTION("""COMPUTED_VALUE"""),"Police Baton w barbed wire recip")</f>
        <v>Police Baton w barbed wire recip</v>
      </c>
      <c r="F288" s="3"/>
      <c r="G288" s="3"/>
      <c r="H288" s="3"/>
      <c r="I288" s="3" t="str">
        <f>IFERROR(__xludf.DUMMYFUNCTION("""COMPUTED_VALUE"""),"Blueprint")</f>
        <v>Blueprint</v>
      </c>
      <c r="J288" s="3"/>
      <c r="K288" s="3"/>
      <c r="L288" s="3" t="str">
        <f>IFERROR(__xludf.DUMMYFUNCTION("""COMPUTED_VALUE"""),"sftp://graphic@103.41.58.141/marketing/WarzTH_LE/Item%20Dict/recipe.png")</f>
        <v>sftp://graphic@103.41.58.141/marketing/WarzTH_LE/Item%20Dict/recipe.png</v>
      </c>
      <c r="M288" s="3"/>
      <c r="N288" s="3"/>
      <c r="O288" s="3"/>
    </row>
    <row r="289">
      <c r="A289" s="3" t="b">
        <f>IFERROR(__xludf.DUMMYFUNCTION("""COMPUTED_VALUE"""),FALSE)</f>
        <v>0</v>
      </c>
      <c r="B289" s="3" t="str">
        <f>IFERROR(__xludf.DUMMYFUNCTION("""COMPUTED_VALUE"""),"")</f>
        <v/>
      </c>
      <c r="C289" s="3"/>
      <c r="D289" s="3" t="str">
        <f>IFERROR(__xludf.DUMMYFUNCTION("""COMPUTED_VALUE"""),"")</f>
        <v/>
      </c>
      <c r="E289" s="3" t="str">
        <f>IFERROR(__xludf.DUMMYFUNCTION("""COMPUTED_VALUE"""),"Premium Repair Kit")</f>
        <v>Premium Repair Kit</v>
      </c>
      <c r="F289" s="2">
        <f>IFERROR(__xludf.DUMMYFUNCTION("""COMPUTED_VALUE"""),10.0)</f>
        <v>10</v>
      </c>
      <c r="G289" s="2" t="str">
        <f>IFERROR(__xludf.DUMMYFUNCTION("""COMPUTED_VALUE"""),"-")</f>
        <v>-</v>
      </c>
      <c r="H289" s="2" t="str">
        <f>IFERROR(__xludf.DUMMYFUNCTION("""COMPUTED_VALUE"""),"10,000 Dollars")</f>
        <v>10,000 Dollars</v>
      </c>
      <c r="I289" s="3" t="str">
        <f>IFERROR(__xludf.DUMMYFUNCTION("""COMPUTED_VALUE"""),"Consumable")</f>
        <v>Consumable</v>
      </c>
      <c r="J289" s="3" t="str">
        <f>IFERROR(__xludf.DUMMYFUNCTION("""COMPUTED_VALUE"""),"Yes")</f>
        <v>Yes</v>
      </c>
      <c r="K289" s="3"/>
      <c r="L289" s="3"/>
      <c r="M289" s="3"/>
      <c r="N289" s="3"/>
      <c r="O289" s="3"/>
    </row>
    <row r="290">
      <c r="A290" s="3" t="b">
        <f>IFERROR(__xludf.DUMMYFUNCTION("""COMPUTED_VALUE"""),FALSE)</f>
        <v>0</v>
      </c>
      <c r="B290" s="3" t="str">
        <f>IFERROR(__xludf.DUMMYFUNCTION("""COMPUTED_VALUE"""),"")</f>
        <v/>
      </c>
      <c r="C290" s="3">
        <f>IFERROR(__xludf.DUMMYFUNCTION("""COMPUTED_VALUE"""),301331.0)</f>
        <v>301331</v>
      </c>
      <c r="D290" s="5" t="str">
        <f>IFERROR(__xludf.DUMMYFUNCTION("""COMPUTED_VALUE"""),"https://cdn.exe.in.th/marketing/WarzTH_LE/Item%20Dict/ra_h23.png")</f>
        <v>https://cdn.exe.in.th/marketing/WarzTH_LE/Item%20Dict/ra_h23.png</v>
      </c>
      <c r="E290" s="3" t="str">
        <f>IFERROR(__xludf.DUMMYFUNCTION("""COMPUTED_VALUE"""),"Rag")</f>
        <v>Rag</v>
      </c>
      <c r="F290" s="3"/>
      <c r="G290" s="3"/>
      <c r="H290" s="3"/>
      <c r="I290" s="3" t="str">
        <f>IFERROR(__xludf.DUMMYFUNCTION("""COMPUTED_VALUE"""),"Components")</f>
        <v>Components</v>
      </c>
      <c r="J290" s="3"/>
      <c r="K290" s="3"/>
      <c r="L290" s="3" t="str">
        <f>IFERROR(__xludf.DUMMYFUNCTION("""COMPUTED_VALUE"""),"sftp://graphic@103.41.58.141/marketing/WarzTH_LE/Item%20Dict/ra_h23.png")</f>
        <v>sftp://graphic@103.41.58.141/marketing/WarzTH_LE/Item%20Dict/ra_h23.png</v>
      </c>
      <c r="M290" s="3"/>
      <c r="N290" s="3"/>
      <c r="O290" s="3"/>
    </row>
    <row r="291">
      <c r="A291" s="3" t="b">
        <f>IFERROR(__xludf.DUMMYFUNCTION("""COMPUTED_VALUE"""),FALSE)</f>
        <v>0</v>
      </c>
      <c r="B291" s="3" t="str">
        <f>IFERROR(__xludf.DUMMYFUNCTION("""COMPUTED_VALUE"""),"")</f>
        <v/>
      </c>
      <c r="C291" s="3">
        <f>IFERROR(__xludf.DUMMYFUNCTION("""COMPUTED_VALUE"""),301332.0)</f>
        <v>301332</v>
      </c>
      <c r="D291" s="5" t="str">
        <f>IFERROR(__xludf.DUMMYFUNCTION("""COMPUTED_VALUE"""),"https://cdn.exe.in.th/marketing/WarzTH_LE/Item%20Dict/razer_wire.png")</f>
        <v>https://cdn.exe.in.th/marketing/WarzTH_LE/Item%20Dict/razer_wire.png</v>
      </c>
      <c r="E291" s="3" t="str">
        <f>IFERROR(__xludf.DUMMYFUNCTION("""COMPUTED_VALUE"""),"Razer Wire")</f>
        <v>Razer Wire</v>
      </c>
      <c r="F291" s="3"/>
      <c r="G291" s="3"/>
      <c r="H291" s="3"/>
      <c r="I291" s="3" t="str">
        <f>IFERROR(__xludf.DUMMYFUNCTION("""COMPUTED_VALUE"""),"Components")</f>
        <v>Components</v>
      </c>
      <c r="J291" s="3"/>
      <c r="K291" s="3"/>
      <c r="L291" s="3" t="str">
        <f>IFERROR(__xludf.DUMMYFUNCTION("""COMPUTED_VALUE"""),"sftp://graphic@103.41.58.141/marketing/WarzTH_LE/Item%20Dict/razer_wire.png")</f>
        <v>sftp://graphic@103.41.58.141/marketing/WarzTH_LE/Item%20Dict/razer_wire.png</v>
      </c>
      <c r="M291" s="3"/>
      <c r="N291" s="3"/>
      <c r="O291" s="3"/>
    </row>
    <row r="292">
      <c r="A292" s="3" t="b">
        <f>IFERROR(__xludf.DUMMYFUNCTION("""COMPUTED_VALUE"""),FALSE)</f>
        <v>0</v>
      </c>
      <c r="B292" s="3" t="str">
        <f>IFERROR(__xludf.DUMMYFUNCTION("""COMPUTED_VALUE"""),"")</f>
        <v/>
      </c>
      <c r="C292" s="3">
        <f>IFERROR(__xludf.DUMMYFUNCTION("""COMPUTED_VALUE"""),301335.0)</f>
        <v>301335</v>
      </c>
      <c r="D292" s="5" t="str">
        <f>IFERROR(__xludf.DUMMYFUNCTION("""COMPUTED_VALUE"""),"https://cdn.exe.in.th/marketing/WarzTH_LE/Item%20Dict/scissors.png")</f>
        <v>https://cdn.exe.in.th/marketing/WarzTH_LE/Item%20Dict/scissors.png</v>
      </c>
      <c r="E292" s="3" t="str">
        <f>IFERROR(__xludf.DUMMYFUNCTION("""COMPUTED_VALUE"""),"Scissors")</f>
        <v>Scissors</v>
      </c>
      <c r="F292" s="3"/>
      <c r="G292" s="3"/>
      <c r="H292" s="3"/>
      <c r="I292" s="3" t="str">
        <f>IFERROR(__xludf.DUMMYFUNCTION("""COMPUTED_VALUE"""),"Components")</f>
        <v>Components</v>
      </c>
      <c r="J292" s="3"/>
      <c r="K292" s="3"/>
      <c r="L292" s="3" t="str">
        <f>IFERROR(__xludf.DUMMYFUNCTION("""COMPUTED_VALUE"""),"sftp://graphic@103.41.58.141/marketing/WarzTH_LE/Item%20Dict/scissors.png")</f>
        <v>sftp://graphic@103.41.58.141/marketing/WarzTH_LE/Item%20Dict/scissors.png</v>
      </c>
      <c r="M292" s="3"/>
      <c r="N292" s="3"/>
      <c r="O292" s="3"/>
    </row>
    <row r="293">
      <c r="A293" s="3" t="b">
        <f>IFERROR(__xludf.DUMMYFUNCTION("""COMPUTED_VALUE"""),FALSE)</f>
        <v>0</v>
      </c>
      <c r="B293" s="3" t="str">
        <f>IFERROR(__xludf.DUMMYFUNCTION("""COMPUTED_VALUE"""),"")</f>
        <v/>
      </c>
      <c r="C293" s="3">
        <f>IFERROR(__xludf.DUMMYFUNCTION("""COMPUTED_VALUE"""),301345.0)</f>
        <v>301345</v>
      </c>
      <c r="D293" s="5" t="str">
        <f>IFERROR(__xludf.DUMMYFUNCTION("""COMPUTED_VALUE"""),"https://cdn.exe.in.th/marketing/WarzTH_LE/Item%20Dict/recipe.png")</f>
        <v>https://cdn.exe.in.th/marketing/WarzTH_LE/Item%20Dict/recipe.png</v>
      </c>
      <c r="E293" s="3" t="str">
        <f>IFERROR(__xludf.DUMMYFUNCTION("""COMPUTED_VALUE"""),"Shiv Recipe")</f>
        <v>Shiv Recipe</v>
      </c>
      <c r="F293" s="3"/>
      <c r="G293" s="3"/>
      <c r="H293" s="3"/>
      <c r="I293" s="3" t="str">
        <f>IFERROR(__xludf.DUMMYFUNCTION("""COMPUTED_VALUE"""),"Blueprint")</f>
        <v>Blueprint</v>
      </c>
      <c r="J293" s="3"/>
      <c r="K293" s="3"/>
      <c r="L293" s="3" t="str">
        <f>IFERROR(__xludf.DUMMYFUNCTION("""COMPUTED_VALUE"""),"sftp://graphic@103.41.58.141/marketing/WarzTH_LE/Item%20Dict/recipe.png")</f>
        <v>sftp://graphic@103.41.58.141/marketing/WarzTH_LE/Item%20Dict/recipe.png</v>
      </c>
      <c r="M293" s="3" t="str">
        <f>IFERROR(__xludf.DUMMYFUNCTION("""COMPUTED_VALUE"""),"sftp://graphic@103.41.58.141/marketing/WarzTH_LE/Item%20Dict/recipe.png")</f>
        <v>sftp://graphic@103.41.58.141/marketing/WarzTH_LE/Item%20Dict/recipe.png</v>
      </c>
      <c r="N293" s="3"/>
      <c r="O293" s="3"/>
    </row>
    <row r="294">
      <c r="A294" s="3" t="b">
        <f>IFERROR(__xludf.DUMMYFUNCTION("""COMPUTED_VALUE"""),FALSE)</f>
        <v>0</v>
      </c>
      <c r="B294" s="3" t="str">
        <f>IFERROR(__xludf.DUMMYFUNCTION("""COMPUTED_VALUE"""),"")</f>
        <v/>
      </c>
      <c r="C294" s="3">
        <f>IFERROR(__xludf.DUMMYFUNCTION("""COMPUTED_VALUE"""),301347.0)</f>
        <v>301347</v>
      </c>
      <c r="D294" s="5" t="str">
        <f>IFERROR(__xludf.DUMMYFUNCTION("""COMPUTED_VALUE"""),"https://cdn.exe.in.th/marketing/WarzTH_LE/Item%20Dict/recipe.png")</f>
        <v>https://cdn.exe.in.th/marketing/WarzTH_LE/Item%20Dict/recipe.png</v>
      </c>
      <c r="E294" s="3" t="str">
        <f>IFERROR(__xludf.DUMMYFUNCTION("""COMPUTED_VALUE"""),"Shrapnel Bomb Recipe")</f>
        <v>Shrapnel Bomb Recipe</v>
      </c>
      <c r="F294" s="3"/>
      <c r="G294" s="3"/>
      <c r="H294" s="3"/>
      <c r="I294" s="3" t="str">
        <f>IFERROR(__xludf.DUMMYFUNCTION("""COMPUTED_VALUE"""),"Blueprint")</f>
        <v>Blueprint</v>
      </c>
      <c r="J294" s="3"/>
      <c r="K294" s="3"/>
      <c r="L294" s="3" t="str">
        <f>IFERROR(__xludf.DUMMYFUNCTION("""COMPUTED_VALUE"""),"sftp://graphic@103.41.58.141/marketing/WarzTH_LE/Item%20Dict/recipe.png")</f>
        <v>sftp://graphic@103.41.58.141/marketing/WarzTH_LE/Item%20Dict/recipe.png</v>
      </c>
      <c r="M294" s="3" t="str">
        <f>IFERROR(__xludf.DUMMYFUNCTION("""COMPUTED_VALUE"""),"sftp://graphic@103.41.58.141/marketing/WarzTH_LE/Item%20Dict/recipe.png")</f>
        <v>sftp://graphic@103.41.58.141/marketing/WarzTH_LE/Item%20Dict/recipe.png</v>
      </c>
      <c r="N294" s="3"/>
      <c r="O294" s="3"/>
    </row>
    <row r="295">
      <c r="A295" s="3" t="b">
        <f>IFERROR(__xludf.DUMMYFUNCTION("""COMPUTED_VALUE"""),FALSE)</f>
        <v>0</v>
      </c>
      <c r="B295" s="3" t="str">
        <f>IFERROR(__xludf.DUMMYFUNCTION("""COMPUTED_VALUE"""),"")</f>
        <v/>
      </c>
      <c r="C295" s="3">
        <f>IFERROR(__xludf.DUMMYFUNCTION("""COMPUTED_VALUE"""),301341.0)</f>
        <v>301341</v>
      </c>
      <c r="D295" s="5" t="str">
        <f>IFERROR(__xludf.DUMMYFUNCTION("""COMPUTED_VALUE"""),"https://cdn.exe.in.th/marketing/WarzTH_LE/Item%20Dict/recipe.png")</f>
        <v>https://cdn.exe.in.th/marketing/WarzTH_LE/Item%20Dict/recipe.png</v>
      </c>
      <c r="E295" s="3" t="str">
        <f>IFERROR(__xludf.DUMMYFUNCTION("""COMPUTED_VALUE"""),"Silencer Recipe")</f>
        <v>Silencer Recipe</v>
      </c>
      <c r="F295" s="3"/>
      <c r="G295" s="3"/>
      <c r="H295" s="3"/>
      <c r="I295" s="3" t="str">
        <f>IFERROR(__xludf.DUMMYFUNCTION("""COMPUTED_VALUE"""),"Blueprint")</f>
        <v>Blueprint</v>
      </c>
      <c r="J295" s="3"/>
      <c r="K295" s="3"/>
      <c r="L295" s="3" t="str">
        <f>IFERROR(__xludf.DUMMYFUNCTION("""COMPUTED_VALUE"""),"sftp://graphic@103.41.58.141/marketing/WarzTH_LE/Item%20Dict/recipe.png")</f>
        <v>sftp://graphic@103.41.58.141/marketing/WarzTH_LE/Item%20Dict/recipe.png</v>
      </c>
      <c r="M295" s="3" t="str">
        <f>IFERROR(__xludf.DUMMYFUNCTION("""COMPUTED_VALUE"""),"sftp://graphic@103.41.58.141/marketing/WarzTH_LE/Item%20Dict/recipe.png")</f>
        <v>sftp://graphic@103.41.58.141/marketing/WarzTH_LE/Item%20Dict/recipe.png</v>
      </c>
      <c r="N295" s="3"/>
      <c r="O295" s="3"/>
    </row>
    <row r="296">
      <c r="A296" s="3" t="b">
        <f>IFERROR(__xludf.DUMMYFUNCTION("""COMPUTED_VALUE"""),FALSE)</f>
        <v>0</v>
      </c>
      <c r="B296" s="3" t="str">
        <f>IFERROR(__xludf.DUMMYFUNCTION("""COMPUTED_VALUE"""),"")</f>
        <v/>
      </c>
      <c r="C296" s="3">
        <f>IFERROR(__xludf.DUMMYFUNCTION("""COMPUTED_VALUE"""),301346.0)</f>
        <v>301346</v>
      </c>
      <c r="D296" s="5" t="str">
        <f>IFERROR(__xludf.DUMMYFUNCTION("""COMPUTED_VALUE"""),"https://cdn.exe.in.th/marketing/WarzTH_LE/Item%20Dict/recipe.png")</f>
        <v>https://cdn.exe.in.th/marketing/WarzTH_LE/Item%20Dict/recipe.png</v>
      </c>
      <c r="E296" s="3" t="str">
        <f>IFERROR(__xludf.DUMMYFUNCTION("""COMPUTED_VALUE"""),"Spear Recipe")</f>
        <v>Spear Recipe</v>
      </c>
      <c r="F296" s="3"/>
      <c r="G296" s="3"/>
      <c r="H296" s="3"/>
      <c r="I296" s="3" t="str">
        <f>IFERROR(__xludf.DUMMYFUNCTION("""COMPUTED_VALUE"""),"Blueprint")</f>
        <v>Blueprint</v>
      </c>
      <c r="J296" s="3"/>
      <c r="K296" s="3"/>
      <c r="L296" s="3" t="str">
        <f>IFERROR(__xludf.DUMMYFUNCTION("""COMPUTED_VALUE"""),"sftp://graphic@103.41.58.141/marketing/WarzTH_LE/Item%20Dict/recipe.png")</f>
        <v>sftp://graphic@103.41.58.141/marketing/WarzTH_LE/Item%20Dict/recipe.png</v>
      </c>
      <c r="M296" s="3" t="str">
        <f>IFERROR(__xludf.DUMMYFUNCTION("""COMPUTED_VALUE"""),"sftp://graphic@103.41.58.141/marketing/WarzTH_LE/Item%20Dict/recipe.png")</f>
        <v>sftp://graphic@103.41.58.141/marketing/WarzTH_LE/Item%20Dict/recipe.png</v>
      </c>
      <c r="N296" s="3"/>
      <c r="O296" s="3"/>
    </row>
    <row r="297">
      <c r="A297" s="3" t="b">
        <f>IFERROR(__xludf.DUMMYFUNCTION("""COMPUTED_VALUE"""),FALSE)</f>
        <v>0</v>
      </c>
      <c r="B297" s="3" t="str">
        <f>IFERROR(__xludf.DUMMYFUNCTION("""COMPUTED_VALUE"""),"")</f>
        <v/>
      </c>
      <c r="C297" s="3">
        <f>IFERROR(__xludf.DUMMYFUNCTION("""COMPUTED_VALUE"""),301348.0)</f>
        <v>301348</v>
      </c>
      <c r="D297" s="5" t="str">
        <f>IFERROR(__xludf.DUMMYFUNCTION("""COMPUTED_VALUE"""),"https://cdn.exe.in.th/marketing/WarzTH_LE/Item%20Dict/recipe.png")</f>
        <v>https://cdn.exe.in.th/marketing/WarzTH_LE/Item%20Dict/recipe.png</v>
      </c>
      <c r="E297" s="3" t="str">
        <f>IFERROR(__xludf.DUMMYFUNCTION("""COMPUTED_VALUE"""),"TripWire Shrapnel Bomb recipe")</f>
        <v>TripWire Shrapnel Bomb recipe</v>
      </c>
      <c r="F297" s="3"/>
      <c r="G297" s="3"/>
      <c r="H297" s="3"/>
      <c r="I297" s="3" t="str">
        <f>IFERROR(__xludf.DUMMYFUNCTION("""COMPUTED_VALUE"""),"Blueprint")</f>
        <v>Blueprint</v>
      </c>
      <c r="J297" s="3"/>
      <c r="K297" s="3"/>
      <c r="L297" s="3" t="str">
        <f>IFERROR(__xludf.DUMMYFUNCTION("""COMPUTED_VALUE"""),"sftp://graphic@103.41.58.141/marketing/WarzTH_LE/Item%20Dict/recipe.png")</f>
        <v>sftp://graphic@103.41.58.141/marketing/WarzTH_LE/Item%20Dict/recipe.png</v>
      </c>
      <c r="M297" s="3" t="str">
        <f>IFERROR(__xludf.DUMMYFUNCTION("""COMPUTED_VALUE"""),"sftp://graphic@103.41.58.141/marketing/WarzTH_LE/Item%20Dict/recipe.png")</f>
        <v>sftp://graphic@103.41.58.141/marketing/WarzTH_LE/Item%20Dict/recipe.png</v>
      </c>
      <c r="N297" s="3"/>
      <c r="O297" s="3"/>
    </row>
    <row r="298">
      <c r="A298" s="3" t="b">
        <f>IFERROR(__xludf.DUMMYFUNCTION("""COMPUTED_VALUE"""),TRUE)</f>
        <v>1</v>
      </c>
      <c r="B298" s="3" t="str">
        <f>IFERROR(__xludf.DUMMYFUNCTION("""COMPUTED_VALUE"""),"")</f>
        <v/>
      </c>
      <c r="C298" s="3">
        <f>IFERROR(__xludf.DUMMYFUNCTION("""COMPUTED_VALUE"""),21001.0)</f>
        <v>21001</v>
      </c>
      <c r="D298" s="5" t="str">
        <f>IFERROR(__xludf.DUMMYFUNCTION("""COMPUTED_VALUE"""),"https://cdn.exe.in.th/marketing/WarzTH_LE/Item%20Dict/Zelfur.png")</f>
        <v>https://cdn.exe.in.th/marketing/WarzTH_LE/Item%20Dict/Zelfur.png</v>
      </c>
      <c r="E298" s="3" t="str">
        <f>IFERROR(__xludf.DUMMYFUNCTION("""COMPUTED_VALUE"""),"Zelfur")</f>
        <v>Zelfur</v>
      </c>
      <c r="F298" s="2">
        <f>IFERROR(__xludf.DUMMYFUNCTION("""COMPUTED_VALUE"""),300.0)</f>
        <v>300</v>
      </c>
      <c r="G298" s="2" t="str">
        <f>IFERROR(__xludf.DUMMYFUNCTION("""COMPUTED_VALUE"""),"-")</f>
        <v>-</v>
      </c>
      <c r="H298" s="2" t="str">
        <f>IFERROR(__xludf.DUMMYFUNCTION("""COMPUTED_VALUE"""),"-")</f>
        <v>-</v>
      </c>
      <c r="I298" s="3" t="str">
        <f>IFERROR(__xludf.DUMMYFUNCTION("""COMPUTED_VALUE"""),"Character")</f>
        <v>Character</v>
      </c>
      <c r="J298" s="3" t="str">
        <f>IFERROR(__xludf.DUMMYFUNCTION("""COMPUTED_VALUE"""),"No")</f>
        <v>No</v>
      </c>
      <c r="K298" s="3"/>
      <c r="L298" s="3" t="str">
        <f>IFERROR(__xludf.DUMMYFUNCTION("""COMPUTED_VALUE"""),"sftp://graphic@103.41.58.141/marketing/WarzTH_LE/Item%20Dict/Zelfur.png")</f>
        <v>sftp://graphic@103.41.58.141/marketing/WarzTH_LE/Item%20Dict/Zelfur.png</v>
      </c>
      <c r="M298" s="3"/>
      <c r="N298" s="3"/>
      <c r="O298" s="3"/>
    </row>
    <row r="299">
      <c r="A299" s="3" t="b">
        <f>IFERROR(__xludf.DUMMYFUNCTION("""COMPUTED_VALUE"""),FALSE)</f>
        <v>0</v>
      </c>
      <c r="B299" s="3" t="str">
        <f>IFERROR(__xludf.DUMMYFUNCTION("""COMPUTED_VALUE"""),"")</f>
        <v/>
      </c>
      <c r="C299" s="3"/>
      <c r="D299" s="3" t="str">
        <f>IFERROR(__xludf.DUMMYFUNCTION("""COMPUTED_VALUE"""),"")</f>
        <v/>
      </c>
      <c r="E299" s="3" t="str">
        <f>IFERROR(__xludf.DUMMYFUNCTION("""COMPUTED_VALUE"""),"HOF World Cup Box")</f>
        <v>HOF World Cup Box</v>
      </c>
      <c r="F299" s="3"/>
      <c r="G299" s="3"/>
      <c r="H299" s="3"/>
      <c r="I299" s="3" t="str">
        <f>IFERROR(__xludf.DUMMYFUNCTION("""COMPUTED_VALUE"""),"Consumable")</f>
        <v>Consumable</v>
      </c>
      <c r="J299" s="3"/>
      <c r="K299" s="3"/>
      <c r="L299" s="3"/>
      <c r="M299" s="3"/>
      <c r="N299" s="3"/>
      <c r="O299" s="3"/>
    </row>
    <row r="300">
      <c r="A300" s="3" t="b">
        <f>IFERROR(__xludf.DUMMYFUNCTION("""COMPUTED_VALUE"""),FALSE)</f>
        <v>0</v>
      </c>
      <c r="B300" s="3" t="str">
        <f>IFERROR(__xludf.DUMMYFUNCTION("""COMPUTED_VALUE"""),"")</f>
        <v/>
      </c>
      <c r="C300" s="3"/>
      <c r="D300" s="3" t="str">
        <f>IFERROR(__xludf.DUMMYFUNCTION("""COMPUTED_VALUE"""),"")</f>
        <v/>
      </c>
      <c r="E300" s="3" t="str">
        <f>IFERROR(__xludf.DUMMYFUNCTION("""COMPUTED_VALUE"""),"HOF World Cup Ball")</f>
        <v>HOF World Cup Ball</v>
      </c>
      <c r="F300" s="3"/>
      <c r="G300" s="3"/>
      <c r="H300" s="3"/>
      <c r="I300" s="3" t="str">
        <f>IFERROR(__xludf.DUMMYFUNCTION("""COMPUTED_VALUE"""),"Consumable")</f>
        <v>Consumable</v>
      </c>
      <c r="J300" s="3"/>
      <c r="K300" s="3"/>
      <c r="L300" s="3"/>
      <c r="M300" s="3"/>
      <c r="N300" s="3"/>
      <c r="O300" s="3"/>
    </row>
    <row r="301">
      <c r="A301" s="3" t="b">
        <f>IFERROR(__xludf.DUMMYFUNCTION("""COMPUTED_VALUE"""),FALSE)</f>
        <v>0</v>
      </c>
      <c r="B301" s="3" t="str">
        <f>IFERROR(__xludf.DUMMYFUNCTION("""COMPUTED_VALUE"""),"")</f>
        <v/>
      </c>
      <c r="C301" s="3"/>
      <c r="D301" s="3" t="str">
        <f>IFERROR(__xludf.DUMMYFUNCTION("""COMPUTED_VALUE"""),"")</f>
        <v/>
      </c>
      <c r="E301" s="3" t="str">
        <f>IFERROR(__xludf.DUMMYFUNCTION("""COMPUTED_VALUE"""),"HOF World Cup Locker")</f>
        <v>HOF World Cup Locker</v>
      </c>
      <c r="F301" s="3"/>
      <c r="G301" s="3"/>
      <c r="H301" s="3"/>
      <c r="I301" s="3" t="str">
        <f>IFERROR(__xludf.DUMMYFUNCTION("""COMPUTED_VALUE"""),"Consumable")</f>
        <v>Consumable</v>
      </c>
      <c r="J301" s="3"/>
      <c r="K301" s="3"/>
      <c r="L301" s="3"/>
      <c r="M301" s="3"/>
      <c r="N301" s="3"/>
      <c r="O301" s="3"/>
    </row>
    <row r="302">
      <c r="A302" s="3" t="b">
        <f>IFERROR(__xludf.DUMMYFUNCTION("""COMPUTED_VALUE"""),FALSE)</f>
        <v>0</v>
      </c>
      <c r="B302" s="3" t="str">
        <f>IFERROR(__xludf.DUMMYFUNCTION("""COMPUTED_VALUE"""),"")</f>
        <v/>
      </c>
      <c r="C302" s="3"/>
      <c r="D302" s="3" t="str">
        <f>IFERROR(__xludf.DUMMYFUNCTION("""COMPUTED_VALUE"""),"")</f>
        <v/>
      </c>
      <c r="E302" s="3" t="str">
        <f>IFERROR(__xludf.DUMMYFUNCTION("""COMPUTED_VALUE"""),"Blueprint Skin Custom Guerilla HOF World Cup")</f>
        <v>Blueprint Skin Custom Guerilla HOF World Cup</v>
      </c>
      <c r="F302" s="3"/>
      <c r="G302" s="3"/>
      <c r="H302" s="3"/>
      <c r="I302" s="3" t="str">
        <f>IFERROR(__xludf.DUMMYFUNCTION("""COMPUTED_VALUE"""),"Blueprint Skin")</f>
        <v>Blueprint Skin</v>
      </c>
      <c r="J302" s="3"/>
      <c r="K302" s="3"/>
      <c r="L302" s="3"/>
      <c r="M302" s="3"/>
      <c r="N302" s="3"/>
      <c r="O302" s="3"/>
    </row>
    <row r="303">
      <c r="A303" s="3" t="b">
        <f>IFERROR(__xludf.DUMMYFUNCTION("""COMPUTED_VALUE"""),FALSE)</f>
        <v>0</v>
      </c>
      <c r="B303" s="3" t="str">
        <f>IFERROR(__xludf.DUMMYFUNCTION("""COMPUTED_VALUE"""),"")</f>
        <v/>
      </c>
      <c r="C303" s="3"/>
      <c r="D303" s="3" t="str">
        <f>IFERROR(__xludf.DUMMYFUNCTION("""COMPUTED_VALUE"""),"")</f>
        <v/>
      </c>
      <c r="E303" s="3" t="str">
        <f>IFERROR(__xludf.DUMMYFUNCTION("""COMPUTED_VALUE"""),"Blueprint Skin SIG SAUER 556 HOF World Cup")</f>
        <v>Blueprint Skin SIG SAUER 556 HOF World Cup</v>
      </c>
      <c r="F303" s="3"/>
      <c r="G303" s="3"/>
      <c r="H303" s="3"/>
      <c r="I303" s="3" t="str">
        <f>IFERROR(__xludf.DUMMYFUNCTION("""COMPUTED_VALUE"""),"Blueprint Skin")</f>
        <v>Blueprint Skin</v>
      </c>
      <c r="J303" s="3"/>
      <c r="K303" s="3"/>
      <c r="L303" s="3"/>
      <c r="M303" s="3"/>
      <c r="N303" s="3"/>
      <c r="O303" s="3"/>
    </row>
    <row r="304">
      <c r="A304" s="3" t="b">
        <f>IFERROR(__xludf.DUMMYFUNCTION("""COMPUTED_VALUE"""),FALSE)</f>
        <v>0</v>
      </c>
      <c r="B304" s="3" t="str">
        <f>IFERROR(__xludf.DUMMYFUNCTION("""COMPUTED_VALUE"""),"")</f>
        <v/>
      </c>
      <c r="C304" s="3"/>
      <c r="D304" s="3" t="str">
        <f>IFERROR(__xludf.DUMMYFUNCTION("""COMPUTED_VALUE"""),"")</f>
        <v/>
      </c>
      <c r="E304" s="3" t="str">
        <f>IFERROR(__xludf.DUMMYFUNCTION("""COMPUTED_VALUE"""),"Blueprint Skin Locker HOF World Cup")</f>
        <v>Blueprint Skin Locker HOF World Cup</v>
      </c>
      <c r="F304" s="3"/>
      <c r="G304" s="3"/>
      <c r="H304" s="3"/>
      <c r="I304" s="3" t="str">
        <f>IFERROR(__xludf.DUMMYFUNCTION("""COMPUTED_VALUE"""),"Blueprint Skin")</f>
        <v>Blueprint Skin</v>
      </c>
      <c r="J304" s="3"/>
      <c r="K304" s="3"/>
      <c r="L304" s="3"/>
      <c r="M304" s="3"/>
      <c r="N304" s="3"/>
      <c r="O304" s="3"/>
    </row>
    <row r="305">
      <c r="A305" s="3" t="b">
        <f>IFERROR(__xludf.DUMMYFUNCTION("""COMPUTED_VALUE"""),FALSE)</f>
        <v>0</v>
      </c>
      <c r="B305" s="3" t="str">
        <f>IFERROR(__xludf.DUMMYFUNCTION("""COMPUTED_VALUE"""),"")</f>
        <v/>
      </c>
      <c r="C305" s="3"/>
      <c r="D305" s="3" t="str">
        <f>IFERROR(__xludf.DUMMYFUNCTION("""COMPUTED_VALUE"""),"")</f>
        <v/>
      </c>
      <c r="E305" s="3"/>
      <c r="F305" s="3"/>
      <c r="G305" s="3"/>
      <c r="H305" s="3"/>
      <c r="I305" s="3"/>
      <c r="J305" s="3"/>
      <c r="K305" s="3"/>
      <c r="L305" s="3"/>
      <c r="M305" s="3"/>
      <c r="N305" s="3"/>
      <c r="O305" s="3"/>
    </row>
    <row r="306">
      <c r="A306" s="3" t="b">
        <f>IFERROR(__xludf.DUMMYFUNCTION("""COMPUTED_VALUE"""),FALSE)</f>
        <v>0</v>
      </c>
      <c r="B306" s="3" t="str">
        <f>IFERROR(__xludf.DUMMYFUNCTION("""COMPUTED_VALUE"""),"")</f>
        <v/>
      </c>
      <c r="C306" s="3"/>
      <c r="D306" s="3" t="str">
        <f>IFERROR(__xludf.DUMMYFUNCTION("""COMPUTED_VALUE"""),"")</f>
        <v/>
      </c>
      <c r="E306" s="3"/>
      <c r="F306" s="3"/>
      <c r="G306" s="3"/>
      <c r="H306" s="3"/>
      <c r="I306" s="3"/>
      <c r="J306" s="3"/>
      <c r="K306" s="3"/>
      <c r="L306" s="3"/>
      <c r="M306" s="3"/>
      <c r="N306" s="3"/>
      <c r="O306" s="3"/>
    </row>
    <row r="307">
      <c r="A307" s="3" t="b">
        <f>IFERROR(__xludf.DUMMYFUNCTION("""COMPUTED_VALUE"""),FALSE)</f>
        <v>0</v>
      </c>
      <c r="B307" s="3" t="str">
        <f>IFERROR(__xludf.DUMMYFUNCTION("""COMPUTED_VALUE"""),"")</f>
        <v/>
      </c>
      <c r="C307" s="3"/>
      <c r="D307" s="3" t="str">
        <f>IFERROR(__xludf.DUMMYFUNCTION("""COMPUTED_VALUE"""),"")</f>
        <v/>
      </c>
      <c r="E307" s="3"/>
      <c r="F307" s="3"/>
      <c r="G307" s="3"/>
      <c r="H307" s="3"/>
      <c r="I307" s="3"/>
      <c r="J307" s="3"/>
      <c r="K307" s="3"/>
      <c r="L307" s="3"/>
      <c r="M307" s="3"/>
      <c r="N307" s="3"/>
      <c r="O307" s="3"/>
    </row>
    <row r="308">
      <c r="A308" s="3" t="b">
        <f>IFERROR(__xludf.DUMMYFUNCTION("""COMPUTED_VALUE"""),FALSE)</f>
        <v>0</v>
      </c>
      <c r="B308" s="3" t="str">
        <f>IFERROR(__xludf.DUMMYFUNCTION("""COMPUTED_VALUE"""),"")</f>
        <v/>
      </c>
      <c r="C308" s="3"/>
      <c r="D308" s="3" t="str">
        <f>IFERROR(__xludf.DUMMYFUNCTION("""COMPUTED_VALUE"""),"")</f>
        <v/>
      </c>
      <c r="E308" s="3"/>
      <c r="F308" s="3"/>
      <c r="G308" s="3"/>
      <c r="H308" s="3"/>
      <c r="I308" s="3"/>
      <c r="J308" s="3"/>
      <c r="K308" s="3"/>
      <c r="L308" s="3"/>
      <c r="M308" s="3"/>
      <c r="N308" s="3"/>
      <c r="O308" s="3"/>
    </row>
    <row r="309">
      <c r="A309" s="3" t="b">
        <f>IFERROR(__xludf.DUMMYFUNCTION("""COMPUTED_VALUE"""),FALSE)</f>
        <v>0</v>
      </c>
      <c r="B309" s="3" t="str">
        <f>IFERROR(__xludf.DUMMYFUNCTION("""COMPUTED_VALUE"""),"")</f>
        <v/>
      </c>
      <c r="C309" s="3"/>
      <c r="D309" s="3" t="str">
        <f>IFERROR(__xludf.DUMMYFUNCTION("""COMPUTED_VALUE"""),"")</f>
        <v/>
      </c>
      <c r="E309" s="3"/>
      <c r="F309" s="3"/>
      <c r="G309" s="3"/>
      <c r="H309" s="3"/>
      <c r="I309" s="3"/>
      <c r="J309" s="3"/>
      <c r="K309" s="3"/>
      <c r="L309" s="3"/>
      <c r="M309" s="3"/>
      <c r="N309" s="3"/>
      <c r="O309" s="3"/>
    </row>
    <row r="310">
      <c r="A310" s="3" t="b">
        <f>IFERROR(__xludf.DUMMYFUNCTION("""COMPUTED_VALUE"""),FALSE)</f>
        <v>0</v>
      </c>
      <c r="B310" s="3" t="str">
        <f>IFERROR(__xludf.DUMMYFUNCTION("""COMPUTED_VALUE"""),"")</f>
        <v/>
      </c>
      <c r="C310" s="3"/>
      <c r="D310" s="3" t="str">
        <f>IFERROR(__xludf.DUMMYFUNCTION("""COMPUTED_VALUE"""),"")</f>
        <v/>
      </c>
      <c r="E310" s="3"/>
      <c r="F310" s="3"/>
      <c r="G310" s="3"/>
      <c r="H310" s="3"/>
      <c r="I310" s="3"/>
      <c r="J310" s="3"/>
      <c r="K310" s="3"/>
      <c r="L310" s="3"/>
      <c r="M310" s="3"/>
      <c r="N310" s="3"/>
      <c r="O310" s="3"/>
    </row>
    <row r="311">
      <c r="A311" s="3" t="b">
        <f>IFERROR(__xludf.DUMMYFUNCTION("""COMPUTED_VALUE"""),FALSE)</f>
        <v>0</v>
      </c>
      <c r="B311" s="3" t="str">
        <f>IFERROR(__xludf.DUMMYFUNCTION("""COMPUTED_VALUE"""),"")</f>
        <v/>
      </c>
      <c r="C311" s="3"/>
      <c r="D311" s="3" t="str">
        <f>IFERROR(__xludf.DUMMYFUNCTION("""COMPUTED_VALUE"""),"")</f>
        <v/>
      </c>
      <c r="E311" s="3"/>
      <c r="F311" s="3"/>
      <c r="G311" s="3"/>
      <c r="H311" s="3"/>
      <c r="I311" s="3"/>
      <c r="J311" s="3"/>
      <c r="K311" s="3"/>
      <c r="L311" s="3"/>
      <c r="M311" s="3"/>
      <c r="N311" s="3"/>
      <c r="O311" s="3"/>
    </row>
    <row r="312">
      <c r="A312" s="3" t="b">
        <f>IFERROR(__xludf.DUMMYFUNCTION("""COMPUTED_VALUE"""),FALSE)</f>
        <v>0</v>
      </c>
      <c r="B312" s="3" t="str">
        <f>IFERROR(__xludf.DUMMYFUNCTION("""COMPUTED_VALUE"""),"")</f>
        <v/>
      </c>
      <c r="C312" s="3"/>
      <c r="D312" s="3" t="str">
        <f>IFERROR(__xludf.DUMMYFUNCTION("""COMPUTED_VALUE"""),"")</f>
        <v/>
      </c>
      <c r="E312" s="3"/>
      <c r="F312" s="3"/>
      <c r="G312" s="3"/>
      <c r="H312" s="3"/>
      <c r="I312" s="3"/>
      <c r="J312" s="3"/>
      <c r="K312" s="3"/>
      <c r="L312" s="3"/>
      <c r="M312" s="3"/>
      <c r="N312" s="3"/>
      <c r="O312" s="3"/>
    </row>
    <row r="313">
      <c r="A313" s="3" t="b">
        <f>IFERROR(__xludf.DUMMYFUNCTION("""COMPUTED_VALUE"""),FALSE)</f>
        <v>0</v>
      </c>
      <c r="B313" s="3" t="str">
        <f>IFERROR(__xludf.DUMMYFUNCTION("""COMPUTED_VALUE"""),"")</f>
        <v/>
      </c>
      <c r="C313" s="3"/>
      <c r="D313" s="3" t="str">
        <f>IFERROR(__xludf.DUMMYFUNCTION("""COMPUTED_VALUE"""),"")</f>
        <v/>
      </c>
      <c r="E313" s="3"/>
      <c r="F313" s="3"/>
      <c r="G313" s="3"/>
      <c r="H313" s="3"/>
      <c r="I313" s="3"/>
      <c r="J313" s="3"/>
      <c r="K313" s="3"/>
      <c r="L313" s="3"/>
      <c r="M313" s="3"/>
      <c r="N313" s="3"/>
      <c r="O313" s="3"/>
    </row>
    <row r="314">
      <c r="A314" s="3" t="b">
        <f>IFERROR(__xludf.DUMMYFUNCTION("""COMPUTED_VALUE"""),FALSE)</f>
        <v>0</v>
      </c>
      <c r="B314" s="3" t="str">
        <f>IFERROR(__xludf.DUMMYFUNCTION("""COMPUTED_VALUE"""),"")</f>
        <v/>
      </c>
      <c r="C314" s="3"/>
      <c r="D314" s="3" t="str">
        <f>IFERROR(__xludf.DUMMYFUNCTION("""COMPUTED_VALUE"""),"")</f>
        <v/>
      </c>
      <c r="E314" s="3"/>
      <c r="F314" s="3"/>
      <c r="G314" s="3"/>
      <c r="H314" s="3"/>
      <c r="I314" s="3"/>
      <c r="J314" s="3"/>
      <c r="K314" s="3"/>
      <c r="L314" s="3"/>
      <c r="M314" s="3"/>
      <c r="N314" s="3"/>
      <c r="O314" s="3"/>
    </row>
    <row r="315">
      <c r="A315" s="3" t="b">
        <f>IFERROR(__xludf.DUMMYFUNCTION("""COMPUTED_VALUE"""),FALSE)</f>
        <v>0</v>
      </c>
      <c r="B315" s="3" t="str">
        <f>IFERROR(__xludf.DUMMYFUNCTION("""COMPUTED_VALUE"""),"")</f>
        <v/>
      </c>
      <c r="C315" s="3"/>
      <c r="D315" s="3" t="str">
        <f>IFERROR(__xludf.DUMMYFUNCTION("""COMPUTED_VALUE"""),"")</f>
        <v/>
      </c>
      <c r="E315" s="3"/>
      <c r="F315" s="3"/>
      <c r="G315" s="3"/>
      <c r="H315" s="3"/>
      <c r="I315" s="3"/>
      <c r="J315" s="3"/>
      <c r="K315" s="3"/>
      <c r="L315" s="3"/>
      <c r="M315" s="3"/>
      <c r="N315" s="3"/>
      <c r="O315" s="3"/>
    </row>
    <row r="316">
      <c r="A316" s="3" t="b">
        <f>IFERROR(__xludf.DUMMYFUNCTION("""COMPUTED_VALUE"""),FALSE)</f>
        <v>0</v>
      </c>
      <c r="B316" s="3" t="str">
        <f>IFERROR(__xludf.DUMMYFUNCTION("""COMPUTED_VALUE"""),"")</f>
        <v/>
      </c>
      <c r="C316" s="3"/>
      <c r="D316" s="3" t="str">
        <f>IFERROR(__xludf.DUMMYFUNCTION("""COMPUTED_VALUE"""),"")</f>
        <v/>
      </c>
      <c r="E316" s="3"/>
      <c r="F316" s="3"/>
      <c r="G316" s="3"/>
      <c r="H316" s="3"/>
      <c r="I316" s="3"/>
      <c r="J316" s="3"/>
      <c r="K316" s="3"/>
      <c r="L316" s="3"/>
      <c r="M316" s="3"/>
      <c r="N316" s="3"/>
      <c r="O316" s="3"/>
    </row>
    <row r="317">
      <c r="A317" s="3" t="b">
        <f>IFERROR(__xludf.DUMMYFUNCTION("""COMPUTED_VALUE"""),FALSE)</f>
        <v>0</v>
      </c>
      <c r="B317" s="3" t="str">
        <f>IFERROR(__xludf.DUMMYFUNCTION("""COMPUTED_VALUE"""),"")</f>
        <v/>
      </c>
      <c r="C317" s="3"/>
      <c r="D317" s="3" t="str">
        <f>IFERROR(__xludf.DUMMYFUNCTION("""COMPUTED_VALUE"""),"")</f>
        <v/>
      </c>
      <c r="E317" s="3"/>
      <c r="F317" s="3"/>
      <c r="G317" s="3"/>
      <c r="H317" s="3"/>
      <c r="I317" s="3"/>
      <c r="J317" s="3"/>
      <c r="K317" s="3"/>
      <c r="L317" s="3"/>
      <c r="M317" s="3"/>
      <c r="N317" s="3"/>
      <c r="O317" s="3"/>
    </row>
    <row r="318">
      <c r="A318" s="3" t="b">
        <f>IFERROR(__xludf.DUMMYFUNCTION("""COMPUTED_VALUE"""),FALSE)</f>
        <v>0</v>
      </c>
      <c r="B318" s="3" t="str">
        <f>IFERROR(__xludf.DUMMYFUNCTION("""COMPUTED_VALUE"""),"")</f>
        <v/>
      </c>
      <c r="C318" s="3"/>
      <c r="D318" s="3" t="str">
        <f>IFERROR(__xludf.DUMMYFUNCTION("""COMPUTED_VALUE"""),"")</f>
        <v/>
      </c>
      <c r="E318" s="3"/>
      <c r="F318" s="3"/>
      <c r="G318" s="3"/>
      <c r="H318" s="3"/>
      <c r="I318" s="3"/>
      <c r="J318" s="3"/>
      <c r="K318" s="3"/>
      <c r="L318" s="3"/>
      <c r="M318" s="3"/>
      <c r="N318" s="3"/>
      <c r="O318" s="3"/>
    </row>
    <row r="319">
      <c r="A319" s="3" t="b">
        <f>IFERROR(__xludf.DUMMYFUNCTION("""COMPUTED_VALUE"""),FALSE)</f>
        <v>0</v>
      </c>
      <c r="B319" s="3" t="str">
        <f>IFERROR(__xludf.DUMMYFUNCTION("""COMPUTED_VALUE"""),"")</f>
        <v/>
      </c>
      <c r="C319" s="3"/>
      <c r="D319" s="3" t="str">
        <f>IFERROR(__xludf.DUMMYFUNCTION("""COMPUTED_VALUE"""),"")</f>
        <v/>
      </c>
      <c r="E319" s="3"/>
      <c r="F319" s="3"/>
      <c r="G319" s="3"/>
      <c r="H319" s="3"/>
      <c r="I319" s="3"/>
      <c r="J319" s="3"/>
      <c r="K319" s="3"/>
      <c r="L319" s="3"/>
      <c r="M319" s="3"/>
      <c r="N319" s="3"/>
      <c r="O319" s="3"/>
    </row>
    <row r="320">
      <c r="A320" s="3" t="b">
        <f>IFERROR(__xludf.DUMMYFUNCTION("""COMPUTED_VALUE"""),FALSE)</f>
        <v>0</v>
      </c>
      <c r="B320" s="3" t="str">
        <f>IFERROR(__xludf.DUMMYFUNCTION("""COMPUTED_VALUE"""),"")</f>
        <v/>
      </c>
      <c r="C320" s="3"/>
      <c r="D320" s="3" t="str">
        <f>IFERROR(__xludf.DUMMYFUNCTION("""COMPUTED_VALUE"""),"")</f>
        <v/>
      </c>
      <c r="E320" s="3"/>
      <c r="F320" s="3"/>
      <c r="G320" s="3"/>
      <c r="H320" s="3"/>
      <c r="I320" s="3"/>
      <c r="J320" s="3"/>
      <c r="K320" s="3"/>
      <c r="L320" s="3"/>
      <c r="M320" s="3"/>
      <c r="N320" s="3"/>
      <c r="O320" s="3"/>
    </row>
    <row r="321">
      <c r="A321" s="3" t="b">
        <f>IFERROR(__xludf.DUMMYFUNCTION("""COMPUTED_VALUE"""),FALSE)</f>
        <v>0</v>
      </c>
      <c r="B321" s="3" t="str">
        <f>IFERROR(__xludf.DUMMYFUNCTION("""COMPUTED_VALUE"""),"")</f>
        <v/>
      </c>
      <c r="C321" s="3"/>
      <c r="D321" s="3" t="str">
        <f>IFERROR(__xludf.DUMMYFUNCTION("""COMPUTED_VALUE"""),"")</f>
        <v/>
      </c>
      <c r="E321" s="3"/>
      <c r="F321" s="3"/>
      <c r="G321" s="3"/>
      <c r="H321" s="3"/>
      <c r="I321" s="3"/>
      <c r="J321" s="3"/>
      <c r="K321" s="3"/>
      <c r="L321" s="3"/>
      <c r="M321" s="3"/>
      <c r="N321" s="3"/>
      <c r="O321" s="3"/>
    </row>
    <row r="322">
      <c r="A322" s="3" t="b">
        <f>IFERROR(__xludf.DUMMYFUNCTION("""COMPUTED_VALUE"""),FALSE)</f>
        <v>0</v>
      </c>
      <c r="B322" s="3" t="str">
        <f>IFERROR(__xludf.DUMMYFUNCTION("""COMPUTED_VALUE"""),"")</f>
        <v/>
      </c>
      <c r="C322" s="3"/>
      <c r="D322" s="3" t="str">
        <f>IFERROR(__xludf.DUMMYFUNCTION("""COMPUTED_VALUE"""),"")</f>
        <v/>
      </c>
      <c r="E322" s="3"/>
      <c r="F322" s="3"/>
      <c r="G322" s="3"/>
      <c r="H322" s="3"/>
      <c r="I322" s="3"/>
      <c r="J322" s="3"/>
      <c r="K322" s="3"/>
      <c r="L322" s="3"/>
      <c r="M322" s="3"/>
      <c r="N322" s="3"/>
      <c r="O322" s="3"/>
    </row>
    <row r="323">
      <c r="A323" s="3" t="b">
        <f>IFERROR(__xludf.DUMMYFUNCTION("""COMPUTED_VALUE"""),FALSE)</f>
        <v>0</v>
      </c>
      <c r="B323" s="3" t="str">
        <f>IFERROR(__xludf.DUMMYFUNCTION("""COMPUTED_VALUE"""),"")</f>
        <v/>
      </c>
      <c r="C323" s="3"/>
      <c r="D323" s="3" t="str">
        <f>IFERROR(__xludf.DUMMYFUNCTION("""COMPUTED_VALUE"""),"")</f>
        <v/>
      </c>
      <c r="E323" s="3"/>
      <c r="F323" s="3"/>
      <c r="G323" s="3"/>
      <c r="H323" s="3"/>
      <c r="I323" s="3"/>
      <c r="J323" s="3"/>
      <c r="K323" s="3"/>
      <c r="L323" s="3"/>
      <c r="M323" s="3"/>
      <c r="N323" s="3"/>
      <c r="O323" s="3"/>
    </row>
    <row r="324">
      <c r="A324" s="3" t="b">
        <f>IFERROR(__xludf.DUMMYFUNCTION("""COMPUTED_VALUE"""),FALSE)</f>
        <v>0</v>
      </c>
      <c r="B324" s="3" t="str">
        <f>IFERROR(__xludf.DUMMYFUNCTION("""COMPUTED_VALUE"""),"")</f>
        <v/>
      </c>
      <c r="C324" s="3"/>
      <c r="D324" s="3" t="str">
        <f>IFERROR(__xludf.DUMMYFUNCTION("""COMPUTED_VALUE"""),"")</f>
        <v/>
      </c>
      <c r="E324" s="3"/>
      <c r="F324" s="3"/>
      <c r="G324" s="3"/>
      <c r="H324" s="3"/>
      <c r="I324" s="3"/>
      <c r="J324" s="3"/>
      <c r="K324" s="3"/>
      <c r="L324" s="3"/>
      <c r="M324" s="3"/>
      <c r="N324" s="3"/>
      <c r="O324" s="3"/>
    </row>
    <row r="325">
      <c r="A325" s="3" t="b">
        <f>IFERROR(__xludf.DUMMYFUNCTION("""COMPUTED_VALUE"""),FALSE)</f>
        <v>0</v>
      </c>
      <c r="B325" s="3" t="str">
        <f>IFERROR(__xludf.DUMMYFUNCTION("""COMPUTED_VALUE"""),"")</f>
        <v/>
      </c>
      <c r="C325" s="3"/>
      <c r="D325" s="3" t="str">
        <f>IFERROR(__xludf.DUMMYFUNCTION("""COMPUTED_VALUE"""),"")</f>
        <v/>
      </c>
      <c r="E325" s="3"/>
      <c r="F325" s="3"/>
      <c r="G325" s="3"/>
      <c r="H325" s="3"/>
      <c r="I325" s="3"/>
      <c r="J325" s="3"/>
      <c r="K325" s="3"/>
      <c r="L325" s="3"/>
      <c r="M325" s="3"/>
      <c r="N325" s="3"/>
      <c r="O325" s="3"/>
    </row>
    <row r="326">
      <c r="A326" s="3" t="b">
        <f>IFERROR(__xludf.DUMMYFUNCTION("""COMPUTED_VALUE"""),FALSE)</f>
        <v>0</v>
      </c>
      <c r="B326" s="3" t="str">
        <f>IFERROR(__xludf.DUMMYFUNCTION("""COMPUTED_VALUE"""),"")</f>
        <v/>
      </c>
      <c r="C326" s="3"/>
      <c r="D326" s="3" t="str">
        <f>IFERROR(__xludf.DUMMYFUNCTION("""COMPUTED_VALUE"""),"")</f>
        <v/>
      </c>
      <c r="E326" s="3"/>
      <c r="F326" s="3"/>
      <c r="G326" s="3"/>
      <c r="H326" s="3"/>
      <c r="I326" s="3"/>
      <c r="J326" s="3"/>
      <c r="K326" s="3"/>
      <c r="L326" s="3"/>
      <c r="M326" s="3"/>
      <c r="N326" s="3"/>
      <c r="O326" s="3"/>
    </row>
    <row r="327">
      <c r="A327" s="3" t="b">
        <f>IFERROR(__xludf.DUMMYFUNCTION("""COMPUTED_VALUE"""),FALSE)</f>
        <v>0</v>
      </c>
      <c r="B327" s="3" t="str">
        <f>IFERROR(__xludf.DUMMYFUNCTION("""COMPUTED_VALUE"""),"")</f>
        <v/>
      </c>
      <c r="C327" s="3"/>
      <c r="D327" s="3" t="str">
        <f>IFERROR(__xludf.DUMMYFUNCTION("""COMPUTED_VALUE"""),"")</f>
        <v/>
      </c>
      <c r="E327" s="3"/>
      <c r="F327" s="3"/>
      <c r="G327" s="3"/>
      <c r="H327" s="3"/>
      <c r="I327" s="3"/>
      <c r="J327" s="3"/>
      <c r="K327" s="3"/>
      <c r="L327" s="3"/>
      <c r="M327" s="3"/>
      <c r="N327" s="3"/>
      <c r="O327" s="3"/>
    </row>
    <row r="328">
      <c r="A328" s="3" t="b">
        <f>IFERROR(__xludf.DUMMYFUNCTION("""COMPUTED_VALUE"""),FALSE)</f>
        <v>0</v>
      </c>
      <c r="B328" s="3" t="str">
        <f>IFERROR(__xludf.DUMMYFUNCTION("""COMPUTED_VALUE"""),"")</f>
        <v/>
      </c>
      <c r="C328" s="3"/>
      <c r="D328" s="3" t="str">
        <f>IFERROR(__xludf.DUMMYFUNCTION("""COMPUTED_VALUE"""),"")</f>
        <v/>
      </c>
      <c r="E328" s="3"/>
      <c r="F328" s="3"/>
      <c r="G328" s="3"/>
      <c r="H328" s="3"/>
      <c r="I328" s="3"/>
      <c r="J328" s="3"/>
      <c r="K328" s="3"/>
      <c r="L328" s="3"/>
      <c r="M328" s="3"/>
      <c r="N328" s="3"/>
      <c r="O328" s="3"/>
    </row>
    <row r="329">
      <c r="A329" s="3" t="b">
        <f>IFERROR(__xludf.DUMMYFUNCTION("""COMPUTED_VALUE"""),FALSE)</f>
        <v>0</v>
      </c>
      <c r="B329" s="3" t="str">
        <f>IFERROR(__xludf.DUMMYFUNCTION("""COMPUTED_VALUE"""),"")</f>
        <v/>
      </c>
      <c r="C329" s="3"/>
      <c r="D329" s="3" t="str">
        <f>IFERROR(__xludf.DUMMYFUNCTION("""COMPUTED_VALUE"""),"")</f>
        <v/>
      </c>
      <c r="E329" s="3"/>
      <c r="F329" s="3"/>
      <c r="G329" s="3"/>
      <c r="H329" s="3"/>
      <c r="I329" s="3"/>
      <c r="J329" s="3"/>
      <c r="K329" s="3"/>
      <c r="L329" s="3"/>
      <c r="M329" s="3"/>
      <c r="N329" s="3"/>
      <c r="O329" s="3"/>
    </row>
    <row r="330">
      <c r="A330" s="3" t="b">
        <f>IFERROR(__xludf.DUMMYFUNCTION("""COMPUTED_VALUE"""),FALSE)</f>
        <v>0</v>
      </c>
      <c r="B330" s="3" t="str">
        <f>IFERROR(__xludf.DUMMYFUNCTION("""COMPUTED_VALUE"""),"")</f>
        <v/>
      </c>
      <c r="C330" s="3"/>
      <c r="D330" s="3" t="str">
        <f>IFERROR(__xludf.DUMMYFUNCTION("""COMPUTED_VALUE"""),"")</f>
        <v/>
      </c>
      <c r="E330" s="3"/>
      <c r="F330" s="3"/>
      <c r="G330" s="3"/>
      <c r="H330" s="3"/>
      <c r="I330" s="3"/>
      <c r="J330" s="3"/>
      <c r="K330" s="3"/>
      <c r="L330" s="3"/>
      <c r="M330" s="3"/>
      <c r="N330" s="3"/>
      <c r="O330" s="3"/>
    </row>
    <row r="331">
      <c r="A331" s="3" t="b">
        <f>IFERROR(__xludf.DUMMYFUNCTION("""COMPUTED_VALUE"""),FALSE)</f>
        <v>0</v>
      </c>
      <c r="B331" s="3" t="str">
        <f>IFERROR(__xludf.DUMMYFUNCTION("""COMPUTED_VALUE"""),"")</f>
        <v/>
      </c>
      <c r="C331" s="3"/>
      <c r="D331" s="3" t="str">
        <f>IFERROR(__xludf.DUMMYFUNCTION("""COMPUTED_VALUE"""),"")</f>
        <v/>
      </c>
      <c r="E331" s="3"/>
      <c r="F331" s="3"/>
      <c r="G331" s="3"/>
      <c r="H331" s="3"/>
      <c r="I331" s="3"/>
      <c r="J331" s="3"/>
      <c r="K331" s="3"/>
      <c r="L331" s="3"/>
      <c r="M331" s="3"/>
      <c r="N331" s="3"/>
      <c r="O331" s="3"/>
    </row>
    <row r="332">
      <c r="A332" s="3" t="b">
        <f>IFERROR(__xludf.DUMMYFUNCTION("""COMPUTED_VALUE"""),FALSE)</f>
        <v>0</v>
      </c>
      <c r="B332" s="3" t="str">
        <f>IFERROR(__xludf.DUMMYFUNCTION("""COMPUTED_VALUE"""),"")</f>
        <v/>
      </c>
      <c r="C332" s="3"/>
      <c r="D332" s="3" t="str">
        <f>IFERROR(__xludf.DUMMYFUNCTION("""COMPUTED_VALUE"""),"")</f>
        <v/>
      </c>
      <c r="E332" s="3"/>
      <c r="F332" s="3"/>
      <c r="G332" s="3"/>
      <c r="H332" s="3"/>
      <c r="I332" s="3"/>
      <c r="J332" s="3"/>
      <c r="K332" s="3"/>
      <c r="L332" s="3"/>
      <c r="M332" s="3"/>
      <c r="N332" s="3"/>
      <c r="O332" s="3"/>
    </row>
    <row r="333">
      <c r="A333" s="3" t="b">
        <f>IFERROR(__xludf.DUMMYFUNCTION("""COMPUTED_VALUE"""),FALSE)</f>
        <v>0</v>
      </c>
      <c r="B333" s="3" t="str">
        <f>IFERROR(__xludf.DUMMYFUNCTION("""COMPUTED_VALUE"""),"")</f>
        <v/>
      </c>
      <c r="C333" s="3"/>
      <c r="D333" s="3" t="str">
        <f>IFERROR(__xludf.DUMMYFUNCTION("""COMPUTED_VALUE"""),"")</f>
        <v/>
      </c>
      <c r="E333" s="3"/>
      <c r="F333" s="3"/>
      <c r="G333" s="3"/>
      <c r="H333" s="3"/>
      <c r="I333" s="3"/>
      <c r="J333" s="3"/>
      <c r="K333" s="3"/>
      <c r="L333" s="3"/>
      <c r="M333" s="3"/>
      <c r="N333" s="3"/>
      <c r="O333" s="3"/>
    </row>
    <row r="334">
      <c r="A334" s="3" t="b">
        <f>IFERROR(__xludf.DUMMYFUNCTION("""COMPUTED_VALUE"""),FALSE)</f>
        <v>0</v>
      </c>
      <c r="B334" s="3" t="str">
        <f>IFERROR(__xludf.DUMMYFUNCTION("""COMPUTED_VALUE"""),"")</f>
        <v/>
      </c>
      <c r="C334" s="3"/>
      <c r="D334" s="3" t="str">
        <f>IFERROR(__xludf.DUMMYFUNCTION("""COMPUTED_VALUE"""),"")</f>
        <v/>
      </c>
      <c r="E334" s="3"/>
      <c r="F334" s="3"/>
      <c r="G334" s="3"/>
      <c r="H334" s="3"/>
      <c r="I334" s="3"/>
      <c r="J334" s="3"/>
      <c r="K334" s="3"/>
      <c r="L334" s="3"/>
      <c r="M334" s="3"/>
      <c r="N334" s="3"/>
      <c r="O334" s="3"/>
    </row>
    <row r="335">
      <c r="A335" s="3" t="b">
        <f>IFERROR(__xludf.DUMMYFUNCTION("""COMPUTED_VALUE"""),FALSE)</f>
        <v>0</v>
      </c>
      <c r="B335" s="3" t="str">
        <f>IFERROR(__xludf.DUMMYFUNCTION("""COMPUTED_VALUE"""),"")</f>
        <v/>
      </c>
      <c r="C335" s="3"/>
      <c r="D335" s="3" t="str">
        <f>IFERROR(__xludf.DUMMYFUNCTION("""COMPUTED_VALUE"""),"")</f>
        <v/>
      </c>
      <c r="E335" s="3"/>
      <c r="F335" s="3"/>
      <c r="G335" s="3"/>
      <c r="H335" s="3"/>
      <c r="I335" s="3"/>
      <c r="J335" s="3"/>
      <c r="K335" s="3"/>
      <c r="L335" s="3"/>
      <c r="M335" s="3"/>
      <c r="N335" s="3"/>
      <c r="O335" s="3"/>
    </row>
    <row r="336">
      <c r="A336" s="3" t="b">
        <f>IFERROR(__xludf.DUMMYFUNCTION("""COMPUTED_VALUE"""),FALSE)</f>
        <v>0</v>
      </c>
      <c r="B336" s="3" t="str">
        <f>IFERROR(__xludf.DUMMYFUNCTION("""COMPUTED_VALUE"""),"")</f>
        <v/>
      </c>
      <c r="C336" s="3"/>
      <c r="D336" s="3" t="str">
        <f>IFERROR(__xludf.DUMMYFUNCTION("""COMPUTED_VALUE"""),"")</f>
        <v/>
      </c>
      <c r="E336" s="3"/>
      <c r="F336" s="3"/>
      <c r="G336" s="3"/>
      <c r="H336" s="3"/>
      <c r="I336" s="3"/>
      <c r="J336" s="3"/>
      <c r="K336" s="3"/>
      <c r="L336" s="3"/>
      <c r="M336" s="3"/>
      <c r="N336" s="3"/>
      <c r="O336" s="3"/>
    </row>
    <row r="337">
      <c r="A337" s="3" t="b">
        <f>IFERROR(__xludf.DUMMYFUNCTION("""COMPUTED_VALUE"""),FALSE)</f>
        <v>0</v>
      </c>
      <c r="B337" s="3" t="str">
        <f>IFERROR(__xludf.DUMMYFUNCTION("""COMPUTED_VALUE"""),"")</f>
        <v/>
      </c>
      <c r="C337" s="3"/>
      <c r="D337" s="3" t="str">
        <f>IFERROR(__xludf.DUMMYFUNCTION("""COMPUTED_VALUE"""),"")</f>
        <v/>
      </c>
      <c r="E337" s="3"/>
      <c r="F337" s="3"/>
      <c r="G337" s="3"/>
      <c r="H337" s="3"/>
      <c r="I337" s="3"/>
      <c r="J337" s="3"/>
      <c r="K337" s="3"/>
      <c r="L337" s="3"/>
      <c r="M337" s="3"/>
      <c r="N337" s="3"/>
      <c r="O337" s="3"/>
    </row>
    <row r="338">
      <c r="A338" s="3" t="b">
        <f>IFERROR(__xludf.DUMMYFUNCTION("""COMPUTED_VALUE"""),FALSE)</f>
        <v>0</v>
      </c>
      <c r="B338" s="3" t="str">
        <f>IFERROR(__xludf.DUMMYFUNCTION("""COMPUTED_VALUE"""),"")</f>
        <v/>
      </c>
      <c r="C338" s="3"/>
      <c r="D338" s="3" t="str">
        <f>IFERROR(__xludf.DUMMYFUNCTION("""COMPUTED_VALUE"""),"")</f>
        <v/>
      </c>
      <c r="E338" s="3"/>
      <c r="F338" s="3"/>
      <c r="G338" s="3"/>
      <c r="H338" s="3"/>
      <c r="I338" s="3"/>
      <c r="J338" s="3"/>
      <c r="K338" s="3"/>
      <c r="L338" s="3"/>
      <c r="M338" s="3"/>
      <c r="N338" s="3"/>
      <c r="O338" s="3"/>
    </row>
    <row r="339">
      <c r="A339" s="3" t="b">
        <f>IFERROR(__xludf.DUMMYFUNCTION("""COMPUTED_VALUE"""),FALSE)</f>
        <v>0</v>
      </c>
      <c r="B339" s="3" t="str">
        <f>IFERROR(__xludf.DUMMYFUNCTION("""COMPUTED_VALUE"""),"")</f>
        <v/>
      </c>
      <c r="C339" s="3"/>
      <c r="D339" s="3" t="str">
        <f>IFERROR(__xludf.DUMMYFUNCTION("""COMPUTED_VALUE"""),"")</f>
        <v/>
      </c>
      <c r="E339" s="3"/>
      <c r="F339" s="3"/>
      <c r="G339" s="3"/>
      <c r="H339" s="3"/>
      <c r="I339" s="3"/>
      <c r="J339" s="3"/>
      <c r="K339" s="3"/>
      <c r="L339" s="3"/>
      <c r="M339" s="3"/>
      <c r="N339" s="3"/>
      <c r="O339" s="3"/>
    </row>
    <row r="340">
      <c r="A340" s="3" t="b">
        <f>IFERROR(__xludf.DUMMYFUNCTION("""COMPUTED_VALUE"""),FALSE)</f>
        <v>0</v>
      </c>
      <c r="B340" s="3" t="str">
        <f>IFERROR(__xludf.DUMMYFUNCTION("""COMPUTED_VALUE"""),"")</f>
        <v/>
      </c>
      <c r="C340" s="3"/>
      <c r="D340" s="3" t="str">
        <f>IFERROR(__xludf.DUMMYFUNCTION("""COMPUTED_VALUE"""),"")</f>
        <v/>
      </c>
      <c r="E340" s="3"/>
      <c r="F340" s="3"/>
      <c r="G340" s="3"/>
      <c r="H340" s="3"/>
      <c r="I340" s="3"/>
      <c r="J340" s="3"/>
      <c r="K340" s="3"/>
      <c r="L340" s="3"/>
      <c r="M340" s="3"/>
      <c r="N340" s="3"/>
      <c r="O340" s="3"/>
    </row>
    <row r="341">
      <c r="A341" s="3" t="b">
        <f>IFERROR(__xludf.DUMMYFUNCTION("""COMPUTED_VALUE"""),FALSE)</f>
        <v>0</v>
      </c>
      <c r="B341" s="3" t="str">
        <f>IFERROR(__xludf.DUMMYFUNCTION("""COMPUTED_VALUE"""),"")</f>
        <v/>
      </c>
      <c r="C341" s="3"/>
      <c r="D341" s="3" t="str">
        <f>IFERROR(__xludf.DUMMYFUNCTION("""COMPUTED_VALUE"""),"")</f>
        <v/>
      </c>
      <c r="E341" s="3"/>
      <c r="F341" s="3"/>
      <c r="G341" s="3"/>
      <c r="H341" s="3"/>
      <c r="I341" s="3"/>
      <c r="J341" s="3"/>
      <c r="K341" s="3"/>
      <c r="L341" s="3"/>
      <c r="M341" s="3"/>
      <c r="N341" s="3"/>
      <c r="O341" s="3"/>
    </row>
    <row r="342">
      <c r="A342" s="3" t="b">
        <f>IFERROR(__xludf.DUMMYFUNCTION("""COMPUTED_VALUE"""),FALSE)</f>
        <v>0</v>
      </c>
      <c r="B342" s="3" t="str">
        <f>IFERROR(__xludf.DUMMYFUNCTION("""COMPUTED_VALUE"""),"")</f>
        <v/>
      </c>
      <c r="C342" s="3"/>
      <c r="D342" s="3" t="str">
        <f>IFERROR(__xludf.DUMMYFUNCTION("""COMPUTED_VALUE"""),"")</f>
        <v/>
      </c>
      <c r="E342" s="3"/>
      <c r="F342" s="3"/>
      <c r="G342" s="3"/>
      <c r="H342" s="3"/>
      <c r="I342" s="3"/>
      <c r="J342" s="3"/>
      <c r="K342" s="3"/>
      <c r="L342" s="3"/>
      <c r="M342" s="3"/>
      <c r="N342" s="3"/>
      <c r="O342" s="3"/>
    </row>
    <row r="343">
      <c r="A343" s="3" t="b">
        <f>IFERROR(__xludf.DUMMYFUNCTION("""COMPUTED_VALUE"""),FALSE)</f>
        <v>0</v>
      </c>
      <c r="B343" s="3" t="str">
        <f>IFERROR(__xludf.DUMMYFUNCTION("""COMPUTED_VALUE"""),"")</f>
        <v/>
      </c>
      <c r="C343" s="3"/>
      <c r="D343" s="3" t="str">
        <f>IFERROR(__xludf.DUMMYFUNCTION("""COMPUTED_VALUE"""),"")</f>
        <v/>
      </c>
      <c r="E343" s="3"/>
      <c r="F343" s="3"/>
      <c r="G343" s="3"/>
      <c r="H343" s="3"/>
      <c r="I343" s="3"/>
      <c r="J343" s="3"/>
      <c r="K343" s="3"/>
      <c r="L343" s="3"/>
      <c r="M343" s="3"/>
      <c r="N343" s="3"/>
      <c r="O343" s="3"/>
    </row>
    <row r="344">
      <c r="A344" s="3" t="b">
        <f>IFERROR(__xludf.DUMMYFUNCTION("""COMPUTED_VALUE"""),FALSE)</f>
        <v>0</v>
      </c>
      <c r="B344" s="3" t="str">
        <f>IFERROR(__xludf.DUMMYFUNCTION("""COMPUTED_VALUE"""),"")</f>
        <v/>
      </c>
      <c r="C344" s="3"/>
      <c r="D344" s="3" t="str">
        <f>IFERROR(__xludf.DUMMYFUNCTION("""COMPUTED_VALUE"""),"")</f>
        <v/>
      </c>
      <c r="E344" s="3"/>
      <c r="F344" s="3"/>
      <c r="G344" s="3"/>
      <c r="H344" s="3"/>
      <c r="I344" s="3"/>
      <c r="J344" s="3"/>
      <c r="K344" s="3"/>
      <c r="L344" s="3"/>
      <c r="M344" s="3"/>
      <c r="N344" s="3"/>
      <c r="O344" s="3"/>
    </row>
    <row r="345">
      <c r="A345" s="3" t="b">
        <f>IFERROR(__xludf.DUMMYFUNCTION("""COMPUTED_VALUE"""),FALSE)</f>
        <v>0</v>
      </c>
      <c r="B345" s="3" t="str">
        <f>IFERROR(__xludf.DUMMYFUNCTION("""COMPUTED_VALUE"""),"")</f>
        <v/>
      </c>
      <c r="C345" s="3"/>
      <c r="D345" s="3" t="str">
        <f>IFERROR(__xludf.DUMMYFUNCTION("""COMPUTED_VALUE"""),"")</f>
        <v/>
      </c>
      <c r="E345" s="3"/>
      <c r="F345" s="3"/>
      <c r="G345" s="3"/>
      <c r="H345" s="3"/>
      <c r="I345" s="3"/>
      <c r="J345" s="3"/>
      <c r="K345" s="3"/>
      <c r="L345" s="3"/>
      <c r="M345" s="3"/>
      <c r="N345" s="3"/>
      <c r="O345" s="3"/>
    </row>
    <row r="346">
      <c r="A346" s="3" t="b">
        <f>IFERROR(__xludf.DUMMYFUNCTION("""COMPUTED_VALUE"""),FALSE)</f>
        <v>0</v>
      </c>
      <c r="B346" s="3" t="str">
        <f>IFERROR(__xludf.DUMMYFUNCTION("""COMPUTED_VALUE"""),"")</f>
        <v/>
      </c>
      <c r="C346" s="3"/>
      <c r="D346" s="3" t="str">
        <f>IFERROR(__xludf.DUMMYFUNCTION("""COMPUTED_VALUE"""),"")</f>
        <v/>
      </c>
      <c r="E346" s="3"/>
      <c r="F346" s="3"/>
      <c r="G346" s="3"/>
      <c r="H346" s="3"/>
      <c r="I346" s="3"/>
      <c r="J346" s="3"/>
      <c r="K346" s="3"/>
      <c r="L346" s="3"/>
      <c r="M346" s="3"/>
      <c r="N346" s="3"/>
      <c r="O346" s="3"/>
    </row>
    <row r="347">
      <c r="A347" s="3" t="b">
        <f>IFERROR(__xludf.DUMMYFUNCTION("""COMPUTED_VALUE"""),FALSE)</f>
        <v>0</v>
      </c>
      <c r="B347" s="3" t="str">
        <f>IFERROR(__xludf.DUMMYFUNCTION("""COMPUTED_VALUE"""),"")</f>
        <v/>
      </c>
      <c r="C347" s="3"/>
      <c r="D347" s="3" t="str">
        <f>IFERROR(__xludf.DUMMYFUNCTION("""COMPUTED_VALUE"""),"")</f>
        <v/>
      </c>
      <c r="E347" s="3"/>
      <c r="F347" s="3"/>
      <c r="G347" s="3"/>
      <c r="H347" s="3"/>
      <c r="I347" s="3"/>
      <c r="J347" s="3"/>
      <c r="K347" s="3"/>
      <c r="L347" s="3"/>
      <c r="M347" s="3"/>
      <c r="N347" s="3"/>
      <c r="O347" s="3"/>
    </row>
    <row r="348">
      <c r="A348" s="3" t="b">
        <f>IFERROR(__xludf.DUMMYFUNCTION("""COMPUTED_VALUE"""),FALSE)</f>
        <v>0</v>
      </c>
      <c r="B348" s="3" t="str">
        <f>IFERROR(__xludf.DUMMYFUNCTION("""COMPUTED_VALUE"""),"")</f>
        <v/>
      </c>
      <c r="C348" s="3"/>
      <c r="D348" s="3" t="str">
        <f>IFERROR(__xludf.DUMMYFUNCTION("""COMPUTED_VALUE"""),"")</f>
        <v/>
      </c>
      <c r="E348" s="3"/>
      <c r="F348" s="3"/>
      <c r="G348" s="3"/>
      <c r="H348" s="3"/>
      <c r="I348" s="3"/>
      <c r="J348" s="3"/>
      <c r="K348" s="3"/>
      <c r="L348" s="3"/>
      <c r="M348" s="3"/>
      <c r="N348" s="3"/>
      <c r="O348" s="3"/>
    </row>
    <row r="349">
      <c r="A349" s="3" t="b">
        <f>IFERROR(__xludf.DUMMYFUNCTION("""COMPUTED_VALUE"""),FALSE)</f>
        <v>0</v>
      </c>
      <c r="B349" s="3" t="str">
        <f>IFERROR(__xludf.DUMMYFUNCTION("""COMPUTED_VALUE"""),"")</f>
        <v/>
      </c>
      <c r="C349" s="3"/>
      <c r="D349" s="3" t="str">
        <f>IFERROR(__xludf.DUMMYFUNCTION("""COMPUTED_VALUE"""),"")</f>
        <v/>
      </c>
      <c r="E349" s="3"/>
      <c r="F349" s="3"/>
      <c r="G349" s="3"/>
      <c r="H349" s="3"/>
      <c r="I349" s="3"/>
      <c r="J349" s="3"/>
      <c r="K349" s="3"/>
      <c r="L349" s="3"/>
      <c r="M349" s="3"/>
      <c r="N349" s="3"/>
      <c r="O349" s="3"/>
    </row>
    <row r="350">
      <c r="A350" s="3" t="b">
        <f>IFERROR(__xludf.DUMMYFUNCTION("""COMPUTED_VALUE"""),FALSE)</f>
        <v>0</v>
      </c>
      <c r="B350" s="3" t="str">
        <f>IFERROR(__xludf.DUMMYFUNCTION("""COMPUTED_VALUE"""),"")</f>
        <v/>
      </c>
      <c r="C350" s="3"/>
      <c r="D350" s="3" t="str">
        <f>IFERROR(__xludf.DUMMYFUNCTION("""COMPUTED_VALUE"""),"")</f>
        <v/>
      </c>
      <c r="E350" s="3"/>
      <c r="F350" s="3"/>
      <c r="G350" s="3"/>
      <c r="H350" s="3"/>
      <c r="I350" s="3"/>
      <c r="J350" s="3"/>
      <c r="K350" s="3"/>
      <c r="L350" s="3"/>
      <c r="M350" s="3"/>
      <c r="N350" s="3"/>
      <c r="O350" s="3"/>
    </row>
    <row r="351">
      <c r="A351" s="3" t="b">
        <f>IFERROR(__xludf.DUMMYFUNCTION("""COMPUTED_VALUE"""),FALSE)</f>
        <v>0</v>
      </c>
      <c r="B351" s="3" t="str">
        <f>IFERROR(__xludf.DUMMYFUNCTION("""COMPUTED_VALUE"""),"")</f>
        <v/>
      </c>
      <c r="C351" s="3"/>
      <c r="D351" s="3" t="str">
        <f>IFERROR(__xludf.DUMMYFUNCTION("""COMPUTED_VALUE"""),"")</f>
        <v/>
      </c>
      <c r="E351" s="3"/>
      <c r="F351" s="3"/>
      <c r="G351" s="3"/>
      <c r="H351" s="3"/>
      <c r="I351" s="3"/>
      <c r="J351" s="3"/>
      <c r="K351" s="3"/>
      <c r="L351" s="3"/>
      <c r="M351" s="3"/>
      <c r="N351" s="3"/>
      <c r="O351" s="3"/>
    </row>
    <row r="352">
      <c r="A352" s="3" t="b">
        <f>IFERROR(__xludf.DUMMYFUNCTION("""COMPUTED_VALUE"""),FALSE)</f>
        <v>0</v>
      </c>
      <c r="B352" s="3" t="str">
        <f>IFERROR(__xludf.DUMMYFUNCTION("""COMPUTED_VALUE"""),"")</f>
        <v/>
      </c>
      <c r="C352" s="3"/>
      <c r="D352" s="3" t="str">
        <f>IFERROR(__xludf.DUMMYFUNCTION("""COMPUTED_VALUE"""),"")</f>
        <v/>
      </c>
      <c r="E352" s="3"/>
      <c r="F352" s="3"/>
      <c r="G352" s="3"/>
      <c r="H352" s="3"/>
      <c r="I352" s="3"/>
      <c r="J352" s="3"/>
      <c r="K352" s="3"/>
      <c r="L352" s="3"/>
      <c r="M352" s="3"/>
      <c r="N352" s="3"/>
      <c r="O352" s="3"/>
    </row>
    <row r="353">
      <c r="A353" s="3" t="b">
        <f>IFERROR(__xludf.DUMMYFUNCTION("""COMPUTED_VALUE"""),FALSE)</f>
        <v>0</v>
      </c>
      <c r="B353" s="3" t="str">
        <f>IFERROR(__xludf.DUMMYFUNCTION("""COMPUTED_VALUE"""),"")</f>
        <v/>
      </c>
      <c r="C353" s="3"/>
      <c r="D353" s="3" t="str">
        <f>IFERROR(__xludf.DUMMYFUNCTION("""COMPUTED_VALUE"""),"")</f>
        <v/>
      </c>
      <c r="E353" s="3"/>
      <c r="F353" s="3"/>
      <c r="G353" s="3"/>
      <c r="H353" s="3"/>
      <c r="I353" s="3"/>
      <c r="J353" s="3"/>
      <c r="K353" s="3"/>
      <c r="L353" s="3"/>
      <c r="M353" s="3"/>
      <c r="N353" s="3"/>
      <c r="O353" s="3"/>
    </row>
    <row r="354">
      <c r="A354" s="3" t="b">
        <f>IFERROR(__xludf.DUMMYFUNCTION("""COMPUTED_VALUE"""),FALSE)</f>
        <v>0</v>
      </c>
      <c r="B354" s="3" t="str">
        <f>IFERROR(__xludf.DUMMYFUNCTION("""COMPUTED_VALUE"""),"")</f>
        <v/>
      </c>
      <c r="C354" s="3"/>
      <c r="D354" s="3" t="str">
        <f>IFERROR(__xludf.DUMMYFUNCTION("""COMPUTED_VALUE"""),"")</f>
        <v/>
      </c>
      <c r="E354" s="3"/>
      <c r="F354" s="3"/>
      <c r="G354" s="3"/>
      <c r="H354" s="3"/>
      <c r="I354" s="3"/>
      <c r="J354" s="3"/>
      <c r="K354" s="3"/>
      <c r="L354" s="3"/>
      <c r="M354" s="3"/>
      <c r="N354" s="3"/>
      <c r="O354" s="3"/>
    </row>
    <row r="355">
      <c r="A355" s="3" t="b">
        <f>IFERROR(__xludf.DUMMYFUNCTION("""COMPUTED_VALUE"""),FALSE)</f>
        <v>0</v>
      </c>
      <c r="B355" s="3" t="str">
        <f>IFERROR(__xludf.DUMMYFUNCTION("""COMPUTED_VALUE"""),"")</f>
        <v/>
      </c>
      <c r="C355" s="3"/>
      <c r="D355" s="3" t="str">
        <f>IFERROR(__xludf.DUMMYFUNCTION("""COMPUTED_VALUE"""),"")</f>
        <v/>
      </c>
      <c r="E355" s="3"/>
      <c r="F355" s="3"/>
      <c r="G355" s="3"/>
      <c r="H355" s="3"/>
      <c r="I355" s="3"/>
      <c r="J355" s="3"/>
      <c r="K355" s="3"/>
      <c r="L355" s="3"/>
      <c r="M355" s="3"/>
      <c r="N355" s="3"/>
      <c r="O355" s="3"/>
    </row>
    <row r="356">
      <c r="A356" s="3" t="b">
        <f>IFERROR(__xludf.DUMMYFUNCTION("""COMPUTED_VALUE"""),FALSE)</f>
        <v>0</v>
      </c>
      <c r="B356" s="3" t="str">
        <f>IFERROR(__xludf.DUMMYFUNCTION("""COMPUTED_VALUE"""),"")</f>
        <v/>
      </c>
      <c r="C356" s="3"/>
      <c r="D356" s="3" t="str">
        <f>IFERROR(__xludf.DUMMYFUNCTION("""COMPUTED_VALUE"""),"")</f>
        <v/>
      </c>
      <c r="E356" s="3"/>
      <c r="F356" s="3"/>
      <c r="G356" s="3"/>
      <c r="H356" s="3"/>
      <c r="I356" s="3"/>
      <c r="J356" s="3"/>
      <c r="K356" s="3"/>
      <c r="L356" s="3"/>
      <c r="M356" s="3"/>
      <c r="N356" s="3"/>
      <c r="O356" s="3"/>
    </row>
    <row r="357">
      <c r="A357" s="3" t="b">
        <f>IFERROR(__xludf.DUMMYFUNCTION("""COMPUTED_VALUE"""),FALSE)</f>
        <v>0</v>
      </c>
      <c r="B357" s="3" t="str">
        <f>IFERROR(__xludf.DUMMYFUNCTION("""COMPUTED_VALUE"""),"")</f>
        <v/>
      </c>
      <c r="C357" s="3"/>
      <c r="D357" s="3" t="str">
        <f>IFERROR(__xludf.DUMMYFUNCTION("""COMPUTED_VALUE"""),"")</f>
        <v/>
      </c>
      <c r="E357" s="3"/>
      <c r="F357" s="3"/>
      <c r="G357" s="3"/>
      <c r="H357" s="3"/>
      <c r="I357" s="3"/>
      <c r="J357" s="3"/>
      <c r="K357" s="3"/>
      <c r="L357" s="3"/>
      <c r="M357" s="3"/>
      <c r="N357" s="3"/>
      <c r="O357" s="3"/>
    </row>
    <row r="358">
      <c r="A358" s="3" t="b">
        <f>IFERROR(__xludf.DUMMYFUNCTION("""COMPUTED_VALUE"""),FALSE)</f>
        <v>0</v>
      </c>
      <c r="B358" s="3" t="str">
        <f>IFERROR(__xludf.DUMMYFUNCTION("""COMPUTED_VALUE"""),"")</f>
        <v/>
      </c>
      <c r="C358" s="3"/>
      <c r="D358" s="3" t="str">
        <f>IFERROR(__xludf.DUMMYFUNCTION("""COMPUTED_VALUE"""),"")</f>
        <v/>
      </c>
      <c r="E358" s="3"/>
      <c r="F358" s="3"/>
      <c r="G358" s="3"/>
      <c r="H358" s="3"/>
      <c r="I358" s="3"/>
      <c r="J358" s="3"/>
      <c r="K358" s="3"/>
      <c r="L358" s="3"/>
      <c r="M358" s="3"/>
      <c r="N358" s="3"/>
      <c r="O358" s="3"/>
    </row>
    <row r="359">
      <c r="A359" s="3" t="b">
        <f>IFERROR(__xludf.DUMMYFUNCTION("""COMPUTED_VALUE"""),FALSE)</f>
        <v>0</v>
      </c>
      <c r="B359" s="3" t="str">
        <f>IFERROR(__xludf.DUMMYFUNCTION("""COMPUTED_VALUE"""),"")</f>
        <v/>
      </c>
      <c r="C359" s="3"/>
      <c r="D359" s="3" t="str">
        <f>IFERROR(__xludf.DUMMYFUNCTION("""COMPUTED_VALUE"""),"")</f>
        <v/>
      </c>
      <c r="E359" s="3"/>
      <c r="F359" s="3"/>
      <c r="G359" s="3"/>
      <c r="H359" s="3"/>
      <c r="I359" s="3"/>
      <c r="J359" s="3"/>
      <c r="K359" s="3"/>
      <c r="L359" s="3"/>
      <c r="M359" s="3"/>
      <c r="N359" s="3"/>
      <c r="O359" s="3"/>
    </row>
    <row r="360">
      <c r="A360" s="3" t="b">
        <f>IFERROR(__xludf.DUMMYFUNCTION("""COMPUTED_VALUE"""),FALSE)</f>
        <v>0</v>
      </c>
      <c r="B360" s="3" t="str">
        <f>IFERROR(__xludf.DUMMYFUNCTION("""COMPUTED_VALUE"""),"")</f>
        <v/>
      </c>
      <c r="C360" s="3"/>
      <c r="D360" s="3" t="str">
        <f>IFERROR(__xludf.DUMMYFUNCTION("""COMPUTED_VALUE"""),"")</f>
        <v/>
      </c>
      <c r="E360" s="3"/>
      <c r="F360" s="3"/>
      <c r="G360" s="3"/>
      <c r="H360" s="3"/>
      <c r="I360" s="3"/>
      <c r="J360" s="3"/>
      <c r="K360" s="3"/>
      <c r="L360" s="3"/>
      <c r="M360" s="3"/>
      <c r="N360" s="3"/>
      <c r="O360" s="3"/>
    </row>
    <row r="361">
      <c r="A361" s="3" t="b">
        <f>IFERROR(__xludf.DUMMYFUNCTION("""COMPUTED_VALUE"""),FALSE)</f>
        <v>0</v>
      </c>
      <c r="B361" s="3" t="str">
        <f>IFERROR(__xludf.DUMMYFUNCTION("""COMPUTED_VALUE"""),"")</f>
        <v/>
      </c>
      <c r="C361" s="3"/>
      <c r="D361" s="3" t="str">
        <f>IFERROR(__xludf.DUMMYFUNCTION("""COMPUTED_VALUE"""),"")</f>
        <v/>
      </c>
      <c r="E361" s="3"/>
      <c r="F361" s="3"/>
      <c r="G361" s="3"/>
      <c r="H361" s="3"/>
      <c r="I361" s="3"/>
      <c r="J361" s="3"/>
      <c r="K361" s="3"/>
      <c r="L361" s="3"/>
      <c r="M361" s="3"/>
      <c r="N361" s="3"/>
      <c r="O361" s="3"/>
    </row>
    <row r="362">
      <c r="A362" s="3" t="b">
        <f>IFERROR(__xludf.DUMMYFUNCTION("""COMPUTED_VALUE"""),FALSE)</f>
        <v>0</v>
      </c>
      <c r="B362" s="3" t="str">
        <f>IFERROR(__xludf.DUMMYFUNCTION("""COMPUTED_VALUE"""),"")</f>
        <v/>
      </c>
      <c r="C362" s="3"/>
      <c r="D362" s="3" t="str">
        <f>IFERROR(__xludf.DUMMYFUNCTION("""COMPUTED_VALUE"""),"")</f>
        <v/>
      </c>
      <c r="E362" s="3"/>
      <c r="F362" s="3"/>
      <c r="G362" s="3"/>
      <c r="H362" s="3"/>
      <c r="I362" s="3"/>
      <c r="J362" s="3"/>
      <c r="K362" s="3"/>
      <c r="L362" s="3"/>
      <c r="M362" s="3"/>
      <c r="N362" s="3"/>
      <c r="O362" s="3"/>
    </row>
    <row r="363">
      <c r="A363" s="3" t="b">
        <f>IFERROR(__xludf.DUMMYFUNCTION("""COMPUTED_VALUE"""),FALSE)</f>
        <v>0</v>
      </c>
      <c r="B363" s="3" t="str">
        <f>IFERROR(__xludf.DUMMYFUNCTION("""COMPUTED_VALUE"""),"")</f>
        <v/>
      </c>
      <c r="C363" s="3"/>
      <c r="D363" s="3" t="str">
        <f>IFERROR(__xludf.DUMMYFUNCTION("""COMPUTED_VALUE"""),"")</f>
        <v/>
      </c>
      <c r="E363" s="3"/>
      <c r="F363" s="3"/>
      <c r="G363" s="3"/>
      <c r="H363" s="3"/>
      <c r="I363" s="3"/>
      <c r="J363" s="3"/>
      <c r="K363" s="3"/>
      <c r="L363" s="3"/>
      <c r="M363" s="3"/>
      <c r="N363" s="3"/>
      <c r="O363" s="3"/>
    </row>
    <row r="364">
      <c r="A364" s="3" t="b">
        <f>IFERROR(__xludf.DUMMYFUNCTION("""COMPUTED_VALUE"""),FALSE)</f>
        <v>0</v>
      </c>
      <c r="B364" s="3" t="str">
        <f>IFERROR(__xludf.DUMMYFUNCTION("""COMPUTED_VALUE"""),"")</f>
        <v/>
      </c>
      <c r="C364" s="3"/>
      <c r="D364" s="3" t="str">
        <f>IFERROR(__xludf.DUMMYFUNCTION("""COMPUTED_VALUE"""),"")</f>
        <v/>
      </c>
      <c r="E364" s="3"/>
      <c r="F364" s="3"/>
      <c r="G364" s="3"/>
      <c r="H364" s="3"/>
      <c r="I364" s="3"/>
      <c r="J364" s="3"/>
      <c r="K364" s="3"/>
      <c r="L364" s="3"/>
      <c r="M364" s="3"/>
      <c r="N364" s="3"/>
      <c r="O364" s="3"/>
    </row>
    <row r="365">
      <c r="A365" s="3" t="b">
        <f>IFERROR(__xludf.DUMMYFUNCTION("""COMPUTED_VALUE"""),FALSE)</f>
        <v>0</v>
      </c>
      <c r="B365" s="3" t="str">
        <f>IFERROR(__xludf.DUMMYFUNCTION("""COMPUTED_VALUE"""),"")</f>
        <v/>
      </c>
      <c r="C365" s="3"/>
      <c r="D365" s="3" t="str">
        <f>IFERROR(__xludf.DUMMYFUNCTION("""COMPUTED_VALUE"""),"")</f>
        <v/>
      </c>
      <c r="E365" s="3"/>
      <c r="F365" s="3"/>
      <c r="G365" s="3"/>
      <c r="H365" s="3"/>
      <c r="I365" s="3"/>
      <c r="J365" s="3"/>
      <c r="K365" s="3"/>
      <c r="L365" s="3"/>
      <c r="M365" s="3"/>
      <c r="N365" s="3"/>
      <c r="O365" s="3"/>
    </row>
    <row r="366">
      <c r="A366" s="3" t="b">
        <f>IFERROR(__xludf.DUMMYFUNCTION("""COMPUTED_VALUE"""),FALSE)</f>
        <v>0</v>
      </c>
      <c r="B366" s="3" t="str">
        <f>IFERROR(__xludf.DUMMYFUNCTION("""COMPUTED_VALUE"""),"")</f>
        <v/>
      </c>
      <c r="C366" s="3"/>
      <c r="D366" s="3" t="str">
        <f>IFERROR(__xludf.DUMMYFUNCTION("""COMPUTED_VALUE"""),"")</f>
        <v/>
      </c>
      <c r="E366" s="3"/>
      <c r="F366" s="3"/>
      <c r="G366" s="3"/>
      <c r="H366" s="3"/>
      <c r="I366" s="3"/>
      <c r="J366" s="3"/>
      <c r="K366" s="3"/>
      <c r="L366" s="3"/>
      <c r="M366" s="3"/>
      <c r="N366" s="3"/>
      <c r="O366" s="3"/>
    </row>
    <row r="367">
      <c r="A367" s="3" t="b">
        <f>IFERROR(__xludf.DUMMYFUNCTION("""COMPUTED_VALUE"""),FALSE)</f>
        <v>0</v>
      </c>
      <c r="B367" s="3" t="str">
        <f>IFERROR(__xludf.DUMMYFUNCTION("""COMPUTED_VALUE"""),"")</f>
        <v/>
      </c>
      <c r="C367" s="3"/>
      <c r="D367" s="3" t="str">
        <f>IFERROR(__xludf.DUMMYFUNCTION("""COMPUTED_VALUE"""),"")</f>
        <v/>
      </c>
      <c r="E367" s="3"/>
      <c r="F367" s="3"/>
      <c r="G367" s="3"/>
      <c r="H367" s="3"/>
      <c r="I367" s="3"/>
      <c r="J367" s="3"/>
      <c r="K367" s="3"/>
      <c r="L367" s="3"/>
      <c r="M367" s="3"/>
      <c r="N367" s="3"/>
      <c r="O367" s="3"/>
    </row>
    <row r="368">
      <c r="A368" s="3" t="b">
        <f>IFERROR(__xludf.DUMMYFUNCTION("""COMPUTED_VALUE"""),FALSE)</f>
        <v>0</v>
      </c>
      <c r="B368" s="3" t="str">
        <f>IFERROR(__xludf.DUMMYFUNCTION("""COMPUTED_VALUE"""),"")</f>
        <v/>
      </c>
      <c r="C368" s="3"/>
      <c r="D368" s="3" t="str">
        <f>IFERROR(__xludf.DUMMYFUNCTION("""COMPUTED_VALUE"""),"")</f>
        <v/>
      </c>
      <c r="E368" s="3"/>
      <c r="F368" s="3"/>
      <c r="G368" s="3"/>
      <c r="H368" s="3"/>
      <c r="I368" s="3"/>
      <c r="J368" s="3"/>
      <c r="K368" s="3"/>
      <c r="L368" s="3"/>
      <c r="M368" s="3"/>
      <c r="N368" s="3"/>
      <c r="O368" s="3"/>
    </row>
    <row r="369">
      <c r="A369" s="3" t="b">
        <f>IFERROR(__xludf.DUMMYFUNCTION("""COMPUTED_VALUE"""),FALSE)</f>
        <v>0</v>
      </c>
      <c r="B369" s="3" t="str">
        <f>IFERROR(__xludf.DUMMYFUNCTION("""COMPUTED_VALUE"""),"")</f>
        <v/>
      </c>
      <c r="C369" s="3"/>
      <c r="D369" s="3" t="str">
        <f>IFERROR(__xludf.DUMMYFUNCTION("""COMPUTED_VALUE"""),"")</f>
        <v/>
      </c>
      <c r="E369" s="3"/>
      <c r="F369" s="3"/>
      <c r="G369" s="3"/>
      <c r="H369" s="3"/>
      <c r="I369" s="3"/>
      <c r="J369" s="3"/>
      <c r="K369" s="3"/>
      <c r="L369" s="3"/>
      <c r="M369" s="3"/>
      <c r="N369" s="3"/>
      <c r="O369" s="3"/>
    </row>
    <row r="370">
      <c r="A370" s="3" t="b">
        <f>IFERROR(__xludf.DUMMYFUNCTION("""COMPUTED_VALUE"""),FALSE)</f>
        <v>0</v>
      </c>
      <c r="B370" s="3" t="str">
        <f>IFERROR(__xludf.DUMMYFUNCTION("""COMPUTED_VALUE"""),"")</f>
        <v/>
      </c>
      <c r="C370" s="3"/>
      <c r="D370" s="3" t="str">
        <f>IFERROR(__xludf.DUMMYFUNCTION("""COMPUTED_VALUE"""),"")</f>
        <v/>
      </c>
      <c r="E370" s="3"/>
      <c r="F370" s="3"/>
      <c r="G370" s="3"/>
      <c r="H370" s="3"/>
      <c r="I370" s="3"/>
      <c r="J370" s="3"/>
      <c r="K370" s="3"/>
      <c r="L370" s="3"/>
      <c r="M370" s="3"/>
      <c r="N370" s="3"/>
      <c r="O370" s="3"/>
    </row>
    <row r="371">
      <c r="A371" s="3" t="b">
        <f>IFERROR(__xludf.DUMMYFUNCTION("""COMPUTED_VALUE"""),FALSE)</f>
        <v>0</v>
      </c>
      <c r="B371" s="3" t="str">
        <f>IFERROR(__xludf.DUMMYFUNCTION("""COMPUTED_VALUE"""),"")</f>
        <v/>
      </c>
      <c r="C371" s="3"/>
      <c r="D371" s="3" t="str">
        <f>IFERROR(__xludf.DUMMYFUNCTION("""COMPUTED_VALUE"""),"")</f>
        <v/>
      </c>
      <c r="E371" s="3"/>
      <c r="F371" s="3"/>
      <c r="G371" s="3"/>
      <c r="H371" s="3"/>
      <c r="I371" s="3"/>
      <c r="J371" s="3"/>
      <c r="K371" s="3"/>
      <c r="L371" s="3"/>
      <c r="M371" s="3"/>
      <c r="N371" s="3"/>
      <c r="O371" s="3"/>
    </row>
    <row r="372">
      <c r="A372" s="3" t="b">
        <f>IFERROR(__xludf.DUMMYFUNCTION("""COMPUTED_VALUE"""),FALSE)</f>
        <v>0</v>
      </c>
      <c r="B372" s="3" t="str">
        <f>IFERROR(__xludf.DUMMYFUNCTION("""COMPUTED_VALUE"""),"")</f>
        <v/>
      </c>
      <c r="C372" s="3"/>
      <c r="D372" s="3" t="str">
        <f>IFERROR(__xludf.DUMMYFUNCTION("""COMPUTED_VALUE"""),"")</f>
        <v/>
      </c>
      <c r="E372" s="3"/>
      <c r="F372" s="3"/>
      <c r="G372" s="3"/>
      <c r="H372" s="3"/>
      <c r="I372" s="3"/>
      <c r="J372" s="3"/>
      <c r="K372" s="3"/>
      <c r="L372" s="3"/>
      <c r="M372" s="3"/>
      <c r="N372" s="3"/>
      <c r="O372" s="3"/>
    </row>
    <row r="373">
      <c r="A373" s="3" t="b">
        <f>IFERROR(__xludf.DUMMYFUNCTION("""COMPUTED_VALUE"""),FALSE)</f>
        <v>0</v>
      </c>
      <c r="B373" s="3" t="str">
        <f>IFERROR(__xludf.DUMMYFUNCTION("""COMPUTED_VALUE"""),"")</f>
        <v/>
      </c>
      <c r="C373" s="3"/>
      <c r="D373" s="3" t="str">
        <f>IFERROR(__xludf.DUMMYFUNCTION("""COMPUTED_VALUE"""),"")</f>
        <v/>
      </c>
      <c r="E373" s="3"/>
      <c r="F373" s="3"/>
      <c r="G373" s="3"/>
      <c r="H373" s="3"/>
      <c r="I373" s="3"/>
      <c r="J373" s="3"/>
      <c r="K373" s="3"/>
      <c r="L373" s="3"/>
      <c r="M373" s="3"/>
      <c r="N373" s="3"/>
      <c r="O373" s="3"/>
    </row>
    <row r="374">
      <c r="A374" s="3" t="b">
        <f>IFERROR(__xludf.DUMMYFUNCTION("""COMPUTED_VALUE"""),FALSE)</f>
        <v>0</v>
      </c>
      <c r="B374" s="3" t="str">
        <f>IFERROR(__xludf.DUMMYFUNCTION("""COMPUTED_VALUE"""),"")</f>
        <v/>
      </c>
      <c r="C374" s="3"/>
      <c r="D374" s="3" t="str">
        <f>IFERROR(__xludf.DUMMYFUNCTION("""COMPUTED_VALUE"""),"")</f>
        <v/>
      </c>
      <c r="E374" s="3"/>
      <c r="F374" s="3"/>
      <c r="G374" s="3"/>
      <c r="H374" s="3"/>
      <c r="I374" s="3"/>
      <c r="J374" s="3"/>
      <c r="K374" s="3"/>
      <c r="L374" s="3"/>
      <c r="M374" s="3"/>
      <c r="N374" s="3"/>
      <c r="O374" s="3"/>
    </row>
    <row r="375">
      <c r="A375" s="3" t="b">
        <f>IFERROR(__xludf.DUMMYFUNCTION("""COMPUTED_VALUE"""),FALSE)</f>
        <v>0</v>
      </c>
      <c r="B375" s="3" t="str">
        <f>IFERROR(__xludf.DUMMYFUNCTION("""COMPUTED_VALUE"""),"")</f>
        <v/>
      </c>
      <c r="C375" s="3"/>
      <c r="D375" s="3" t="str">
        <f>IFERROR(__xludf.DUMMYFUNCTION("""COMPUTED_VALUE"""),"")</f>
        <v/>
      </c>
      <c r="E375" s="3"/>
      <c r="F375" s="3"/>
      <c r="G375" s="3"/>
      <c r="H375" s="3"/>
      <c r="I375" s="3"/>
      <c r="J375" s="3"/>
      <c r="K375" s="3"/>
      <c r="L375" s="3"/>
      <c r="M375" s="3"/>
      <c r="N375" s="3"/>
      <c r="O375" s="3"/>
    </row>
    <row r="376">
      <c r="A376" s="3" t="b">
        <f>IFERROR(__xludf.DUMMYFUNCTION("""COMPUTED_VALUE"""),FALSE)</f>
        <v>0</v>
      </c>
      <c r="B376" s="3" t="str">
        <f>IFERROR(__xludf.DUMMYFUNCTION("""COMPUTED_VALUE"""),"")</f>
        <v/>
      </c>
      <c r="C376" s="3"/>
      <c r="D376" s="3" t="str">
        <f>IFERROR(__xludf.DUMMYFUNCTION("""COMPUTED_VALUE"""),"")</f>
        <v/>
      </c>
      <c r="E376" s="3"/>
      <c r="F376" s="3"/>
      <c r="G376" s="3"/>
      <c r="H376" s="3"/>
      <c r="I376" s="3"/>
      <c r="J376" s="3"/>
      <c r="K376" s="3"/>
      <c r="L376" s="3"/>
      <c r="M376" s="3"/>
      <c r="N376" s="3"/>
      <c r="O376" s="3"/>
    </row>
    <row r="377">
      <c r="A377" s="3" t="b">
        <f>IFERROR(__xludf.DUMMYFUNCTION("""COMPUTED_VALUE"""),FALSE)</f>
        <v>0</v>
      </c>
      <c r="B377" s="3" t="str">
        <f>IFERROR(__xludf.DUMMYFUNCTION("""COMPUTED_VALUE"""),"")</f>
        <v/>
      </c>
      <c r="C377" s="3"/>
      <c r="D377" s="3" t="str">
        <f>IFERROR(__xludf.DUMMYFUNCTION("""COMPUTED_VALUE"""),"")</f>
        <v/>
      </c>
      <c r="E377" s="3"/>
      <c r="F377" s="3"/>
      <c r="G377" s="3"/>
      <c r="H377" s="3"/>
      <c r="I377" s="3"/>
      <c r="J377" s="3"/>
      <c r="K377" s="3"/>
      <c r="L377" s="3"/>
      <c r="M377" s="3"/>
      <c r="N377" s="3"/>
      <c r="O377" s="3"/>
    </row>
    <row r="378">
      <c r="A378" s="3" t="b">
        <f>IFERROR(__xludf.DUMMYFUNCTION("""COMPUTED_VALUE"""),FALSE)</f>
        <v>0</v>
      </c>
      <c r="B378" s="3" t="str">
        <f>IFERROR(__xludf.DUMMYFUNCTION("""COMPUTED_VALUE"""),"")</f>
        <v/>
      </c>
      <c r="C378" s="3"/>
      <c r="D378" s="3" t="str">
        <f>IFERROR(__xludf.DUMMYFUNCTION("""COMPUTED_VALUE"""),"")</f>
        <v/>
      </c>
      <c r="E378" s="3"/>
      <c r="F378" s="3"/>
      <c r="G378" s="3"/>
      <c r="H378" s="3"/>
      <c r="I378" s="3"/>
      <c r="J378" s="3"/>
      <c r="K378" s="3"/>
      <c r="L378" s="3"/>
      <c r="M378" s="3"/>
      <c r="N378" s="3"/>
      <c r="O378" s="3"/>
    </row>
    <row r="379">
      <c r="A379" s="3" t="b">
        <f>IFERROR(__xludf.DUMMYFUNCTION("""COMPUTED_VALUE"""),FALSE)</f>
        <v>0</v>
      </c>
      <c r="B379" s="3" t="str">
        <f>IFERROR(__xludf.DUMMYFUNCTION("""COMPUTED_VALUE"""),"")</f>
        <v/>
      </c>
      <c r="C379" s="3"/>
      <c r="D379" s="3" t="str">
        <f>IFERROR(__xludf.DUMMYFUNCTION("""COMPUTED_VALUE"""),"")</f>
        <v/>
      </c>
      <c r="E379" s="3"/>
      <c r="F379" s="3"/>
      <c r="G379" s="3"/>
      <c r="H379" s="3"/>
      <c r="I379" s="3"/>
      <c r="J379" s="3"/>
      <c r="K379" s="3"/>
      <c r="L379" s="3"/>
      <c r="M379" s="3"/>
      <c r="N379" s="3"/>
      <c r="O379" s="3"/>
    </row>
    <row r="380">
      <c r="A380" s="3" t="b">
        <f>IFERROR(__xludf.DUMMYFUNCTION("""COMPUTED_VALUE"""),FALSE)</f>
        <v>0</v>
      </c>
      <c r="B380" s="3" t="str">
        <f>IFERROR(__xludf.DUMMYFUNCTION("""COMPUTED_VALUE"""),"")</f>
        <v/>
      </c>
      <c r="C380" s="3"/>
      <c r="D380" s="3" t="str">
        <f>IFERROR(__xludf.DUMMYFUNCTION("""COMPUTED_VALUE"""),"")</f>
        <v/>
      </c>
      <c r="E380" s="3"/>
      <c r="F380" s="3"/>
      <c r="G380" s="3"/>
      <c r="H380" s="3"/>
      <c r="I380" s="3"/>
      <c r="J380" s="3"/>
      <c r="K380" s="3"/>
      <c r="L380" s="3"/>
      <c r="M380" s="3"/>
      <c r="N380" s="3"/>
      <c r="O380" s="3"/>
    </row>
    <row r="381">
      <c r="A381" s="3" t="b">
        <f>IFERROR(__xludf.DUMMYFUNCTION("""COMPUTED_VALUE"""),FALSE)</f>
        <v>0</v>
      </c>
      <c r="B381" s="3" t="str">
        <f>IFERROR(__xludf.DUMMYFUNCTION("""COMPUTED_VALUE"""),"")</f>
        <v/>
      </c>
      <c r="C381" s="3"/>
      <c r="D381" s="3" t="str">
        <f>IFERROR(__xludf.DUMMYFUNCTION("""COMPUTED_VALUE"""),"")</f>
        <v/>
      </c>
      <c r="E381" s="3"/>
      <c r="F381" s="3"/>
      <c r="G381" s="3"/>
      <c r="H381" s="3"/>
      <c r="I381" s="3"/>
      <c r="J381" s="3"/>
      <c r="K381" s="3"/>
      <c r="L381" s="3"/>
      <c r="M381" s="3"/>
      <c r="N381" s="3"/>
      <c r="O381" s="3"/>
    </row>
    <row r="382">
      <c r="A382" s="3" t="b">
        <f>IFERROR(__xludf.DUMMYFUNCTION("""COMPUTED_VALUE"""),FALSE)</f>
        <v>0</v>
      </c>
      <c r="B382" s="3" t="str">
        <f>IFERROR(__xludf.DUMMYFUNCTION("""COMPUTED_VALUE"""),"")</f>
        <v/>
      </c>
      <c r="C382" s="3"/>
      <c r="D382" s="3" t="str">
        <f>IFERROR(__xludf.DUMMYFUNCTION("""COMPUTED_VALUE"""),"")</f>
        <v/>
      </c>
      <c r="E382" s="3"/>
      <c r="F382" s="3"/>
      <c r="G382" s="3"/>
      <c r="H382" s="3"/>
      <c r="I382" s="3"/>
      <c r="J382" s="3"/>
      <c r="K382" s="3"/>
      <c r="L382" s="3"/>
      <c r="M382" s="3"/>
      <c r="N382" s="3"/>
      <c r="O382" s="3"/>
    </row>
    <row r="383">
      <c r="A383" s="3" t="b">
        <f>IFERROR(__xludf.DUMMYFUNCTION("""COMPUTED_VALUE"""),FALSE)</f>
        <v>0</v>
      </c>
      <c r="B383" s="3" t="str">
        <f>IFERROR(__xludf.DUMMYFUNCTION("""COMPUTED_VALUE"""),"")</f>
        <v/>
      </c>
      <c r="C383" s="3"/>
      <c r="D383" s="3" t="str">
        <f>IFERROR(__xludf.DUMMYFUNCTION("""COMPUTED_VALUE"""),"")</f>
        <v/>
      </c>
      <c r="E383" s="3"/>
      <c r="F383" s="3"/>
      <c r="G383" s="3"/>
      <c r="H383" s="3"/>
      <c r="I383" s="3"/>
      <c r="J383" s="3"/>
      <c r="K383" s="3"/>
      <c r="L383" s="3"/>
      <c r="M383" s="3"/>
      <c r="N383" s="3"/>
      <c r="O383" s="3"/>
    </row>
    <row r="384">
      <c r="A384" s="3" t="b">
        <f>IFERROR(__xludf.DUMMYFUNCTION("""COMPUTED_VALUE"""),FALSE)</f>
        <v>0</v>
      </c>
      <c r="B384" s="3" t="str">
        <f>IFERROR(__xludf.DUMMYFUNCTION("""COMPUTED_VALUE"""),"")</f>
        <v/>
      </c>
      <c r="C384" s="3"/>
      <c r="D384" s="3" t="str">
        <f>IFERROR(__xludf.DUMMYFUNCTION("""COMPUTED_VALUE"""),"")</f>
        <v/>
      </c>
      <c r="E384" s="3"/>
      <c r="F384" s="3"/>
      <c r="G384" s="3"/>
      <c r="H384" s="3"/>
      <c r="I384" s="3"/>
      <c r="J384" s="3"/>
      <c r="K384" s="3"/>
      <c r="L384" s="3"/>
      <c r="M384" s="3"/>
      <c r="N384" s="3"/>
      <c r="O384" s="3"/>
    </row>
    <row r="385">
      <c r="A385" s="3" t="b">
        <f>IFERROR(__xludf.DUMMYFUNCTION("""COMPUTED_VALUE"""),FALSE)</f>
        <v>0</v>
      </c>
      <c r="B385" s="3" t="str">
        <f>IFERROR(__xludf.DUMMYFUNCTION("""COMPUTED_VALUE"""),"")</f>
        <v/>
      </c>
      <c r="C385" s="3"/>
      <c r="D385" s="3" t="str">
        <f>IFERROR(__xludf.DUMMYFUNCTION("""COMPUTED_VALUE"""),"")</f>
        <v/>
      </c>
      <c r="E385" s="3"/>
      <c r="F385" s="3"/>
      <c r="G385" s="3"/>
      <c r="H385" s="3"/>
      <c r="I385" s="3"/>
      <c r="J385" s="3"/>
      <c r="K385" s="3"/>
      <c r="L385" s="3"/>
      <c r="M385" s="3"/>
      <c r="N385" s="3"/>
      <c r="O385" s="3"/>
    </row>
    <row r="386">
      <c r="A386" s="3" t="b">
        <f>IFERROR(__xludf.DUMMYFUNCTION("""COMPUTED_VALUE"""),FALSE)</f>
        <v>0</v>
      </c>
      <c r="B386" s="3" t="str">
        <f>IFERROR(__xludf.DUMMYFUNCTION("""COMPUTED_VALUE"""),"")</f>
        <v/>
      </c>
      <c r="C386" s="3"/>
      <c r="D386" s="3" t="str">
        <f>IFERROR(__xludf.DUMMYFUNCTION("""COMPUTED_VALUE"""),"")</f>
        <v/>
      </c>
      <c r="E386" s="3"/>
      <c r="F386" s="3"/>
      <c r="G386" s="3"/>
      <c r="H386" s="3"/>
      <c r="I386" s="3"/>
      <c r="J386" s="3"/>
      <c r="K386" s="3"/>
      <c r="L386" s="3"/>
      <c r="M386" s="3"/>
      <c r="N386" s="3"/>
      <c r="O386" s="3"/>
    </row>
    <row r="387">
      <c r="A387" s="3" t="b">
        <f>IFERROR(__xludf.DUMMYFUNCTION("""COMPUTED_VALUE"""),FALSE)</f>
        <v>0</v>
      </c>
      <c r="B387" s="3" t="str">
        <f>IFERROR(__xludf.DUMMYFUNCTION("""COMPUTED_VALUE"""),"")</f>
        <v/>
      </c>
      <c r="C387" s="3"/>
      <c r="D387" s="3" t="str">
        <f>IFERROR(__xludf.DUMMYFUNCTION("""COMPUTED_VALUE"""),"")</f>
        <v/>
      </c>
      <c r="E387" s="3"/>
      <c r="F387" s="3"/>
      <c r="G387" s="3"/>
      <c r="H387" s="3"/>
      <c r="I387" s="3"/>
      <c r="J387" s="3"/>
      <c r="K387" s="3"/>
      <c r="L387" s="3"/>
      <c r="M387" s="3"/>
      <c r="N387" s="3"/>
      <c r="O387" s="3"/>
    </row>
    <row r="388">
      <c r="A388" s="3" t="b">
        <f>IFERROR(__xludf.DUMMYFUNCTION("""COMPUTED_VALUE"""),FALSE)</f>
        <v>0</v>
      </c>
      <c r="B388" s="3" t="str">
        <f>IFERROR(__xludf.DUMMYFUNCTION("""COMPUTED_VALUE"""),"")</f>
        <v/>
      </c>
      <c r="C388" s="3"/>
      <c r="D388" s="3" t="str">
        <f>IFERROR(__xludf.DUMMYFUNCTION("""COMPUTED_VALUE"""),"")</f>
        <v/>
      </c>
      <c r="E388" s="3"/>
      <c r="F388" s="3"/>
      <c r="G388" s="3"/>
      <c r="H388" s="3"/>
      <c r="I388" s="3"/>
      <c r="J388" s="3"/>
      <c r="K388" s="3"/>
      <c r="L388" s="3"/>
      <c r="M388" s="3"/>
      <c r="N388" s="3"/>
      <c r="O388" s="3"/>
    </row>
    <row r="389">
      <c r="A389" s="3" t="b">
        <f>IFERROR(__xludf.DUMMYFUNCTION("""COMPUTED_VALUE"""),FALSE)</f>
        <v>0</v>
      </c>
      <c r="B389" s="3" t="str">
        <f>IFERROR(__xludf.DUMMYFUNCTION("""COMPUTED_VALUE"""),"")</f>
        <v/>
      </c>
      <c r="C389" s="3"/>
      <c r="D389" s="3" t="str">
        <f>IFERROR(__xludf.DUMMYFUNCTION("""COMPUTED_VALUE"""),"")</f>
        <v/>
      </c>
      <c r="E389" s="3"/>
      <c r="F389" s="3"/>
      <c r="G389" s="3"/>
      <c r="H389" s="3"/>
      <c r="I389" s="3"/>
      <c r="J389" s="3"/>
      <c r="K389" s="3"/>
      <c r="L389" s="3"/>
      <c r="M389" s="3"/>
      <c r="N389" s="3"/>
      <c r="O389" s="3"/>
    </row>
    <row r="390">
      <c r="A390" s="3" t="b">
        <f>IFERROR(__xludf.DUMMYFUNCTION("""COMPUTED_VALUE"""),FALSE)</f>
        <v>0</v>
      </c>
      <c r="B390" s="3" t="str">
        <f>IFERROR(__xludf.DUMMYFUNCTION("""COMPUTED_VALUE"""),"")</f>
        <v/>
      </c>
      <c r="C390" s="3"/>
      <c r="D390" s="3" t="str">
        <f>IFERROR(__xludf.DUMMYFUNCTION("""COMPUTED_VALUE"""),"")</f>
        <v/>
      </c>
      <c r="E390" s="3"/>
      <c r="F390" s="3"/>
      <c r="G390" s="3"/>
      <c r="H390" s="3"/>
      <c r="I390" s="3"/>
      <c r="J390" s="3"/>
      <c r="K390" s="3"/>
      <c r="L390" s="3"/>
      <c r="M390" s="3"/>
      <c r="N390" s="3"/>
      <c r="O390" s="3"/>
    </row>
    <row r="391">
      <c r="A391" s="3" t="b">
        <f>IFERROR(__xludf.DUMMYFUNCTION("""COMPUTED_VALUE"""),FALSE)</f>
        <v>0</v>
      </c>
      <c r="B391" s="3" t="str">
        <f>IFERROR(__xludf.DUMMYFUNCTION("""COMPUTED_VALUE"""),"")</f>
        <v/>
      </c>
      <c r="C391" s="3"/>
      <c r="D391" s="3" t="str">
        <f>IFERROR(__xludf.DUMMYFUNCTION("""COMPUTED_VALUE"""),"")</f>
        <v/>
      </c>
      <c r="E391" s="3"/>
      <c r="F391" s="3"/>
      <c r="G391" s="3"/>
      <c r="H391" s="3"/>
      <c r="I391" s="3"/>
      <c r="J391" s="3"/>
      <c r="K391" s="3"/>
      <c r="L391" s="3"/>
      <c r="M391" s="3"/>
      <c r="N391" s="3"/>
      <c r="O391" s="3"/>
    </row>
    <row r="392">
      <c r="A392" s="3" t="b">
        <f>IFERROR(__xludf.DUMMYFUNCTION("""COMPUTED_VALUE"""),FALSE)</f>
        <v>0</v>
      </c>
      <c r="B392" s="3" t="str">
        <f>IFERROR(__xludf.DUMMYFUNCTION("""COMPUTED_VALUE"""),"")</f>
        <v/>
      </c>
      <c r="C392" s="3"/>
      <c r="D392" s="3" t="str">
        <f>IFERROR(__xludf.DUMMYFUNCTION("""COMPUTED_VALUE"""),"")</f>
        <v/>
      </c>
      <c r="E392" s="3"/>
      <c r="F392" s="3"/>
      <c r="G392" s="3"/>
      <c r="H392" s="3"/>
      <c r="I392" s="3"/>
      <c r="J392" s="3"/>
      <c r="K392" s="3"/>
      <c r="L392" s="3"/>
      <c r="M392" s="3"/>
      <c r="N392" s="3"/>
      <c r="O392" s="3"/>
    </row>
    <row r="393">
      <c r="A393" s="3" t="b">
        <f>IFERROR(__xludf.DUMMYFUNCTION("""COMPUTED_VALUE"""),FALSE)</f>
        <v>0</v>
      </c>
      <c r="B393" s="3" t="str">
        <f>IFERROR(__xludf.DUMMYFUNCTION("""COMPUTED_VALUE"""),"")</f>
        <v/>
      </c>
      <c r="C393" s="3"/>
      <c r="D393" s="3" t="str">
        <f>IFERROR(__xludf.DUMMYFUNCTION("""COMPUTED_VALUE"""),"")</f>
        <v/>
      </c>
      <c r="E393" s="3"/>
      <c r="F393" s="3"/>
      <c r="G393" s="3"/>
      <c r="H393" s="3"/>
      <c r="I393" s="3"/>
      <c r="J393" s="3"/>
      <c r="K393" s="3"/>
      <c r="L393" s="3"/>
      <c r="M393" s="3"/>
      <c r="N393" s="3"/>
      <c r="O393" s="3"/>
    </row>
    <row r="394">
      <c r="A394" s="3" t="b">
        <f>IFERROR(__xludf.DUMMYFUNCTION("""COMPUTED_VALUE"""),FALSE)</f>
        <v>0</v>
      </c>
      <c r="B394" s="3" t="str">
        <f>IFERROR(__xludf.DUMMYFUNCTION("""COMPUTED_VALUE"""),"")</f>
        <v/>
      </c>
      <c r="C394" s="3"/>
      <c r="D394" s="3" t="str">
        <f>IFERROR(__xludf.DUMMYFUNCTION("""COMPUTED_VALUE"""),"")</f>
        <v/>
      </c>
      <c r="E394" s="3"/>
      <c r="F394" s="3"/>
      <c r="G394" s="3"/>
      <c r="H394" s="3"/>
      <c r="I394" s="3"/>
      <c r="J394" s="3"/>
      <c r="K394" s="3"/>
      <c r="L394" s="3"/>
      <c r="M394" s="3"/>
      <c r="N394" s="3"/>
      <c r="O394" s="3"/>
    </row>
    <row r="395">
      <c r="A395" s="3" t="b">
        <f>IFERROR(__xludf.DUMMYFUNCTION("""COMPUTED_VALUE"""),FALSE)</f>
        <v>0</v>
      </c>
      <c r="B395" s="3" t="str">
        <f>IFERROR(__xludf.DUMMYFUNCTION("""COMPUTED_VALUE"""),"")</f>
        <v/>
      </c>
      <c r="C395" s="3"/>
      <c r="D395" s="3" t="str">
        <f>IFERROR(__xludf.DUMMYFUNCTION("""COMPUTED_VALUE"""),"")</f>
        <v/>
      </c>
      <c r="E395" s="3"/>
      <c r="F395" s="3"/>
      <c r="G395" s="3"/>
      <c r="H395" s="3"/>
      <c r="I395" s="3"/>
      <c r="J395" s="3"/>
      <c r="K395" s="3"/>
      <c r="L395" s="3"/>
      <c r="M395" s="3"/>
      <c r="N395" s="3"/>
      <c r="O395" s="3"/>
    </row>
    <row r="396">
      <c r="A396" s="3" t="b">
        <f>IFERROR(__xludf.DUMMYFUNCTION("""COMPUTED_VALUE"""),FALSE)</f>
        <v>0</v>
      </c>
      <c r="B396" s="3" t="str">
        <f>IFERROR(__xludf.DUMMYFUNCTION("""COMPUTED_VALUE"""),"")</f>
        <v/>
      </c>
      <c r="C396" s="3"/>
      <c r="D396" s="3" t="str">
        <f>IFERROR(__xludf.DUMMYFUNCTION("""COMPUTED_VALUE"""),"")</f>
        <v/>
      </c>
      <c r="E396" s="3"/>
      <c r="F396" s="3"/>
      <c r="G396" s="3"/>
      <c r="H396" s="3"/>
      <c r="I396" s="3"/>
      <c r="J396" s="3"/>
      <c r="K396" s="3"/>
      <c r="L396" s="3"/>
      <c r="M396" s="3"/>
      <c r="N396" s="3"/>
      <c r="O396" s="3"/>
    </row>
    <row r="397">
      <c r="A397" s="3" t="b">
        <f>IFERROR(__xludf.DUMMYFUNCTION("""COMPUTED_VALUE"""),FALSE)</f>
        <v>0</v>
      </c>
      <c r="B397" s="3" t="str">
        <f>IFERROR(__xludf.DUMMYFUNCTION("""COMPUTED_VALUE"""),"")</f>
        <v/>
      </c>
      <c r="C397" s="3"/>
      <c r="D397" s="3" t="str">
        <f>IFERROR(__xludf.DUMMYFUNCTION("""COMPUTED_VALUE"""),"")</f>
        <v/>
      </c>
      <c r="E397" s="3"/>
      <c r="F397" s="3"/>
      <c r="G397" s="3"/>
      <c r="H397" s="3"/>
      <c r="I397" s="3"/>
      <c r="J397" s="3"/>
      <c r="K397" s="3"/>
      <c r="L397" s="3"/>
      <c r="M397" s="3"/>
      <c r="N397" s="3"/>
      <c r="O397" s="3"/>
    </row>
    <row r="398">
      <c r="A398" s="3" t="b">
        <f>IFERROR(__xludf.DUMMYFUNCTION("""COMPUTED_VALUE"""),FALSE)</f>
        <v>0</v>
      </c>
      <c r="B398" s="3" t="str">
        <f>IFERROR(__xludf.DUMMYFUNCTION("""COMPUTED_VALUE"""),"")</f>
        <v/>
      </c>
      <c r="C398" s="3"/>
      <c r="D398" s="3" t="str">
        <f>IFERROR(__xludf.DUMMYFUNCTION("""COMPUTED_VALUE"""),"")</f>
        <v/>
      </c>
      <c r="E398" s="3"/>
      <c r="F398" s="3"/>
      <c r="G398" s="3"/>
      <c r="H398" s="3"/>
      <c r="I398" s="3"/>
      <c r="J398" s="3"/>
      <c r="K398" s="3"/>
      <c r="L398" s="3"/>
      <c r="M398" s="3"/>
      <c r="N398" s="3"/>
      <c r="O398" s="3"/>
    </row>
    <row r="399">
      <c r="A399" s="3" t="b">
        <f>IFERROR(__xludf.DUMMYFUNCTION("""COMPUTED_VALUE"""),FALSE)</f>
        <v>0</v>
      </c>
      <c r="B399" s="3" t="str">
        <f>IFERROR(__xludf.DUMMYFUNCTION("""COMPUTED_VALUE"""),"")</f>
        <v/>
      </c>
      <c r="C399" s="3"/>
      <c r="D399" s="3" t="str">
        <f>IFERROR(__xludf.DUMMYFUNCTION("""COMPUTED_VALUE"""),"")</f>
        <v/>
      </c>
      <c r="E399" s="3"/>
      <c r="F399" s="3"/>
      <c r="G399" s="3"/>
      <c r="H399" s="3"/>
      <c r="I399" s="3"/>
      <c r="J399" s="3"/>
      <c r="K399" s="3"/>
      <c r="L399" s="3"/>
      <c r="M399" s="3"/>
      <c r="N399" s="3"/>
      <c r="O399" s="3"/>
    </row>
    <row r="400">
      <c r="A400" s="3" t="b">
        <f>IFERROR(__xludf.DUMMYFUNCTION("""COMPUTED_VALUE"""),FALSE)</f>
        <v>0</v>
      </c>
      <c r="B400" s="3" t="str">
        <f>IFERROR(__xludf.DUMMYFUNCTION("""COMPUTED_VALUE"""),"")</f>
        <v/>
      </c>
      <c r="C400" s="3"/>
      <c r="D400" s="3" t="str">
        <f>IFERROR(__xludf.DUMMYFUNCTION("""COMPUTED_VALUE"""),"")</f>
        <v/>
      </c>
      <c r="E400" s="3"/>
      <c r="F400" s="3"/>
      <c r="G400" s="3"/>
      <c r="H400" s="3"/>
      <c r="I400" s="3"/>
      <c r="J400" s="3"/>
      <c r="K400" s="3"/>
      <c r="L400" s="3"/>
      <c r="M400" s="3"/>
      <c r="N400" s="3"/>
      <c r="O400" s="3"/>
    </row>
    <row r="401">
      <c r="A401" s="3" t="b">
        <f>IFERROR(__xludf.DUMMYFUNCTION("""COMPUTED_VALUE"""),FALSE)</f>
        <v>0</v>
      </c>
      <c r="B401" s="3" t="str">
        <f>IFERROR(__xludf.DUMMYFUNCTION("""COMPUTED_VALUE"""),"")</f>
        <v/>
      </c>
      <c r="C401" s="3"/>
      <c r="D401" s="3" t="str">
        <f>IFERROR(__xludf.DUMMYFUNCTION("""COMPUTED_VALUE"""),"")</f>
        <v/>
      </c>
      <c r="E401" s="3"/>
      <c r="F401" s="3"/>
      <c r="G401" s="3"/>
      <c r="H401" s="3"/>
      <c r="I401" s="3"/>
      <c r="J401" s="3"/>
      <c r="K401" s="3"/>
      <c r="L401" s="3"/>
      <c r="M401" s="3"/>
      <c r="N401" s="3"/>
      <c r="O401" s="3"/>
    </row>
    <row r="402">
      <c r="A402" s="3" t="b">
        <f>IFERROR(__xludf.DUMMYFUNCTION("""COMPUTED_VALUE"""),FALSE)</f>
        <v>0</v>
      </c>
      <c r="B402" s="3" t="str">
        <f>IFERROR(__xludf.DUMMYFUNCTION("""COMPUTED_VALUE"""),"")</f>
        <v/>
      </c>
      <c r="C402" s="3"/>
      <c r="D402" s="3" t="str">
        <f>IFERROR(__xludf.DUMMYFUNCTION("""COMPUTED_VALUE"""),"")</f>
        <v/>
      </c>
      <c r="E402" s="3"/>
      <c r="F402" s="3"/>
      <c r="G402" s="3"/>
      <c r="H402" s="3"/>
      <c r="I402" s="3"/>
      <c r="J402" s="3"/>
      <c r="K402" s="3"/>
      <c r="L402" s="3"/>
      <c r="M402" s="3"/>
      <c r="N402" s="3"/>
      <c r="O402" s="3"/>
    </row>
    <row r="403">
      <c r="A403" s="3" t="b">
        <f>IFERROR(__xludf.DUMMYFUNCTION("""COMPUTED_VALUE"""),FALSE)</f>
        <v>0</v>
      </c>
      <c r="B403" s="3" t="str">
        <f>IFERROR(__xludf.DUMMYFUNCTION("""COMPUTED_VALUE"""),"")</f>
        <v/>
      </c>
      <c r="C403" s="3"/>
      <c r="D403" s="3" t="str">
        <f>IFERROR(__xludf.DUMMYFUNCTION("""COMPUTED_VALUE"""),"")</f>
        <v/>
      </c>
      <c r="E403" s="3"/>
      <c r="F403" s="3"/>
      <c r="G403" s="3"/>
      <c r="H403" s="3"/>
      <c r="I403" s="3"/>
      <c r="J403" s="3"/>
      <c r="K403" s="3"/>
      <c r="L403" s="3"/>
      <c r="M403" s="3"/>
      <c r="N403" s="3"/>
      <c r="O403" s="3"/>
    </row>
    <row r="404">
      <c r="A404" s="3" t="b">
        <f>IFERROR(__xludf.DUMMYFUNCTION("""COMPUTED_VALUE"""),FALSE)</f>
        <v>0</v>
      </c>
      <c r="B404" s="3" t="str">
        <f>IFERROR(__xludf.DUMMYFUNCTION("""COMPUTED_VALUE"""),"")</f>
        <v/>
      </c>
      <c r="C404" s="3"/>
      <c r="D404" s="3" t="str">
        <f>IFERROR(__xludf.DUMMYFUNCTION("""COMPUTED_VALUE"""),"")</f>
        <v/>
      </c>
      <c r="E404" s="3"/>
      <c r="F404" s="3"/>
      <c r="G404" s="3"/>
      <c r="H404" s="3"/>
      <c r="I404" s="3"/>
      <c r="J404" s="3"/>
      <c r="K404" s="3"/>
      <c r="L404" s="3"/>
      <c r="M404" s="3"/>
      <c r="N404" s="3"/>
      <c r="O404" s="3"/>
    </row>
    <row r="405">
      <c r="A405" s="3" t="b">
        <f>IFERROR(__xludf.DUMMYFUNCTION("""COMPUTED_VALUE"""),FALSE)</f>
        <v>0</v>
      </c>
      <c r="B405" s="3" t="str">
        <f>IFERROR(__xludf.DUMMYFUNCTION("""COMPUTED_VALUE"""),"")</f>
        <v/>
      </c>
      <c r="C405" s="3"/>
      <c r="D405" s="3" t="str">
        <f>IFERROR(__xludf.DUMMYFUNCTION("""COMPUTED_VALUE"""),"")</f>
        <v/>
      </c>
      <c r="E405" s="3"/>
      <c r="F405" s="3"/>
      <c r="G405" s="3"/>
      <c r="H405" s="3"/>
      <c r="I405" s="3"/>
      <c r="J405" s="3"/>
      <c r="K405" s="3"/>
      <c r="L405" s="3"/>
      <c r="M405" s="3"/>
      <c r="N405" s="3"/>
      <c r="O405" s="3"/>
    </row>
    <row r="406">
      <c r="A406" s="3" t="b">
        <f>IFERROR(__xludf.DUMMYFUNCTION("""COMPUTED_VALUE"""),FALSE)</f>
        <v>0</v>
      </c>
      <c r="B406" s="3" t="str">
        <f>IFERROR(__xludf.DUMMYFUNCTION("""COMPUTED_VALUE"""),"")</f>
        <v/>
      </c>
      <c r="C406" s="3"/>
      <c r="D406" s="3" t="str">
        <f>IFERROR(__xludf.DUMMYFUNCTION("""COMPUTED_VALUE"""),"")</f>
        <v/>
      </c>
      <c r="E406" s="3"/>
      <c r="F406" s="3"/>
      <c r="G406" s="3"/>
      <c r="H406" s="3"/>
      <c r="I406" s="3"/>
      <c r="J406" s="3"/>
      <c r="K406" s="3"/>
      <c r="L406" s="3"/>
      <c r="M406" s="3"/>
      <c r="N406" s="3"/>
      <c r="O406" s="3"/>
    </row>
    <row r="407">
      <c r="A407" s="3" t="b">
        <f>IFERROR(__xludf.DUMMYFUNCTION("""COMPUTED_VALUE"""),FALSE)</f>
        <v>0</v>
      </c>
      <c r="B407" s="3" t="str">
        <f>IFERROR(__xludf.DUMMYFUNCTION("""COMPUTED_VALUE"""),"")</f>
        <v/>
      </c>
      <c r="C407" s="3"/>
      <c r="D407" s="3" t="str">
        <f>IFERROR(__xludf.DUMMYFUNCTION("""COMPUTED_VALUE"""),"")</f>
        <v/>
      </c>
      <c r="E407" s="3"/>
      <c r="F407" s="3"/>
      <c r="G407" s="3"/>
      <c r="H407" s="3"/>
      <c r="I407" s="3"/>
      <c r="J407" s="3"/>
      <c r="K407" s="3"/>
      <c r="L407" s="3"/>
      <c r="M407" s="3"/>
      <c r="N407" s="3"/>
      <c r="O407" s="3"/>
    </row>
    <row r="408">
      <c r="A408" s="3" t="b">
        <f>IFERROR(__xludf.DUMMYFUNCTION("""COMPUTED_VALUE"""),FALSE)</f>
        <v>0</v>
      </c>
      <c r="B408" s="3" t="str">
        <f>IFERROR(__xludf.DUMMYFUNCTION("""COMPUTED_VALUE"""),"")</f>
        <v/>
      </c>
      <c r="C408" s="3"/>
      <c r="D408" s="3" t="str">
        <f>IFERROR(__xludf.DUMMYFUNCTION("""COMPUTED_VALUE"""),"")</f>
        <v/>
      </c>
      <c r="E408" s="3"/>
      <c r="F408" s="3"/>
      <c r="G408" s="3"/>
      <c r="H408" s="3"/>
      <c r="I408" s="3"/>
      <c r="J408" s="3"/>
      <c r="K408" s="3"/>
      <c r="L408" s="3"/>
      <c r="M408" s="3"/>
      <c r="N408" s="3"/>
      <c r="O408" s="3"/>
    </row>
    <row r="409">
      <c r="A409" s="3" t="b">
        <f>IFERROR(__xludf.DUMMYFUNCTION("""COMPUTED_VALUE"""),FALSE)</f>
        <v>0</v>
      </c>
      <c r="B409" s="3" t="str">
        <f>IFERROR(__xludf.DUMMYFUNCTION("""COMPUTED_VALUE"""),"")</f>
        <v/>
      </c>
      <c r="C409" s="3"/>
      <c r="D409" s="3" t="str">
        <f>IFERROR(__xludf.DUMMYFUNCTION("""COMPUTED_VALUE"""),"")</f>
        <v/>
      </c>
      <c r="E409" s="3"/>
      <c r="F409" s="3"/>
      <c r="G409" s="3"/>
      <c r="H409" s="3"/>
      <c r="I409" s="3"/>
      <c r="J409" s="3"/>
      <c r="K409" s="3"/>
      <c r="L409" s="3"/>
      <c r="M409" s="3"/>
      <c r="N409" s="3"/>
      <c r="O409" s="3"/>
    </row>
    <row r="410">
      <c r="A410" s="3" t="b">
        <f>IFERROR(__xludf.DUMMYFUNCTION("""COMPUTED_VALUE"""),FALSE)</f>
        <v>0</v>
      </c>
      <c r="B410" s="3" t="str">
        <f>IFERROR(__xludf.DUMMYFUNCTION("""COMPUTED_VALUE"""),"")</f>
        <v/>
      </c>
      <c r="C410" s="3"/>
      <c r="D410" s="3" t="str">
        <f>IFERROR(__xludf.DUMMYFUNCTION("""COMPUTED_VALUE"""),"")</f>
        <v/>
      </c>
      <c r="E410" s="3"/>
      <c r="F410" s="3"/>
      <c r="G410" s="3"/>
      <c r="H410" s="3"/>
      <c r="I410" s="3"/>
      <c r="J410" s="3"/>
      <c r="K410" s="3"/>
      <c r="L410" s="3"/>
      <c r="M410" s="3"/>
      <c r="N410" s="3"/>
      <c r="O410" s="3"/>
    </row>
    <row r="411">
      <c r="A411" s="3" t="b">
        <f>IFERROR(__xludf.DUMMYFUNCTION("""COMPUTED_VALUE"""),FALSE)</f>
        <v>0</v>
      </c>
      <c r="B411" s="3" t="str">
        <f>IFERROR(__xludf.DUMMYFUNCTION("""COMPUTED_VALUE"""),"")</f>
        <v/>
      </c>
      <c r="C411" s="3"/>
      <c r="D411" s="3" t="str">
        <f>IFERROR(__xludf.DUMMYFUNCTION("""COMPUTED_VALUE"""),"")</f>
        <v/>
      </c>
      <c r="E411" s="3"/>
      <c r="F411" s="3"/>
      <c r="G411" s="3"/>
      <c r="H411" s="3"/>
      <c r="I411" s="3"/>
      <c r="J411" s="3"/>
      <c r="K411" s="3"/>
      <c r="L411" s="3"/>
      <c r="M411" s="3"/>
      <c r="N411" s="3"/>
      <c r="O411" s="3"/>
    </row>
    <row r="412">
      <c r="A412" s="3" t="b">
        <f>IFERROR(__xludf.DUMMYFUNCTION("""COMPUTED_VALUE"""),FALSE)</f>
        <v>0</v>
      </c>
      <c r="B412" s="3" t="str">
        <f>IFERROR(__xludf.DUMMYFUNCTION("""COMPUTED_VALUE"""),"")</f>
        <v/>
      </c>
      <c r="C412" s="3"/>
      <c r="D412" s="3" t="str">
        <f>IFERROR(__xludf.DUMMYFUNCTION("""COMPUTED_VALUE"""),"")</f>
        <v/>
      </c>
      <c r="E412" s="3"/>
      <c r="F412" s="3"/>
      <c r="G412" s="3"/>
      <c r="H412" s="3"/>
      <c r="I412" s="3"/>
      <c r="J412" s="3"/>
      <c r="K412" s="3"/>
      <c r="L412" s="3"/>
      <c r="M412" s="3"/>
      <c r="N412" s="3"/>
      <c r="O412" s="3"/>
    </row>
    <row r="413">
      <c r="A413" s="3" t="b">
        <f>IFERROR(__xludf.DUMMYFUNCTION("""COMPUTED_VALUE"""),FALSE)</f>
        <v>0</v>
      </c>
      <c r="B413" s="3" t="str">
        <f>IFERROR(__xludf.DUMMYFUNCTION("""COMPUTED_VALUE"""),"")</f>
        <v/>
      </c>
      <c r="C413" s="3"/>
      <c r="D413" s="3" t="str">
        <f>IFERROR(__xludf.DUMMYFUNCTION("""COMPUTED_VALUE"""),"")</f>
        <v/>
      </c>
      <c r="E413" s="3"/>
      <c r="F413" s="3"/>
      <c r="G413" s="3"/>
      <c r="H413" s="3"/>
      <c r="I413" s="3"/>
      <c r="J413" s="3"/>
      <c r="K413" s="3"/>
      <c r="L413" s="3"/>
      <c r="M413" s="3"/>
      <c r="N413" s="3"/>
      <c r="O413" s="3"/>
    </row>
    <row r="414">
      <c r="A414" s="3" t="b">
        <f>IFERROR(__xludf.DUMMYFUNCTION("""COMPUTED_VALUE"""),FALSE)</f>
        <v>0</v>
      </c>
      <c r="B414" s="3" t="str">
        <f>IFERROR(__xludf.DUMMYFUNCTION("""COMPUTED_VALUE"""),"")</f>
        <v/>
      </c>
      <c r="C414" s="3"/>
      <c r="D414" s="3" t="str">
        <f>IFERROR(__xludf.DUMMYFUNCTION("""COMPUTED_VALUE"""),"")</f>
        <v/>
      </c>
      <c r="E414" s="3"/>
      <c r="F414" s="3"/>
      <c r="G414" s="3"/>
      <c r="H414" s="3"/>
      <c r="I414" s="3"/>
      <c r="J414" s="3"/>
      <c r="K414" s="3"/>
      <c r="L414" s="3"/>
      <c r="M414" s="3"/>
      <c r="N414" s="3"/>
      <c r="O414" s="3"/>
    </row>
    <row r="415">
      <c r="A415" s="3" t="b">
        <f>IFERROR(__xludf.DUMMYFUNCTION("""COMPUTED_VALUE"""),FALSE)</f>
        <v>0</v>
      </c>
      <c r="B415" s="3" t="str">
        <f>IFERROR(__xludf.DUMMYFUNCTION("""COMPUTED_VALUE"""),"")</f>
        <v/>
      </c>
      <c r="C415" s="3"/>
      <c r="D415" s="3" t="str">
        <f>IFERROR(__xludf.DUMMYFUNCTION("""COMPUTED_VALUE"""),"")</f>
        <v/>
      </c>
      <c r="E415" s="3"/>
      <c r="F415" s="3"/>
      <c r="G415" s="3"/>
      <c r="H415" s="3"/>
      <c r="I415" s="3"/>
      <c r="J415" s="3"/>
      <c r="K415" s="3"/>
      <c r="L415" s="3"/>
      <c r="M415" s="3"/>
      <c r="N415" s="3"/>
      <c r="O415" s="3"/>
    </row>
    <row r="416">
      <c r="A416" s="3" t="b">
        <f>IFERROR(__xludf.DUMMYFUNCTION("""COMPUTED_VALUE"""),FALSE)</f>
        <v>0</v>
      </c>
      <c r="B416" s="3" t="str">
        <f>IFERROR(__xludf.DUMMYFUNCTION("""COMPUTED_VALUE"""),"")</f>
        <v/>
      </c>
      <c r="C416" s="3"/>
      <c r="D416" s="3" t="str">
        <f>IFERROR(__xludf.DUMMYFUNCTION("""COMPUTED_VALUE"""),"")</f>
        <v/>
      </c>
      <c r="E416" s="3"/>
      <c r="F416" s="3"/>
      <c r="G416" s="3"/>
      <c r="H416" s="3"/>
      <c r="I416" s="3"/>
      <c r="J416" s="3"/>
      <c r="K416" s="3"/>
      <c r="L416" s="3"/>
      <c r="M416" s="3"/>
      <c r="N416" s="3"/>
      <c r="O416" s="3"/>
    </row>
    <row r="417">
      <c r="A417" s="3" t="b">
        <f>IFERROR(__xludf.DUMMYFUNCTION("""COMPUTED_VALUE"""),FALSE)</f>
        <v>0</v>
      </c>
      <c r="B417" s="3" t="str">
        <f>IFERROR(__xludf.DUMMYFUNCTION("""COMPUTED_VALUE"""),"")</f>
        <v/>
      </c>
      <c r="C417" s="3"/>
      <c r="D417" s="3" t="str">
        <f>IFERROR(__xludf.DUMMYFUNCTION("""COMPUTED_VALUE"""),"")</f>
        <v/>
      </c>
      <c r="E417" s="3"/>
      <c r="F417" s="3"/>
      <c r="G417" s="3"/>
      <c r="H417" s="3"/>
      <c r="I417" s="3"/>
      <c r="J417" s="3"/>
      <c r="K417" s="3"/>
      <c r="L417" s="3"/>
      <c r="M417" s="3"/>
      <c r="N417" s="3"/>
      <c r="O417" s="3"/>
    </row>
    <row r="418">
      <c r="A418" s="3" t="b">
        <f>IFERROR(__xludf.DUMMYFUNCTION("""COMPUTED_VALUE"""),FALSE)</f>
        <v>0</v>
      </c>
      <c r="B418" s="3" t="str">
        <f>IFERROR(__xludf.DUMMYFUNCTION("""COMPUTED_VALUE"""),"")</f>
        <v/>
      </c>
      <c r="C418" s="3"/>
      <c r="D418" s="3" t="str">
        <f>IFERROR(__xludf.DUMMYFUNCTION("""COMPUTED_VALUE"""),"")</f>
        <v/>
      </c>
      <c r="E418" s="3"/>
      <c r="F418" s="3"/>
      <c r="G418" s="3"/>
      <c r="H418" s="3"/>
      <c r="I418" s="3"/>
      <c r="J418" s="3"/>
      <c r="K418" s="3"/>
      <c r="L418" s="3"/>
      <c r="M418" s="3"/>
      <c r="N418" s="3"/>
      <c r="O418" s="3"/>
    </row>
    <row r="419">
      <c r="A419" s="3" t="b">
        <f>IFERROR(__xludf.DUMMYFUNCTION("""COMPUTED_VALUE"""),FALSE)</f>
        <v>0</v>
      </c>
      <c r="B419" s="3" t="str">
        <f>IFERROR(__xludf.DUMMYFUNCTION("""COMPUTED_VALUE"""),"")</f>
        <v/>
      </c>
      <c r="C419" s="3"/>
      <c r="D419" s="3" t="str">
        <f>IFERROR(__xludf.DUMMYFUNCTION("""COMPUTED_VALUE"""),"")</f>
        <v/>
      </c>
      <c r="E419" s="3"/>
      <c r="F419" s="3"/>
      <c r="G419" s="3"/>
      <c r="H419" s="3"/>
      <c r="I419" s="3"/>
      <c r="J419" s="3"/>
      <c r="K419" s="3"/>
      <c r="L419" s="3"/>
      <c r="M419" s="3"/>
      <c r="N419" s="3"/>
      <c r="O419" s="3"/>
    </row>
    <row r="420">
      <c r="A420" s="3" t="b">
        <f>IFERROR(__xludf.DUMMYFUNCTION("""COMPUTED_VALUE"""),FALSE)</f>
        <v>0</v>
      </c>
      <c r="B420" s="3" t="str">
        <f>IFERROR(__xludf.DUMMYFUNCTION("""COMPUTED_VALUE"""),"")</f>
        <v/>
      </c>
      <c r="C420" s="3"/>
      <c r="D420" s="3" t="str">
        <f>IFERROR(__xludf.DUMMYFUNCTION("""COMPUTED_VALUE"""),"")</f>
        <v/>
      </c>
      <c r="E420" s="3"/>
      <c r="F420" s="3"/>
      <c r="G420" s="3"/>
      <c r="H420" s="3"/>
      <c r="I420" s="3"/>
      <c r="J420" s="3"/>
      <c r="K420" s="3"/>
      <c r="L420" s="3"/>
      <c r="M420" s="3"/>
      <c r="N420" s="3"/>
      <c r="O420" s="3"/>
    </row>
    <row r="421">
      <c r="A421" s="3" t="b">
        <f>IFERROR(__xludf.DUMMYFUNCTION("""COMPUTED_VALUE"""),FALSE)</f>
        <v>0</v>
      </c>
      <c r="B421" s="3" t="str">
        <f>IFERROR(__xludf.DUMMYFUNCTION("""COMPUTED_VALUE"""),"")</f>
        <v/>
      </c>
      <c r="C421" s="3"/>
      <c r="D421" s="3" t="str">
        <f>IFERROR(__xludf.DUMMYFUNCTION("""COMPUTED_VALUE"""),"")</f>
        <v/>
      </c>
      <c r="E421" s="3"/>
      <c r="F421" s="3"/>
      <c r="G421" s="3"/>
      <c r="H421" s="3"/>
      <c r="I421" s="3"/>
      <c r="J421" s="3"/>
      <c r="K421" s="3"/>
      <c r="L421" s="3"/>
      <c r="M421" s="3"/>
      <c r="N421" s="3"/>
      <c r="O421" s="3"/>
    </row>
    <row r="422">
      <c r="A422" s="3" t="b">
        <f>IFERROR(__xludf.DUMMYFUNCTION("""COMPUTED_VALUE"""),FALSE)</f>
        <v>0</v>
      </c>
      <c r="B422" s="3" t="str">
        <f>IFERROR(__xludf.DUMMYFUNCTION("""COMPUTED_VALUE"""),"")</f>
        <v/>
      </c>
      <c r="C422" s="3"/>
      <c r="D422" s="3" t="str">
        <f>IFERROR(__xludf.DUMMYFUNCTION("""COMPUTED_VALUE"""),"")</f>
        <v/>
      </c>
      <c r="E422" s="3"/>
      <c r="F422" s="3"/>
      <c r="G422" s="3"/>
      <c r="H422" s="3"/>
      <c r="I422" s="3"/>
      <c r="J422" s="3"/>
      <c r="K422" s="3"/>
      <c r="L422" s="3"/>
      <c r="M422" s="3"/>
      <c r="N422" s="3"/>
      <c r="O422" s="3"/>
    </row>
    <row r="423">
      <c r="A423" s="3" t="b">
        <f>IFERROR(__xludf.DUMMYFUNCTION("""COMPUTED_VALUE"""),FALSE)</f>
        <v>0</v>
      </c>
      <c r="B423" s="3" t="str">
        <f>IFERROR(__xludf.DUMMYFUNCTION("""COMPUTED_VALUE"""),"")</f>
        <v/>
      </c>
      <c r="C423" s="3"/>
      <c r="D423" s="3" t="str">
        <f>IFERROR(__xludf.DUMMYFUNCTION("""COMPUTED_VALUE"""),"")</f>
        <v/>
      </c>
      <c r="E423" s="3"/>
      <c r="F423" s="3"/>
      <c r="G423" s="3"/>
      <c r="H423" s="3"/>
      <c r="I423" s="3"/>
      <c r="J423" s="3"/>
      <c r="K423" s="3"/>
      <c r="L423" s="3"/>
      <c r="M423" s="3"/>
      <c r="N423" s="3"/>
      <c r="O423" s="3"/>
    </row>
    <row r="424">
      <c r="A424" s="3" t="b">
        <f>IFERROR(__xludf.DUMMYFUNCTION("""COMPUTED_VALUE"""),FALSE)</f>
        <v>0</v>
      </c>
      <c r="B424" s="3" t="str">
        <f>IFERROR(__xludf.DUMMYFUNCTION("""COMPUTED_VALUE"""),"")</f>
        <v/>
      </c>
      <c r="C424" s="3"/>
      <c r="D424" s="3" t="str">
        <f>IFERROR(__xludf.DUMMYFUNCTION("""COMPUTED_VALUE"""),"")</f>
        <v/>
      </c>
      <c r="E424" s="3"/>
      <c r="F424" s="3"/>
      <c r="G424" s="3"/>
      <c r="H424" s="3"/>
      <c r="I424" s="3"/>
      <c r="J424" s="3"/>
      <c r="K424" s="3"/>
      <c r="L424" s="3"/>
      <c r="M424" s="3"/>
      <c r="N424" s="3"/>
      <c r="O424" s="3"/>
    </row>
    <row r="425">
      <c r="A425" s="3" t="b">
        <f>IFERROR(__xludf.DUMMYFUNCTION("""COMPUTED_VALUE"""),FALSE)</f>
        <v>0</v>
      </c>
      <c r="B425" s="3" t="str">
        <f>IFERROR(__xludf.DUMMYFUNCTION("""COMPUTED_VALUE"""),"")</f>
        <v/>
      </c>
      <c r="C425" s="3"/>
      <c r="D425" s="3" t="str">
        <f>IFERROR(__xludf.DUMMYFUNCTION("""COMPUTED_VALUE"""),"")</f>
        <v/>
      </c>
      <c r="E425" s="3"/>
      <c r="F425" s="3"/>
      <c r="G425" s="3"/>
      <c r="H425" s="3"/>
      <c r="I425" s="3"/>
      <c r="J425" s="3"/>
      <c r="K425" s="3"/>
      <c r="L425" s="3"/>
      <c r="M425" s="3"/>
      <c r="N425" s="3"/>
      <c r="O425" s="3"/>
    </row>
    <row r="426">
      <c r="A426" s="3" t="b">
        <f>IFERROR(__xludf.DUMMYFUNCTION("""COMPUTED_VALUE"""),FALSE)</f>
        <v>0</v>
      </c>
      <c r="B426" s="3" t="str">
        <f>IFERROR(__xludf.DUMMYFUNCTION("""COMPUTED_VALUE"""),"")</f>
        <v/>
      </c>
      <c r="C426" s="3"/>
      <c r="D426" s="3" t="str">
        <f>IFERROR(__xludf.DUMMYFUNCTION("""COMPUTED_VALUE"""),"")</f>
        <v/>
      </c>
      <c r="E426" s="3"/>
      <c r="F426" s="3"/>
      <c r="G426" s="3"/>
      <c r="H426" s="3"/>
      <c r="I426" s="3"/>
      <c r="J426" s="3"/>
      <c r="K426" s="3"/>
      <c r="L426" s="3"/>
      <c r="M426" s="3"/>
      <c r="N426" s="3"/>
      <c r="O426" s="3"/>
    </row>
    <row r="427">
      <c r="A427" s="3" t="b">
        <f>IFERROR(__xludf.DUMMYFUNCTION("""COMPUTED_VALUE"""),FALSE)</f>
        <v>0</v>
      </c>
      <c r="B427" s="3" t="str">
        <f>IFERROR(__xludf.DUMMYFUNCTION("""COMPUTED_VALUE"""),"")</f>
        <v/>
      </c>
      <c r="C427" s="3"/>
      <c r="D427" s="3" t="str">
        <f>IFERROR(__xludf.DUMMYFUNCTION("""COMPUTED_VALUE"""),"")</f>
        <v/>
      </c>
      <c r="E427" s="3"/>
      <c r="F427" s="3"/>
      <c r="G427" s="3"/>
      <c r="H427" s="3"/>
      <c r="I427" s="3"/>
      <c r="J427" s="3"/>
      <c r="K427" s="3"/>
      <c r="L427" s="3"/>
      <c r="M427" s="3"/>
      <c r="N427" s="3"/>
      <c r="O427" s="3"/>
    </row>
    <row r="428">
      <c r="A428" s="3" t="b">
        <f>IFERROR(__xludf.DUMMYFUNCTION("""COMPUTED_VALUE"""),FALSE)</f>
        <v>0</v>
      </c>
      <c r="B428" s="3" t="str">
        <f>IFERROR(__xludf.DUMMYFUNCTION("""COMPUTED_VALUE"""),"")</f>
        <v/>
      </c>
      <c r="C428" s="3"/>
      <c r="D428" s="3" t="str">
        <f>IFERROR(__xludf.DUMMYFUNCTION("""COMPUTED_VALUE"""),"")</f>
        <v/>
      </c>
      <c r="E428" s="3"/>
      <c r="F428" s="3"/>
      <c r="G428" s="3"/>
      <c r="H428" s="3"/>
      <c r="I428" s="3"/>
      <c r="J428" s="3"/>
      <c r="K428" s="3"/>
      <c r="L428" s="3"/>
      <c r="M428" s="3"/>
      <c r="N428" s="3"/>
      <c r="O428" s="3"/>
    </row>
    <row r="429">
      <c r="A429" s="3" t="b">
        <f>IFERROR(__xludf.DUMMYFUNCTION("""COMPUTED_VALUE"""),FALSE)</f>
        <v>0</v>
      </c>
      <c r="B429" s="3" t="str">
        <f>IFERROR(__xludf.DUMMYFUNCTION("""COMPUTED_VALUE"""),"")</f>
        <v/>
      </c>
      <c r="C429" s="3"/>
      <c r="D429" s="3" t="str">
        <f>IFERROR(__xludf.DUMMYFUNCTION("""COMPUTED_VALUE"""),"")</f>
        <v/>
      </c>
      <c r="E429" s="3"/>
      <c r="F429" s="3"/>
      <c r="G429" s="3"/>
      <c r="H429" s="3"/>
      <c r="I429" s="3"/>
      <c r="J429" s="3"/>
      <c r="K429" s="3"/>
      <c r="L429" s="3"/>
      <c r="M429" s="3"/>
      <c r="N429" s="3"/>
      <c r="O429" s="3"/>
    </row>
    <row r="430">
      <c r="A430" s="3" t="b">
        <f>IFERROR(__xludf.DUMMYFUNCTION("""COMPUTED_VALUE"""),FALSE)</f>
        <v>0</v>
      </c>
      <c r="B430" s="3" t="str">
        <f>IFERROR(__xludf.DUMMYFUNCTION("""COMPUTED_VALUE"""),"")</f>
        <v/>
      </c>
      <c r="C430" s="3"/>
      <c r="D430" s="3" t="str">
        <f>IFERROR(__xludf.DUMMYFUNCTION("""COMPUTED_VALUE"""),"")</f>
        <v/>
      </c>
      <c r="E430" s="3"/>
      <c r="F430" s="3"/>
      <c r="G430" s="3"/>
      <c r="H430" s="3"/>
      <c r="I430" s="3"/>
      <c r="J430" s="3"/>
      <c r="K430" s="3"/>
      <c r="L430" s="3"/>
      <c r="M430" s="3"/>
      <c r="N430" s="3"/>
      <c r="O430" s="3"/>
    </row>
    <row r="431">
      <c r="A431" s="3" t="b">
        <f>IFERROR(__xludf.DUMMYFUNCTION("""COMPUTED_VALUE"""),FALSE)</f>
        <v>0</v>
      </c>
      <c r="B431" s="3" t="str">
        <f>IFERROR(__xludf.DUMMYFUNCTION("""COMPUTED_VALUE"""),"")</f>
        <v/>
      </c>
      <c r="C431" s="3"/>
      <c r="D431" s="3" t="str">
        <f>IFERROR(__xludf.DUMMYFUNCTION("""COMPUTED_VALUE"""),"")</f>
        <v/>
      </c>
      <c r="E431" s="3"/>
      <c r="F431" s="3"/>
      <c r="G431" s="3"/>
      <c r="H431" s="3"/>
      <c r="I431" s="3"/>
      <c r="J431" s="3"/>
      <c r="K431" s="3"/>
      <c r="L431" s="3"/>
      <c r="M431" s="3"/>
      <c r="N431" s="3"/>
      <c r="O431" s="3"/>
    </row>
    <row r="432">
      <c r="A432" s="3" t="b">
        <f>IFERROR(__xludf.DUMMYFUNCTION("""COMPUTED_VALUE"""),FALSE)</f>
        <v>0</v>
      </c>
      <c r="B432" s="3" t="str">
        <f>IFERROR(__xludf.DUMMYFUNCTION("""COMPUTED_VALUE"""),"")</f>
        <v/>
      </c>
      <c r="C432" s="3"/>
      <c r="D432" s="3" t="str">
        <f>IFERROR(__xludf.DUMMYFUNCTION("""COMPUTED_VALUE"""),"")</f>
        <v/>
      </c>
      <c r="E432" s="3"/>
      <c r="F432" s="3"/>
      <c r="G432" s="3"/>
      <c r="H432" s="3"/>
      <c r="I432" s="3"/>
      <c r="J432" s="3"/>
      <c r="K432" s="3"/>
      <c r="L432" s="3"/>
      <c r="M432" s="3"/>
      <c r="N432" s="3"/>
      <c r="O432" s="3"/>
    </row>
    <row r="433">
      <c r="A433" s="3" t="b">
        <f>IFERROR(__xludf.DUMMYFUNCTION("""COMPUTED_VALUE"""),FALSE)</f>
        <v>0</v>
      </c>
      <c r="B433" s="3" t="str">
        <f>IFERROR(__xludf.DUMMYFUNCTION("""COMPUTED_VALUE"""),"")</f>
        <v/>
      </c>
      <c r="C433" s="3"/>
      <c r="D433" s="3" t="str">
        <f>IFERROR(__xludf.DUMMYFUNCTION("""COMPUTED_VALUE"""),"")</f>
        <v/>
      </c>
      <c r="E433" s="3"/>
      <c r="F433" s="3"/>
      <c r="G433" s="3"/>
      <c r="H433" s="3"/>
      <c r="I433" s="3"/>
      <c r="J433" s="3"/>
      <c r="K433" s="3"/>
      <c r="L433" s="3"/>
      <c r="M433" s="3"/>
      <c r="N433" s="3"/>
      <c r="O433" s="3"/>
    </row>
    <row r="434">
      <c r="A434" s="3" t="b">
        <f>IFERROR(__xludf.DUMMYFUNCTION("""COMPUTED_VALUE"""),FALSE)</f>
        <v>0</v>
      </c>
      <c r="B434" s="3" t="str">
        <f>IFERROR(__xludf.DUMMYFUNCTION("""COMPUTED_VALUE"""),"")</f>
        <v/>
      </c>
      <c r="C434" s="3"/>
      <c r="D434" s="3" t="str">
        <f>IFERROR(__xludf.DUMMYFUNCTION("""COMPUTED_VALUE"""),"")</f>
        <v/>
      </c>
      <c r="E434" s="3"/>
      <c r="F434" s="3"/>
      <c r="G434" s="3"/>
      <c r="H434" s="3"/>
      <c r="I434" s="3"/>
      <c r="J434" s="3"/>
      <c r="K434" s="3"/>
      <c r="L434" s="3"/>
      <c r="M434" s="3"/>
      <c r="N434" s="3"/>
      <c r="O434" s="3"/>
    </row>
    <row r="435">
      <c r="A435" s="3" t="b">
        <f>IFERROR(__xludf.DUMMYFUNCTION("""COMPUTED_VALUE"""),FALSE)</f>
        <v>0</v>
      </c>
      <c r="B435" s="3" t="str">
        <f>IFERROR(__xludf.DUMMYFUNCTION("""COMPUTED_VALUE"""),"")</f>
        <v/>
      </c>
      <c r="C435" s="3"/>
      <c r="D435" s="3" t="str">
        <f>IFERROR(__xludf.DUMMYFUNCTION("""COMPUTED_VALUE"""),"")</f>
        <v/>
      </c>
      <c r="E435" s="3"/>
      <c r="F435" s="3"/>
      <c r="G435" s="3"/>
      <c r="H435" s="3"/>
      <c r="I435" s="3"/>
      <c r="J435" s="3"/>
      <c r="K435" s="3"/>
      <c r="L435" s="3"/>
      <c r="M435" s="3"/>
      <c r="N435" s="3"/>
      <c r="O435" s="3"/>
    </row>
    <row r="436">
      <c r="A436" s="3" t="b">
        <f>IFERROR(__xludf.DUMMYFUNCTION("""COMPUTED_VALUE"""),FALSE)</f>
        <v>0</v>
      </c>
      <c r="B436" s="3" t="str">
        <f>IFERROR(__xludf.DUMMYFUNCTION("""COMPUTED_VALUE"""),"")</f>
        <v/>
      </c>
      <c r="C436" s="3"/>
      <c r="D436" s="3" t="str">
        <f>IFERROR(__xludf.DUMMYFUNCTION("""COMPUTED_VALUE"""),"")</f>
        <v/>
      </c>
      <c r="E436" s="3"/>
      <c r="F436" s="3"/>
      <c r="G436" s="3"/>
      <c r="H436" s="3"/>
      <c r="I436" s="3"/>
      <c r="J436" s="3"/>
      <c r="K436" s="3"/>
      <c r="L436" s="3"/>
      <c r="M436" s="3"/>
      <c r="N436" s="3"/>
      <c r="O436" s="3"/>
    </row>
    <row r="437">
      <c r="A437" s="3" t="b">
        <f>IFERROR(__xludf.DUMMYFUNCTION("""COMPUTED_VALUE"""),FALSE)</f>
        <v>0</v>
      </c>
      <c r="B437" s="3" t="str">
        <f>IFERROR(__xludf.DUMMYFUNCTION("""COMPUTED_VALUE"""),"")</f>
        <v/>
      </c>
      <c r="C437" s="3"/>
      <c r="D437" s="3" t="str">
        <f>IFERROR(__xludf.DUMMYFUNCTION("""COMPUTED_VALUE"""),"")</f>
        <v/>
      </c>
      <c r="E437" s="3"/>
      <c r="F437" s="3"/>
      <c r="G437" s="3"/>
      <c r="H437" s="3"/>
      <c r="I437" s="3"/>
      <c r="J437" s="3"/>
      <c r="K437" s="3"/>
      <c r="L437" s="3"/>
      <c r="M437" s="3"/>
      <c r="N437" s="3"/>
      <c r="O437" s="3"/>
    </row>
    <row r="438">
      <c r="A438" s="3" t="b">
        <f>IFERROR(__xludf.DUMMYFUNCTION("""COMPUTED_VALUE"""),FALSE)</f>
        <v>0</v>
      </c>
      <c r="B438" s="3" t="str">
        <f>IFERROR(__xludf.DUMMYFUNCTION("""COMPUTED_VALUE"""),"")</f>
        <v/>
      </c>
      <c r="C438" s="3"/>
      <c r="D438" s="3" t="str">
        <f>IFERROR(__xludf.DUMMYFUNCTION("""COMPUTED_VALUE"""),"")</f>
        <v/>
      </c>
      <c r="E438" s="3"/>
      <c r="F438" s="3"/>
      <c r="G438" s="3"/>
      <c r="H438" s="3"/>
      <c r="I438" s="3"/>
      <c r="J438" s="3"/>
      <c r="K438" s="3"/>
      <c r="L438" s="3"/>
      <c r="M438" s="3"/>
      <c r="N438" s="3"/>
      <c r="O438" s="3"/>
    </row>
    <row r="439">
      <c r="A439" s="3" t="b">
        <f>IFERROR(__xludf.DUMMYFUNCTION("""COMPUTED_VALUE"""),FALSE)</f>
        <v>0</v>
      </c>
      <c r="B439" s="3" t="str">
        <f>IFERROR(__xludf.DUMMYFUNCTION("""COMPUTED_VALUE"""),"")</f>
        <v/>
      </c>
      <c r="C439" s="3"/>
      <c r="D439" s="3" t="str">
        <f>IFERROR(__xludf.DUMMYFUNCTION("""COMPUTED_VALUE"""),"")</f>
        <v/>
      </c>
      <c r="E439" s="3"/>
      <c r="F439" s="3"/>
      <c r="G439" s="3"/>
      <c r="H439" s="3"/>
      <c r="I439" s="3"/>
      <c r="J439" s="3"/>
      <c r="K439" s="3"/>
      <c r="L439" s="3"/>
      <c r="M439" s="3"/>
      <c r="N439" s="3"/>
      <c r="O439" s="3"/>
    </row>
    <row r="440">
      <c r="A440" s="3" t="b">
        <f>IFERROR(__xludf.DUMMYFUNCTION("""COMPUTED_VALUE"""),FALSE)</f>
        <v>0</v>
      </c>
      <c r="B440" s="3" t="str">
        <f>IFERROR(__xludf.DUMMYFUNCTION("""COMPUTED_VALUE"""),"")</f>
        <v/>
      </c>
      <c r="C440" s="3"/>
      <c r="D440" s="3" t="str">
        <f>IFERROR(__xludf.DUMMYFUNCTION("""COMPUTED_VALUE"""),"")</f>
        <v/>
      </c>
      <c r="E440" s="3"/>
      <c r="F440" s="3"/>
      <c r="G440" s="3"/>
      <c r="H440" s="3"/>
      <c r="I440" s="3"/>
      <c r="J440" s="3"/>
      <c r="K440" s="3"/>
      <c r="L440" s="3"/>
      <c r="M440" s="3"/>
      <c r="N440" s="3"/>
      <c r="O440" s="3"/>
    </row>
    <row r="441">
      <c r="A441" s="3" t="b">
        <f>IFERROR(__xludf.DUMMYFUNCTION("""COMPUTED_VALUE"""),FALSE)</f>
        <v>0</v>
      </c>
      <c r="B441" s="3" t="str">
        <f>IFERROR(__xludf.DUMMYFUNCTION("""COMPUTED_VALUE"""),"")</f>
        <v/>
      </c>
      <c r="C441" s="3"/>
      <c r="D441" s="3" t="str">
        <f>IFERROR(__xludf.DUMMYFUNCTION("""COMPUTED_VALUE"""),"")</f>
        <v/>
      </c>
      <c r="E441" s="3"/>
      <c r="F441" s="3"/>
      <c r="G441" s="3"/>
      <c r="H441" s="3"/>
      <c r="I441" s="3"/>
      <c r="J441" s="3"/>
      <c r="K441" s="3"/>
      <c r="L441" s="3"/>
      <c r="M441" s="3"/>
      <c r="N441" s="3"/>
      <c r="O441" s="3"/>
    </row>
    <row r="442">
      <c r="A442" s="3" t="b">
        <f>IFERROR(__xludf.DUMMYFUNCTION("""COMPUTED_VALUE"""),FALSE)</f>
        <v>0</v>
      </c>
      <c r="B442" s="3" t="str">
        <f>IFERROR(__xludf.DUMMYFUNCTION("""COMPUTED_VALUE"""),"")</f>
        <v/>
      </c>
      <c r="C442" s="3"/>
      <c r="D442" s="3" t="str">
        <f>IFERROR(__xludf.DUMMYFUNCTION("""COMPUTED_VALUE"""),"")</f>
        <v/>
      </c>
      <c r="E442" s="3"/>
      <c r="F442" s="3"/>
      <c r="G442" s="3"/>
      <c r="H442" s="3"/>
      <c r="I442" s="3"/>
      <c r="J442" s="3"/>
      <c r="K442" s="3"/>
      <c r="L442" s="3"/>
      <c r="M442" s="3"/>
      <c r="N442" s="3"/>
      <c r="O442" s="3"/>
    </row>
    <row r="443">
      <c r="A443" s="3" t="b">
        <f>IFERROR(__xludf.DUMMYFUNCTION("""COMPUTED_VALUE"""),FALSE)</f>
        <v>0</v>
      </c>
      <c r="B443" s="3" t="str">
        <f>IFERROR(__xludf.DUMMYFUNCTION("""COMPUTED_VALUE"""),"")</f>
        <v/>
      </c>
      <c r="C443" s="3"/>
      <c r="D443" s="3" t="str">
        <f>IFERROR(__xludf.DUMMYFUNCTION("""COMPUTED_VALUE"""),"")</f>
        <v/>
      </c>
      <c r="E443" s="3"/>
      <c r="F443" s="3"/>
      <c r="G443" s="3"/>
      <c r="H443" s="3"/>
      <c r="I443" s="3"/>
      <c r="J443" s="3"/>
      <c r="K443" s="3"/>
      <c r="L443" s="3"/>
      <c r="M443" s="3"/>
      <c r="N443" s="3"/>
      <c r="O443" s="3"/>
    </row>
    <row r="444">
      <c r="A444" s="3" t="b">
        <f>IFERROR(__xludf.DUMMYFUNCTION("""COMPUTED_VALUE"""),FALSE)</f>
        <v>0</v>
      </c>
      <c r="B444" s="3" t="str">
        <f>IFERROR(__xludf.DUMMYFUNCTION("""COMPUTED_VALUE"""),"")</f>
        <v/>
      </c>
      <c r="C444" s="3"/>
      <c r="D444" s="3" t="str">
        <f>IFERROR(__xludf.DUMMYFUNCTION("""COMPUTED_VALUE"""),"")</f>
        <v/>
      </c>
      <c r="E444" s="3"/>
      <c r="F444" s="3"/>
      <c r="G444" s="3"/>
      <c r="H444" s="3"/>
      <c r="I444" s="3"/>
      <c r="J444" s="3"/>
      <c r="K444" s="3"/>
      <c r="L444" s="3"/>
      <c r="M444" s="3"/>
      <c r="N444" s="3"/>
      <c r="O444" s="3"/>
    </row>
    <row r="445">
      <c r="A445" s="3" t="b">
        <f>IFERROR(__xludf.DUMMYFUNCTION("""COMPUTED_VALUE"""),FALSE)</f>
        <v>0</v>
      </c>
      <c r="B445" s="3" t="str">
        <f>IFERROR(__xludf.DUMMYFUNCTION("""COMPUTED_VALUE"""),"")</f>
        <v/>
      </c>
      <c r="C445" s="3"/>
      <c r="D445" s="3" t="str">
        <f>IFERROR(__xludf.DUMMYFUNCTION("""COMPUTED_VALUE"""),"")</f>
        <v/>
      </c>
      <c r="E445" s="3"/>
      <c r="F445" s="3"/>
      <c r="G445" s="3"/>
      <c r="H445" s="3"/>
      <c r="I445" s="3"/>
      <c r="J445" s="3"/>
      <c r="K445" s="3"/>
      <c r="L445" s="3"/>
      <c r="M445" s="3"/>
      <c r="N445" s="3"/>
      <c r="O445" s="3"/>
    </row>
    <row r="446">
      <c r="A446" s="3" t="b">
        <f>IFERROR(__xludf.DUMMYFUNCTION("""COMPUTED_VALUE"""),FALSE)</f>
        <v>0</v>
      </c>
      <c r="B446" s="3" t="str">
        <f>IFERROR(__xludf.DUMMYFUNCTION("""COMPUTED_VALUE"""),"")</f>
        <v/>
      </c>
      <c r="C446" s="3"/>
      <c r="D446" s="3" t="str">
        <f>IFERROR(__xludf.DUMMYFUNCTION("""COMPUTED_VALUE"""),"")</f>
        <v/>
      </c>
      <c r="E446" s="3"/>
      <c r="F446" s="3"/>
      <c r="G446" s="3"/>
      <c r="H446" s="3"/>
      <c r="I446" s="3"/>
      <c r="J446" s="3"/>
      <c r="K446" s="3"/>
      <c r="L446" s="3"/>
      <c r="M446" s="3"/>
      <c r="N446" s="3"/>
      <c r="O446" s="3"/>
    </row>
    <row r="447">
      <c r="A447" s="3" t="b">
        <f>IFERROR(__xludf.DUMMYFUNCTION("""COMPUTED_VALUE"""),FALSE)</f>
        <v>0</v>
      </c>
      <c r="B447" s="3" t="str">
        <f>IFERROR(__xludf.DUMMYFUNCTION("""COMPUTED_VALUE"""),"")</f>
        <v/>
      </c>
      <c r="C447" s="3"/>
      <c r="D447" s="3" t="str">
        <f>IFERROR(__xludf.DUMMYFUNCTION("""COMPUTED_VALUE"""),"")</f>
        <v/>
      </c>
      <c r="E447" s="3"/>
      <c r="F447" s="3"/>
      <c r="G447" s="3"/>
      <c r="H447" s="3"/>
      <c r="I447" s="3"/>
      <c r="J447" s="3"/>
      <c r="K447" s="3"/>
      <c r="L447" s="3"/>
      <c r="M447" s="3"/>
      <c r="N447" s="3"/>
      <c r="O447" s="3"/>
    </row>
    <row r="448">
      <c r="A448" s="3" t="b">
        <f>IFERROR(__xludf.DUMMYFUNCTION("""COMPUTED_VALUE"""),FALSE)</f>
        <v>0</v>
      </c>
      <c r="B448" s="3" t="str">
        <f>IFERROR(__xludf.DUMMYFUNCTION("""COMPUTED_VALUE"""),"")</f>
        <v/>
      </c>
      <c r="C448" s="3"/>
      <c r="D448" s="3" t="str">
        <f>IFERROR(__xludf.DUMMYFUNCTION("""COMPUTED_VALUE"""),"")</f>
        <v/>
      </c>
      <c r="E448" s="3"/>
      <c r="F448" s="3"/>
      <c r="G448" s="3"/>
      <c r="H448" s="3"/>
      <c r="I448" s="3"/>
      <c r="J448" s="3"/>
      <c r="K448" s="3"/>
      <c r="L448" s="3"/>
      <c r="M448" s="3"/>
      <c r="N448" s="3"/>
      <c r="O448" s="3"/>
    </row>
    <row r="449">
      <c r="A449" s="3" t="b">
        <f>IFERROR(__xludf.DUMMYFUNCTION("""COMPUTED_VALUE"""),FALSE)</f>
        <v>0</v>
      </c>
      <c r="B449" s="3" t="str">
        <f>IFERROR(__xludf.DUMMYFUNCTION("""COMPUTED_VALUE"""),"")</f>
        <v/>
      </c>
      <c r="C449" s="3"/>
      <c r="D449" s="3" t="str">
        <f>IFERROR(__xludf.DUMMYFUNCTION("""COMPUTED_VALUE"""),"")</f>
        <v/>
      </c>
      <c r="E449" s="3"/>
      <c r="F449" s="3"/>
      <c r="G449" s="3"/>
      <c r="H449" s="3"/>
      <c r="I449" s="3"/>
      <c r="J449" s="3"/>
      <c r="K449" s="3"/>
      <c r="L449" s="3"/>
      <c r="M449" s="3"/>
      <c r="N449" s="3"/>
      <c r="O449" s="3"/>
    </row>
    <row r="450">
      <c r="A450" s="3" t="b">
        <f>IFERROR(__xludf.DUMMYFUNCTION("""COMPUTED_VALUE"""),FALSE)</f>
        <v>0</v>
      </c>
      <c r="B450" s="3" t="str">
        <f>IFERROR(__xludf.DUMMYFUNCTION("""COMPUTED_VALUE"""),"")</f>
        <v/>
      </c>
      <c r="C450" s="3"/>
      <c r="D450" s="3" t="str">
        <f>IFERROR(__xludf.DUMMYFUNCTION("""COMPUTED_VALUE"""),"")</f>
        <v/>
      </c>
      <c r="E450" s="3"/>
      <c r="F450" s="3"/>
      <c r="G450" s="3"/>
      <c r="H450" s="3"/>
      <c r="I450" s="3"/>
      <c r="J450" s="3"/>
      <c r="K450" s="3"/>
      <c r="L450" s="3"/>
      <c r="M450" s="3"/>
      <c r="N450" s="3"/>
      <c r="O450" s="3"/>
    </row>
    <row r="451">
      <c r="A451" s="3" t="b">
        <f>IFERROR(__xludf.DUMMYFUNCTION("""COMPUTED_VALUE"""),FALSE)</f>
        <v>0</v>
      </c>
      <c r="B451" s="3" t="str">
        <f>IFERROR(__xludf.DUMMYFUNCTION("""COMPUTED_VALUE"""),"")</f>
        <v/>
      </c>
      <c r="C451" s="3"/>
      <c r="D451" s="3" t="str">
        <f>IFERROR(__xludf.DUMMYFUNCTION("""COMPUTED_VALUE"""),"")</f>
        <v/>
      </c>
      <c r="E451" s="3"/>
      <c r="F451" s="3"/>
      <c r="G451" s="3"/>
      <c r="H451" s="3"/>
      <c r="I451" s="3"/>
      <c r="J451" s="3"/>
      <c r="K451" s="3"/>
      <c r="L451" s="3"/>
      <c r="M451" s="3"/>
      <c r="N451" s="3"/>
      <c r="O451" s="3"/>
    </row>
    <row r="452">
      <c r="A452" s="3" t="b">
        <f>IFERROR(__xludf.DUMMYFUNCTION("""COMPUTED_VALUE"""),FALSE)</f>
        <v>0</v>
      </c>
      <c r="B452" s="3" t="str">
        <f>IFERROR(__xludf.DUMMYFUNCTION("""COMPUTED_VALUE"""),"")</f>
        <v/>
      </c>
      <c r="C452" s="3"/>
      <c r="D452" s="3" t="str">
        <f>IFERROR(__xludf.DUMMYFUNCTION("""COMPUTED_VALUE"""),"")</f>
        <v/>
      </c>
      <c r="E452" s="3"/>
      <c r="F452" s="3"/>
      <c r="G452" s="3"/>
      <c r="H452" s="3"/>
      <c r="I452" s="3"/>
      <c r="J452" s="3"/>
      <c r="K452" s="3"/>
      <c r="L452" s="3"/>
      <c r="M452" s="3"/>
      <c r="N452" s="3"/>
      <c r="O452" s="3"/>
    </row>
    <row r="453">
      <c r="A453" s="3" t="b">
        <f>IFERROR(__xludf.DUMMYFUNCTION("""COMPUTED_VALUE"""),FALSE)</f>
        <v>0</v>
      </c>
      <c r="B453" s="3" t="str">
        <f>IFERROR(__xludf.DUMMYFUNCTION("""COMPUTED_VALUE"""),"")</f>
        <v/>
      </c>
      <c r="C453" s="3"/>
      <c r="D453" s="3" t="str">
        <f>IFERROR(__xludf.DUMMYFUNCTION("""COMPUTED_VALUE"""),"")</f>
        <v/>
      </c>
      <c r="E453" s="3"/>
      <c r="F453" s="3"/>
      <c r="G453" s="3"/>
      <c r="H453" s="3"/>
      <c r="I453" s="3"/>
      <c r="J453" s="3"/>
      <c r="K453" s="3"/>
      <c r="L453" s="3"/>
      <c r="M453" s="3"/>
      <c r="N453" s="3"/>
      <c r="O453" s="3"/>
    </row>
    <row r="454">
      <c r="A454" s="3" t="b">
        <f>IFERROR(__xludf.DUMMYFUNCTION("""COMPUTED_VALUE"""),FALSE)</f>
        <v>0</v>
      </c>
      <c r="B454" s="3" t="str">
        <f>IFERROR(__xludf.DUMMYFUNCTION("""COMPUTED_VALUE"""),"")</f>
        <v/>
      </c>
      <c r="C454" s="3"/>
      <c r="D454" s="3" t="str">
        <f>IFERROR(__xludf.DUMMYFUNCTION("""COMPUTED_VALUE"""),"")</f>
        <v/>
      </c>
      <c r="E454" s="3"/>
      <c r="F454" s="3"/>
      <c r="G454" s="3"/>
      <c r="H454" s="3"/>
      <c r="I454" s="3"/>
      <c r="J454" s="3"/>
      <c r="K454" s="3"/>
      <c r="L454" s="3"/>
      <c r="M454" s="3"/>
      <c r="N454" s="3"/>
      <c r="O454" s="3"/>
    </row>
    <row r="455">
      <c r="A455" s="3" t="b">
        <f>IFERROR(__xludf.DUMMYFUNCTION("""COMPUTED_VALUE"""),FALSE)</f>
        <v>0</v>
      </c>
      <c r="B455" s="3" t="str">
        <f>IFERROR(__xludf.DUMMYFUNCTION("""COMPUTED_VALUE"""),"")</f>
        <v/>
      </c>
      <c r="C455" s="3"/>
      <c r="D455" s="3" t="str">
        <f>IFERROR(__xludf.DUMMYFUNCTION("""COMPUTED_VALUE"""),"")</f>
        <v/>
      </c>
      <c r="E455" s="3"/>
      <c r="F455" s="3"/>
      <c r="G455" s="3"/>
      <c r="H455" s="3"/>
      <c r="I455" s="3"/>
      <c r="J455" s="3"/>
      <c r="K455" s="3"/>
      <c r="L455" s="3"/>
      <c r="M455" s="3"/>
      <c r="N455" s="3"/>
      <c r="O455" s="3"/>
    </row>
    <row r="456">
      <c r="A456" s="3" t="b">
        <f>IFERROR(__xludf.DUMMYFUNCTION("""COMPUTED_VALUE"""),FALSE)</f>
        <v>0</v>
      </c>
      <c r="B456" s="3" t="str">
        <f>IFERROR(__xludf.DUMMYFUNCTION("""COMPUTED_VALUE"""),"")</f>
        <v/>
      </c>
      <c r="C456" s="3"/>
      <c r="D456" s="3" t="str">
        <f>IFERROR(__xludf.DUMMYFUNCTION("""COMPUTED_VALUE"""),"")</f>
        <v/>
      </c>
      <c r="E456" s="3"/>
      <c r="F456" s="3"/>
      <c r="G456" s="3"/>
      <c r="H456" s="3"/>
      <c r="I456" s="3"/>
      <c r="J456" s="3"/>
      <c r="K456" s="3"/>
      <c r="L456" s="3"/>
      <c r="M456" s="3"/>
      <c r="N456" s="3"/>
      <c r="O456" s="3"/>
    </row>
    <row r="457">
      <c r="A457" s="3" t="b">
        <f>IFERROR(__xludf.DUMMYFUNCTION("""COMPUTED_VALUE"""),FALSE)</f>
        <v>0</v>
      </c>
      <c r="B457" s="3" t="str">
        <f>IFERROR(__xludf.DUMMYFUNCTION("""COMPUTED_VALUE"""),"")</f>
        <v/>
      </c>
      <c r="C457" s="3"/>
      <c r="D457" s="3" t="str">
        <f>IFERROR(__xludf.DUMMYFUNCTION("""COMPUTED_VALUE"""),"")</f>
        <v/>
      </c>
      <c r="E457" s="3"/>
      <c r="F457" s="3"/>
      <c r="G457" s="3"/>
      <c r="H457" s="3"/>
      <c r="I457" s="3"/>
      <c r="J457" s="3"/>
      <c r="K457" s="3"/>
      <c r="L457" s="3"/>
      <c r="M457" s="3"/>
      <c r="N457" s="3"/>
      <c r="O457" s="3"/>
    </row>
    <row r="458">
      <c r="A458" s="3" t="b">
        <f>IFERROR(__xludf.DUMMYFUNCTION("""COMPUTED_VALUE"""),FALSE)</f>
        <v>0</v>
      </c>
      <c r="B458" s="3" t="str">
        <f>IFERROR(__xludf.DUMMYFUNCTION("""COMPUTED_VALUE"""),"")</f>
        <v/>
      </c>
      <c r="C458" s="3"/>
      <c r="D458" s="3" t="str">
        <f>IFERROR(__xludf.DUMMYFUNCTION("""COMPUTED_VALUE"""),"")</f>
        <v/>
      </c>
      <c r="E458" s="3"/>
      <c r="F458" s="3"/>
      <c r="G458" s="3"/>
      <c r="H458" s="3"/>
      <c r="I458" s="3"/>
      <c r="J458" s="3"/>
      <c r="K458" s="3"/>
      <c r="L458" s="3"/>
      <c r="M458" s="3"/>
      <c r="N458" s="3"/>
      <c r="O458" s="3"/>
    </row>
    <row r="459">
      <c r="A459" s="3" t="b">
        <f>IFERROR(__xludf.DUMMYFUNCTION("""COMPUTED_VALUE"""),FALSE)</f>
        <v>0</v>
      </c>
      <c r="B459" s="3" t="str">
        <f>IFERROR(__xludf.DUMMYFUNCTION("""COMPUTED_VALUE"""),"")</f>
        <v/>
      </c>
      <c r="C459" s="3"/>
      <c r="D459" s="3" t="str">
        <f>IFERROR(__xludf.DUMMYFUNCTION("""COMPUTED_VALUE"""),"")</f>
        <v/>
      </c>
      <c r="E459" s="3"/>
      <c r="F459" s="3"/>
      <c r="G459" s="3"/>
      <c r="H459" s="3"/>
      <c r="I459" s="3"/>
      <c r="J459" s="3"/>
      <c r="K459" s="3"/>
      <c r="L459" s="3"/>
      <c r="M459" s="3"/>
      <c r="N459" s="3"/>
      <c r="O459" s="3"/>
    </row>
    <row r="460">
      <c r="A460" s="3" t="b">
        <f>IFERROR(__xludf.DUMMYFUNCTION("""COMPUTED_VALUE"""),FALSE)</f>
        <v>0</v>
      </c>
      <c r="B460" s="3" t="str">
        <f>IFERROR(__xludf.DUMMYFUNCTION("""COMPUTED_VALUE"""),"")</f>
        <v/>
      </c>
      <c r="C460" s="3"/>
      <c r="D460" s="3" t="str">
        <f>IFERROR(__xludf.DUMMYFUNCTION("""COMPUTED_VALUE"""),"")</f>
        <v/>
      </c>
      <c r="E460" s="3"/>
      <c r="F460" s="3"/>
      <c r="G460" s="3"/>
      <c r="H460" s="3"/>
      <c r="I460" s="3"/>
      <c r="J460" s="3"/>
      <c r="K460" s="3"/>
      <c r="L460" s="3"/>
      <c r="M460" s="3"/>
      <c r="N460" s="3"/>
      <c r="O460" s="3"/>
    </row>
    <row r="461">
      <c r="A461" s="3" t="b">
        <f>IFERROR(__xludf.DUMMYFUNCTION("""COMPUTED_VALUE"""),FALSE)</f>
        <v>0</v>
      </c>
      <c r="B461" s="3" t="str">
        <f>IFERROR(__xludf.DUMMYFUNCTION("""COMPUTED_VALUE"""),"")</f>
        <v/>
      </c>
      <c r="C461" s="3"/>
      <c r="D461" s="3" t="str">
        <f>IFERROR(__xludf.DUMMYFUNCTION("""COMPUTED_VALUE"""),"")</f>
        <v/>
      </c>
      <c r="E461" s="3"/>
      <c r="F461" s="3"/>
      <c r="G461" s="3"/>
      <c r="H461" s="3"/>
      <c r="I461" s="3"/>
      <c r="J461" s="3"/>
      <c r="K461" s="3"/>
      <c r="L461" s="3"/>
      <c r="M461" s="3"/>
      <c r="N461" s="3"/>
      <c r="O461" s="3"/>
    </row>
    <row r="462">
      <c r="A462" s="3" t="b">
        <f>IFERROR(__xludf.DUMMYFUNCTION("""COMPUTED_VALUE"""),FALSE)</f>
        <v>0</v>
      </c>
      <c r="B462" s="3" t="str">
        <f>IFERROR(__xludf.DUMMYFUNCTION("""COMPUTED_VALUE"""),"")</f>
        <v/>
      </c>
      <c r="C462" s="3"/>
      <c r="D462" s="3" t="str">
        <f>IFERROR(__xludf.DUMMYFUNCTION("""COMPUTED_VALUE"""),"")</f>
        <v/>
      </c>
      <c r="E462" s="3"/>
      <c r="F462" s="3"/>
      <c r="G462" s="3"/>
      <c r="H462" s="3"/>
      <c r="I462" s="3"/>
      <c r="J462" s="3"/>
      <c r="K462" s="3"/>
      <c r="L462" s="3"/>
      <c r="M462" s="3"/>
      <c r="N462" s="3"/>
      <c r="O462" s="3"/>
    </row>
    <row r="463">
      <c r="A463" s="3" t="b">
        <f>IFERROR(__xludf.DUMMYFUNCTION("""COMPUTED_VALUE"""),FALSE)</f>
        <v>0</v>
      </c>
      <c r="B463" s="3" t="str">
        <f>IFERROR(__xludf.DUMMYFUNCTION("""COMPUTED_VALUE"""),"")</f>
        <v/>
      </c>
      <c r="C463" s="3"/>
      <c r="D463" s="3" t="str">
        <f>IFERROR(__xludf.DUMMYFUNCTION("""COMPUTED_VALUE"""),"")</f>
        <v/>
      </c>
      <c r="E463" s="3"/>
      <c r="F463" s="3"/>
      <c r="G463" s="3"/>
      <c r="H463" s="3"/>
      <c r="I463" s="3"/>
      <c r="J463" s="3"/>
      <c r="K463" s="3"/>
      <c r="L463" s="3"/>
      <c r="M463" s="3"/>
      <c r="N463" s="3"/>
      <c r="O463" s="3"/>
    </row>
    <row r="464">
      <c r="A464" s="3" t="b">
        <f>IFERROR(__xludf.DUMMYFUNCTION("""COMPUTED_VALUE"""),FALSE)</f>
        <v>0</v>
      </c>
      <c r="B464" s="3" t="str">
        <f>IFERROR(__xludf.DUMMYFUNCTION("""COMPUTED_VALUE"""),"")</f>
        <v/>
      </c>
      <c r="C464" s="3"/>
      <c r="D464" s="3" t="str">
        <f>IFERROR(__xludf.DUMMYFUNCTION("""COMPUTED_VALUE"""),"")</f>
        <v/>
      </c>
      <c r="E464" s="3"/>
      <c r="F464" s="3"/>
      <c r="G464" s="3"/>
      <c r="H464" s="3"/>
      <c r="I464" s="3"/>
      <c r="J464" s="3"/>
      <c r="K464" s="3"/>
      <c r="L464" s="3"/>
      <c r="M464" s="3"/>
      <c r="N464" s="3"/>
      <c r="O464" s="3"/>
    </row>
    <row r="465">
      <c r="A465" s="3" t="b">
        <f>IFERROR(__xludf.DUMMYFUNCTION("""COMPUTED_VALUE"""),FALSE)</f>
        <v>0</v>
      </c>
      <c r="B465" s="3" t="str">
        <f>IFERROR(__xludf.DUMMYFUNCTION("""COMPUTED_VALUE"""),"")</f>
        <v/>
      </c>
      <c r="C465" s="3"/>
      <c r="D465" s="3" t="str">
        <f>IFERROR(__xludf.DUMMYFUNCTION("""COMPUTED_VALUE"""),"")</f>
        <v/>
      </c>
      <c r="E465" s="3"/>
      <c r="F465" s="3"/>
      <c r="G465" s="3"/>
      <c r="H465" s="3"/>
      <c r="I465" s="3"/>
      <c r="J465" s="3"/>
      <c r="K465" s="3"/>
      <c r="L465" s="3"/>
      <c r="M465" s="3"/>
      <c r="N465" s="3"/>
      <c r="O465" s="3"/>
    </row>
    <row r="466">
      <c r="A466" s="3" t="b">
        <f>IFERROR(__xludf.DUMMYFUNCTION("""COMPUTED_VALUE"""),FALSE)</f>
        <v>0</v>
      </c>
      <c r="B466" s="3" t="str">
        <f>IFERROR(__xludf.DUMMYFUNCTION("""COMPUTED_VALUE"""),"")</f>
        <v/>
      </c>
      <c r="C466" s="3"/>
      <c r="D466" s="3" t="str">
        <f>IFERROR(__xludf.DUMMYFUNCTION("""COMPUTED_VALUE"""),"")</f>
        <v/>
      </c>
      <c r="E466" s="3"/>
      <c r="F466" s="3"/>
      <c r="G466" s="3"/>
      <c r="H466" s="3"/>
      <c r="I466" s="3"/>
      <c r="J466" s="3"/>
      <c r="K466" s="3"/>
      <c r="L466" s="3"/>
      <c r="M466" s="3"/>
      <c r="N466" s="3"/>
      <c r="O466" s="3"/>
    </row>
    <row r="467">
      <c r="A467" s="3" t="b">
        <f>IFERROR(__xludf.DUMMYFUNCTION("""COMPUTED_VALUE"""),FALSE)</f>
        <v>0</v>
      </c>
      <c r="B467" s="3" t="str">
        <f>IFERROR(__xludf.DUMMYFUNCTION("""COMPUTED_VALUE"""),"")</f>
        <v/>
      </c>
      <c r="C467" s="3"/>
      <c r="D467" s="3" t="str">
        <f>IFERROR(__xludf.DUMMYFUNCTION("""COMPUTED_VALUE"""),"")</f>
        <v/>
      </c>
      <c r="E467" s="3"/>
      <c r="F467" s="3"/>
      <c r="G467" s="3"/>
      <c r="H467" s="3"/>
      <c r="I467" s="3"/>
      <c r="J467" s="3"/>
      <c r="K467" s="3"/>
      <c r="L467" s="3"/>
      <c r="M467" s="3"/>
      <c r="N467" s="3"/>
      <c r="O467" s="3"/>
    </row>
    <row r="468">
      <c r="A468" s="3" t="b">
        <f>IFERROR(__xludf.DUMMYFUNCTION("""COMPUTED_VALUE"""),FALSE)</f>
        <v>0</v>
      </c>
      <c r="B468" s="3" t="str">
        <f>IFERROR(__xludf.DUMMYFUNCTION("""COMPUTED_VALUE"""),"")</f>
        <v/>
      </c>
      <c r="C468" s="3"/>
      <c r="D468" s="3" t="str">
        <f>IFERROR(__xludf.DUMMYFUNCTION("""COMPUTED_VALUE"""),"")</f>
        <v/>
      </c>
      <c r="E468" s="3"/>
      <c r="F468" s="3"/>
      <c r="G468" s="3"/>
      <c r="H468" s="3"/>
      <c r="I468" s="3"/>
      <c r="J468" s="3"/>
      <c r="K468" s="3"/>
      <c r="L468" s="3"/>
      <c r="M468" s="3"/>
      <c r="N468" s="3"/>
      <c r="O468" s="3"/>
    </row>
    <row r="469">
      <c r="A469" s="3" t="b">
        <f>IFERROR(__xludf.DUMMYFUNCTION("""COMPUTED_VALUE"""),FALSE)</f>
        <v>0</v>
      </c>
      <c r="B469" s="3" t="str">
        <f>IFERROR(__xludf.DUMMYFUNCTION("""COMPUTED_VALUE"""),"")</f>
        <v/>
      </c>
      <c r="C469" s="3"/>
      <c r="D469" s="3" t="str">
        <f>IFERROR(__xludf.DUMMYFUNCTION("""COMPUTED_VALUE"""),"")</f>
        <v/>
      </c>
      <c r="E469" s="3"/>
      <c r="F469" s="3"/>
      <c r="G469" s="3"/>
      <c r="H469" s="3"/>
      <c r="I469" s="3"/>
      <c r="J469" s="3"/>
      <c r="K469" s="3"/>
      <c r="L469" s="3"/>
      <c r="M469" s="3"/>
      <c r="N469" s="3"/>
      <c r="O469" s="3"/>
    </row>
    <row r="470">
      <c r="A470" s="3" t="b">
        <f>IFERROR(__xludf.DUMMYFUNCTION("""COMPUTED_VALUE"""),FALSE)</f>
        <v>0</v>
      </c>
      <c r="B470" s="3" t="str">
        <f>IFERROR(__xludf.DUMMYFUNCTION("""COMPUTED_VALUE"""),"")</f>
        <v/>
      </c>
      <c r="C470" s="3"/>
      <c r="D470" s="3" t="str">
        <f>IFERROR(__xludf.DUMMYFUNCTION("""COMPUTED_VALUE"""),"")</f>
        <v/>
      </c>
      <c r="E470" s="3"/>
      <c r="F470" s="3"/>
      <c r="G470" s="3"/>
      <c r="H470" s="3"/>
      <c r="I470" s="3"/>
      <c r="J470" s="3"/>
      <c r="K470" s="3"/>
      <c r="L470" s="3"/>
      <c r="M470" s="3"/>
      <c r="N470" s="3"/>
      <c r="O470" s="3"/>
    </row>
    <row r="471">
      <c r="A471" s="3" t="b">
        <f>IFERROR(__xludf.DUMMYFUNCTION("""COMPUTED_VALUE"""),FALSE)</f>
        <v>0</v>
      </c>
      <c r="B471" s="3" t="str">
        <f>IFERROR(__xludf.DUMMYFUNCTION("""COMPUTED_VALUE"""),"")</f>
        <v/>
      </c>
      <c r="C471" s="3"/>
      <c r="D471" s="3" t="str">
        <f>IFERROR(__xludf.DUMMYFUNCTION("""COMPUTED_VALUE"""),"")</f>
        <v/>
      </c>
      <c r="E471" s="3"/>
      <c r="F471" s="3"/>
      <c r="G471" s="3"/>
      <c r="H471" s="3"/>
      <c r="I471" s="3"/>
      <c r="J471" s="3"/>
      <c r="K471" s="3"/>
      <c r="L471" s="3"/>
      <c r="M471" s="3"/>
      <c r="N471" s="3"/>
      <c r="O471" s="3"/>
    </row>
    <row r="472">
      <c r="A472" s="3" t="b">
        <f>IFERROR(__xludf.DUMMYFUNCTION("""COMPUTED_VALUE"""),FALSE)</f>
        <v>0</v>
      </c>
      <c r="B472" s="3" t="str">
        <f>IFERROR(__xludf.DUMMYFUNCTION("""COMPUTED_VALUE"""),"")</f>
        <v/>
      </c>
      <c r="C472" s="3"/>
      <c r="D472" s="3" t="str">
        <f>IFERROR(__xludf.DUMMYFUNCTION("""COMPUTED_VALUE"""),"")</f>
        <v/>
      </c>
      <c r="E472" s="3"/>
      <c r="F472" s="3"/>
      <c r="G472" s="3"/>
      <c r="H472" s="3"/>
      <c r="I472" s="3"/>
      <c r="J472" s="3"/>
      <c r="K472" s="3"/>
      <c r="L472" s="3"/>
      <c r="M472" s="3"/>
      <c r="N472" s="3"/>
      <c r="O472" s="3"/>
    </row>
    <row r="473">
      <c r="A473" s="3" t="b">
        <f>IFERROR(__xludf.DUMMYFUNCTION("""COMPUTED_VALUE"""),FALSE)</f>
        <v>0</v>
      </c>
      <c r="B473" s="3" t="str">
        <f>IFERROR(__xludf.DUMMYFUNCTION("""COMPUTED_VALUE"""),"")</f>
        <v/>
      </c>
      <c r="C473" s="3"/>
      <c r="D473" s="3" t="str">
        <f>IFERROR(__xludf.DUMMYFUNCTION("""COMPUTED_VALUE"""),"")</f>
        <v/>
      </c>
      <c r="E473" s="3"/>
      <c r="F473" s="3"/>
      <c r="G473" s="3"/>
      <c r="H473" s="3"/>
      <c r="I473" s="3"/>
      <c r="J473" s="3"/>
      <c r="K473" s="3"/>
      <c r="L473" s="3"/>
      <c r="M473" s="3"/>
      <c r="N473" s="3"/>
      <c r="O473" s="3"/>
    </row>
    <row r="474">
      <c r="A474" s="3" t="b">
        <f>IFERROR(__xludf.DUMMYFUNCTION("""COMPUTED_VALUE"""),FALSE)</f>
        <v>0</v>
      </c>
      <c r="B474" s="3" t="str">
        <f>IFERROR(__xludf.DUMMYFUNCTION("""COMPUTED_VALUE"""),"")</f>
        <v/>
      </c>
      <c r="C474" s="3"/>
      <c r="D474" s="3" t="str">
        <f>IFERROR(__xludf.DUMMYFUNCTION("""COMPUTED_VALUE"""),"")</f>
        <v/>
      </c>
      <c r="E474" s="3"/>
      <c r="F474" s="3"/>
      <c r="G474" s="3"/>
      <c r="H474" s="3"/>
      <c r="I474" s="3"/>
      <c r="J474" s="3"/>
      <c r="K474" s="3"/>
      <c r="L474" s="3"/>
      <c r="M474" s="3"/>
      <c r="N474" s="3"/>
      <c r="O474" s="3"/>
    </row>
    <row r="475">
      <c r="A475" s="3" t="b">
        <f>IFERROR(__xludf.DUMMYFUNCTION("""COMPUTED_VALUE"""),FALSE)</f>
        <v>0</v>
      </c>
      <c r="B475" s="3" t="str">
        <f>IFERROR(__xludf.DUMMYFUNCTION("""COMPUTED_VALUE"""),"")</f>
        <v/>
      </c>
      <c r="C475" s="3"/>
      <c r="D475" s="3" t="str">
        <f>IFERROR(__xludf.DUMMYFUNCTION("""COMPUTED_VALUE"""),"")</f>
        <v/>
      </c>
      <c r="E475" s="3"/>
      <c r="F475" s="3"/>
      <c r="G475" s="3"/>
      <c r="H475" s="3"/>
      <c r="I475" s="3"/>
      <c r="J475" s="3"/>
      <c r="K475" s="3"/>
      <c r="L475" s="3"/>
      <c r="M475" s="3"/>
      <c r="N475" s="3"/>
      <c r="O475" s="3"/>
    </row>
    <row r="476">
      <c r="A476" s="3" t="b">
        <f>IFERROR(__xludf.DUMMYFUNCTION("""COMPUTED_VALUE"""),FALSE)</f>
        <v>0</v>
      </c>
      <c r="B476" s="3" t="str">
        <f>IFERROR(__xludf.DUMMYFUNCTION("""COMPUTED_VALUE"""),"")</f>
        <v/>
      </c>
      <c r="C476" s="3"/>
      <c r="D476" s="3" t="str">
        <f>IFERROR(__xludf.DUMMYFUNCTION("""COMPUTED_VALUE"""),"")</f>
        <v/>
      </c>
      <c r="E476" s="3"/>
      <c r="F476" s="3"/>
      <c r="G476" s="3"/>
      <c r="H476" s="3"/>
      <c r="I476" s="3"/>
      <c r="J476" s="3"/>
      <c r="K476" s="3"/>
      <c r="L476" s="3"/>
      <c r="M476" s="3"/>
      <c r="N476" s="3"/>
      <c r="O476" s="3"/>
    </row>
    <row r="477">
      <c r="A477" s="3" t="b">
        <f>IFERROR(__xludf.DUMMYFUNCTION("""COMPUTED_VALUE"""),FALSE)</f>
        <v>0</v>
      </c>
      <c r="B477" s="3" t="str">
        <f>IFERROR(__xludf.DUMMYFUNCTION("""COMPUTED_VALUE"""),"")</f>
        <v/>
      </c>
      <c r="C477" s="3"/>
      <c r="D477" s="3" t="str">
        <f>IFERROR(__xludf.DUMMYFUNCTION("""COMPUTED_VALUE"""),"")</f>
        <v/>
      </c>
      <c r="E477" s="3"/>
      <c r="F477" s="3"/>
      <c r="G477" s="3"/>
      <c r="H477" s="3"/>
      <c r="I477" s="3"/>
      <c r="J477" s="3"/>
      <c r="K477" s="3"/>
      <c r="L477" s="3"/>
      <c r="M477" s="3"/>
      <c r="N477" s="3"/>
      <c r="O477" s="3"/>
    </row>
    <row r="478">
      <c r="A478" s="3" t="b">
        <f>IFERROR(__xludf.DUMMYFUNCTION("""COMPUTED_VALUE"""),FALSE)</f>
        <v>0</v>
      </c>
      <c r="B478" s="3" t="str">
        <f>IFERROR(__xludf.DUMMYFUNCTION("""COMPUTED_VALUE"""),"")</f>
        <v/>
      </c>
      <c r="C478" s="3"/>
      <c r="D478" s="3" t="str">
        <f>IFERROR(__xludf.DUMMYFUNCTION("""COMPUTED_VALUE"""),"")</f>
        <v/>
      </c>
      <c r="E478" s="3"/>
      <c r="F478" s="3"/>
      <c r="G478" s="3"/>
      <c r="H478" s="3"/>
      <c r="I478" s="3"/>
      <c r="J478" s="3"/>
      <c r="K478" s="3"/>
      <c r="L478" s="3"/>
      <c r="M478" s="3"/>
      <c r="N478" s="3"/>
      <c r="O478" s="3"/>
    </row>
    <row r="479">
      <c r="A479" s="3" t="b">
        <f>IFERROR(__xludf.DUMMYFUNCTION("""COMPUTED_VALUE"""),FALSE)</f>
        <v>0</v>
      </c>
      <c r="B479" s="3" t="str">
        <f>IFERROR(__xludf.DUMMYFUNCTION("""COMPUTED_VALUE"""),"")</f>
        <v/>
      </c>
      <c r="C479" s="3"/>
      <c r="D479" s="3" t="str">
        <f>IFERROR(__xludf.DUMMYFUNCTION("""COMPUTED_VALUE"""),"")</f>
        <v/>
      </c>
      <c r="E479" s="3"/>
      <c r="F479" s="3"/>
      <c r="G479" s="3"/>
      <c r="H479" s="3"/>
      <c r="I479" s="3"/>
      <c r="J479" s="3"/>
      <c r="K479" s="3"/>
      <c r="L479" s="3"/>
      <c r="M479" s="3"/>
      <c r="N479" s="3"/>
      <c r="O479" s="3"/>
    </row>
    <row r="480">
      <c r="A480" s="3" t="b">
        <f>IFERROR(__xludf.DUMMYFUNCTION("""COMPUTED_VALUE"""),FALSE)</f>
        <v>0</v>
      </c>
      <c r="B480" s="3" t="str">
        <f>IFERROR(__xludf.DUMMYFUNCTION("""COMPUTED_VALUE"""),"")</f>
        <v/>
      </c>
      <c r="C480" s="3"/>
      <c r="D480" s="3" t="str">
        <f>IFERROR(__xludf.DUMMYFUNCTION("""COMPUTED_VALUE"""),"")</f>
        <v/>
      </c>
      <c r="E480" s="3"/>
      <c r="F480" s="3"/>
      <c r="G480" s="3"/>
      <c r="H480" s="3"/>
      <c r="I480" s="3"/>
      <c r="J480" s="3"/>
      <c r="K480" s="3"/>
      <c r="L480" s="3"/>
      <c r="M480" s="3"/>
      <c r="N480" s="3"/>
      <c r="O480" s="3"/>
    </row>
    <row r="481">
      <c r="A481" s="3" t="b">
        <f>IFERROR(__xludf.DUMMYFUNCTION("""COMPUTED_VALUE"""),FALSE)</f>
        <v>0</v>
      </c>
      <c r="B481" s="3" t="str">
        <f>IFERROR(__xludf.DUMMYFUNCTION("""COMPUTED_VALUE"""),"")</f>
        <v/>
      </c>
      <c r="C481" s="3"/>
      <c r="D481" s="3" t="str">
        <f>IFERROR(__xludf.DUMMYFUNCTION("""COMPUTED_VALUE"""),"")</f>
        <v/>
      </c>
      <c r="E481" s="3"/>
      <c r="F481" s="3"/>
      <c r="G481" s="3"/>
      <c r="H481" s="3"/>
      <c r="I481" s="3"/>
      <c r="J481" s="3"/>
      <c r="K481" s="3"/>
      <c r="L481" s="3"/>
      <c r="M481" s="3"/>
      <c r="N481" s="3"/>
      <c r="O481" s="3"/>
    </row>
    <row r="482">
      <c r="A482" s="3" t="b">
        <f>IFERROR(__xludf.DUMMYFUNCTION("""COMPUTED_VALUE"""),FALSE)</f>
        <v>0</v>
      </c>
      <c r="B482" s="3" t="str">
        <f>IFERROR(__xludf.DUMMYFUNCTION("""COMPUTED_VALUE"""),"")</f>
        <v/>
      </c>
      <c r="C482" s="3"/>
      <c r="D482" s="3" t="str">
        <f>IFERROR(__xludf.DUMMYFUNCTION("""COMPUTED_VALUE"""),"")</f>
        <v/>
      </c>
      <c r="E482" s="3"/>
      <c r="F482" s="3"/>
      <c r="G482" s="3"/>
      <c r="H482" s="3"/>
      <c r="I482" s="3"/>
      <c r="J482" s="3"/>
      <c r="K482" s="3"/>
      <c r="L482" s="3"/>
      <c r="M482" s="3"/>
      <c r="N482" s="3"/>
      <c r="O482" s="3"/>
    </row>
    <row r="483">
      <c r="A483" s="3" t="b">
        <f>IFERROR(__xludf.DUMMYFUNCTION("""COMPUTED_VALUE"""),FALSE)</f>
        <v>0</v>
      </c>
      <c r="B483" s="3" t="str">
        <f>IFERROR(__xludf.DUMMYFUNCTION("""COMPUTED_VALUE"""),"")</f>
        <v/>
      </c>
      <c r="C483" s="3"/>
      <c r="D483" s="3" t="str">
        <f>IFERROR(__xludf.DUMMYFUNCTION("""COMPUTED_VALUE"""),"")</f>
        <v/>
      </c>
      <c r="E483" s="3"/>
      <c r="F483" s="3"/>
      <c r="G483" s="3"/>
      <c r="H483" s="3"/>
      <c r="I483" s="3"/>
      <c r="J483" s="3"/>
      <c r="K483" s="3"/>
      <c r="L483" s="3"/>
      <c r="M483" s="3"/>
      <c r="N483" s="3"/>
      <c r="O483" s="3"/>
    </row>
    <row r="484">
      <c r="A484" s="3" t="b">
        <f>IFERROR(__xludf.DUMMYFUNCTION("""COMPUTED_VALUE"""),FALSE)</f>
        <v>0</v>
      </c>
      <c r="B484" s="3" t="str">
        <f>IFERROR(__xludf.DUMMYFUNCTION("""COMPUTED_VALUE"""),"")</f>
        <v/>
      </c>
      <c r="C484" s="3"/>
      <c r="D484" s="3" t="str">
        <f>IFERROR(__xludf.DUMMYFUNCTION("""COMPUTED_VALUE"""),"")</f>
        <v/>
      </c>
      <c r="E484" s="3"/>
      <c r="F484" s="3"/>
      <c r="G484" s="3"/>
      <c r="H484" s="3"/>
      <c r="I484" s="3"/>
      <c r="J484" s="3"/>
      <c r="K484" s="3"/>
      <c r="L484" s="3"/>
      <c r="M484" s="3"/>
      <c r="N484" s="3"/>
      <c r="O484" s="3"/>
    </row>
    <row r="485">
      <c r="A485" s="3" t="b">
        <f>IFERROR(__xludf.DUMMYFUNCTION("""COMPUTED_VALUE"""),FALSE)</f>
        <v>0</v>
      </c>
      <c r="B485" s="3" t="str">
        <f>IFERROR(__xludf.DUMMYFUNCTION("""COMPUTED_VALUE"""),"")</f>
        <v/>
      </c>
      <c r="C485" s="3"/>
      <c r="D485" s="3" t="str">
        <f>IFERROR(__xludf.DUMMYFUNCTION("""COMPUTED_VALUE"""),"")</f>
        <v/>
      </c>
      <c r="E485" s="3"/>
      <c r="F485" s="3"/>
      <c r="G485" s="3"/>
      <c r="H485" s="3"/>
      <c r="I485" s="3"/>
      <c r="J485" s="3"/>
      <c r="K485" s="3"/>
      <c r="L485" s="3"/>
      <c r="M485" s="3"/>
      <c r="N485" s="3"/>
      <c r="O485" s="3"/>
    </row>
    <row r="486">
      <c r="A486" s="3" t="b">
        <f>IFERROR(__xludf.DUMMYFUNCTION("""COMPUTED_VALUE"""),FALSE)</f>
        <v>0</v>
      </c>
      <c r="B486" s="3" t="str">
        <f>IFERROR(__xludf.DUMMYFUNCTION("""COMPUTED_VALUE"""),"")</f>
        <v/>
      </c>
      <c r="C486" s="3"/>
      <c r="D486" s="3" t="str">
        <f>IFERROR(__xludf.DUMMYFUNCTION("""COMPUTED_VALUE"""),"")</f>
        <v/>
      </c>
      <c r="E486" s="3"/>
      <c r="F486" s="3"/>
      <c r="G486" s="3"/>
      <c r="H486" s="3"/>
      <c r="I486" s="3"/>
      <c r="J486" s="3"/>
      <c r="K486" s="3"/>
      <c r="L486" s="3"/>
      <c r="M486" s="3"/>
      <c r="N486" s="3"/>
      <c r="O486" s="3"/>
    </row>
    <row r="487">
      <c r="A487" s="3" t="b">
        <f>IFERROR(__xludf.DUMMYFUNCTION("""COMPUTED_VALUE"""),FALSE)</f>
        <v>0</v>
      </c>
      <c r="B487" s="3" t="str">
        <f>IFERROR(__xludf.DUMMYFUNCTION("""COMPUTED_VALUE"""),"")</f>
        <v/>
      </c>
      <c r="C487" s="3"/>
      <c r="D487" s="3" t="str">
        <f>IFERROR(__xludf.DUMMYFUNCTION("""COMPUTED_VALUE"""),"")</f>
        <v/>
      </c>
      <c r="E487" s="3"/>
      <c r="F487" s="3"/>
      <c r="G487" s="3"/>
      <c r="H487" s="3"/>
      <c r="I487" s="3"/>
      <c r="J487" s="3"/>
      <c r="K487" s="3"/>
      <c r="L487" s="3"/>
      <c r="M487" s="3"/>
      <c r="N487" s="3"/>
      <c r="O487" s="3"/>
    </row>
    <row r="488">
      <c r="A488" s="3" t="b">
        <f>IFERROR(__xludf.DUMMYFUNCTION("""COMPUTED_VALUE"""),FALSE)</f>
        <v>0</v>
      </c>
      <c r="B488" s="3" t="str">
        <f>IFERROR(__xludf.DUMMYFUNCTION("""COMPUTED_VALUE"""),"")</f>
        <v/>
      </c>
      <c r="C488" s="3"/>
      <c r="D488" s="3" t="str">
        <f>IFERROR(__xludf.DUMMYFUNCTION("""COMPUTED_VALUE"""),"")</f>
        <v/>
      </c>
      <c r="E488" s="3"/>
      <c r="F488" s="3"/>
      <c r="G488" s="3"/>
      <c r="H488" s="3"/>
      <c r="I488" s="3"/>
      <c r="J488" s="3"/>
      <c r="K488" s="3"/>
      <c r="L488" s="3"/>
      <c r="M488" s="3"/>
      <c r="N488" s="3"/>
      <c r="O488" s="3"/>
    </row>
    <row r="489">
      <c r="A489" s="3" t="b">
        <f>IFERROR(__xludf.DUMMYFUNCTION("""COMPUTED_VALUE"""),FALSE)</f>
        <v>0</v>
      </c>
      <c r="B489" s="3" t="str">
        <f>IFERROR(__xludf.DUMMYFUNCTION("""COMPUTED_VALUE"""),"")</f>
        <v/>
      </c>
      <c r="C489" s="3"/>
      <c r="D489" s="3" t="str">
        <f>IFERROR(__xludf.DUMMYFUNCTION("""COMPUTED_VALUE"""),"")</f>
        <v/>
      </c>
      <c r="E489" s="3"/>
      <c r="F489" s="3"/>
      <c r="G489" s="3"/>
      <c r="H489" s="3"/>
      <c r="I489" s="3"/>
      <c r="J489" s="3"/>
      <c r="K489" s="3"/>
      <c r="L489" s="3"/>
      <c r="M489" s="3"/>
      <c r="N489" s="3"/>
      <c r="O489" s="3"/>
    </row>
    <row r="490">
      <c r="A490" s="3" t="b">
        <f>IFERROR(__xludf.DUMMYFUNCTION("""COMPUTED_VALUE"""),FALSE)</f>
        <v>0</v>
      </c>
      <c r="B490" s="3" t="str">
        <f>IFERROR(__xludf.DUMMYFUNCTION("""COMPUTED_VALUE"""),"")</f>
        <v/>
      </c>
      <c r="C490" s="3"/>
      <c r="D490" s="3" t="str">
        <f>IFERROR(__xludf.DUMMYFUNCTION("""COMPUTED_VALUE"""),"")</f>
        <v/>
      </c>
      <c r="E490" s="3"/>
      <c r="F490" s="3"/>
      <c r="G490" s="3"/>
      <c r="H490" s="3"/>
      <c r="I490" s="3"/>
      <c r="J490" s="3"/>
      <c r="K490" s="3"/>
      <c r="L490" s="3"/>
      <c r="M490" s="3"/>
      <c r="N490" s="3"/>
      <c r="O490" s="3"/>
    </row>
    <row r="491">
      <c r="A491" s="3" t="b">
        <f>IFERROR(__xludf.DUMMYFUNCTION("""COMPUTED_VALUE"""),FALSE)</f>
        <v>0</v>
      </c>
      <c r="B491" s="3" t="str">
        <f>IFERROR(__xludf.DUMMYFUNCTION("""COMPUTED_VALUE"""),"")</f>
        <v/>
      </c>
      <c r="C491" s="3"/>
      <c r="D491" s="3" t="str">
        <f>IFERROR(__xludf.DUMMYFUNCTION("""COMPUTED_VALUE"""),"")</f>
        <v/>
      </c>
      <c r="E491" s="3"/>
      <c r="F491" s="3"/>
      <c r="G491" s="3"/>
      <c r="H491" s="3"/>
      <c r="I491" s="3"/>
      <c r="J491" s="3"/>
      <c r="K491" s="3"/>
      <c r="L491" s="3"/>
      <c r="M491" s="3"/>
      <c r="N491" s="3"/>
      <c r="O491" s="3"/>
    </row>
    <row r="492">
      <c r="A492" s="3" t="b">
        <f>IFERROR(__xludf.DUMMYFUNCTION("""COMPUTED_VALUE"""),FALSE)</f>
        <v>0</v>
      </c>
      <c r="B492" s="3" t="str">
        <f>IFERROR(__xludf.DUMMYFUNCTION("""COMPUTED_VALUE"""),"")</f>
        <v/>
      </c>
      <c r="C492" s="3"/>
      <c r="D492" s="3" t="str">
        <f>IFERROR(__xludf.DUMMYFUNCTION("""COMPUTED_VALUE"""),"")</f>
        <v/>
      </c>
      <c r="E492" s="3"/>
      <c r="F492" s="3"/>
      <c r="G492" s="3"/>
      <c r="H492" s="3"/>
      <c r="I492" s="3"/>
      <c r="J492" s="3"/>
      <c r="K492" s="3"/>
      <c r="L492" s="3"/>
      <c r="M492" s="3"/>
      <c r="N492" s="3"/>
      <c r="O492" s="3"/>
    </row>
    <row r="493">
      <c r="A493" s="3" t="b">
        <f>IFERROR(__xludf.DUMMYFUNCTION("""COMPUTED_VALUE"""),FALSE)</f>
        <v>0</v>
      </c>
      <c r="B493" s="3" t="str">
        <f>IFERROR(__xludf.DUMMYFUNCTION("""COMPUTED_VALUE"""),"")</f>
        <v/>
      </c>
      <c r="C493" s="3"/>
      <c r="D493" s="3" t="str">
        <f>IFERROR(__xludf.DUMMYFUNCTION("""COMPUTED_VALUE"""),"")</f>
        <v/>
      </c>
      <c r="E493" s="3"/>
      <c r="F493" s="3"/>
      <c r="G493" s="3"/>
      <c r="H493" s="3"/>
      <c r="I493" s="3"/>
      <c r="J493" s="3"/>
      <c r="K493" s="3"/>
      <c r="L493" s="3"/>
      <c r="M493" s="3"/>
      <c r="N493" s="3"/>
      <c r="O493" s="3"/>
    </row>
    <row r="494">
      <c r="A494" s="3" t="b">
        <f>IFERROR(__xludf.DUMMYFUNCTION("""COMPUTED_VALUE"""),FALSE)</f>
        <v>0</v>
      </c>
      <c r="B494" s="3" t="str">
        <f>IFERROR(__xludf.DUMMYFUNCTION("""COMPUTED_VALUE"""),"")</f>
        <v/>
      </c>
      <c r="C494" s="3"/>
      <c r="D494" s="3" t="str">
        <f>IFERROR(__xludf.DUMMYFUNCTION("""COMPUTED_VALUE"""),"")</f>
        <v/>
      </c>
      <c r="E494" s="3"/>
      <c r="F494" s="3"/>
      <c r="G494" s="3"/>
      <c r="H494" s="3"/>
      <c r="I494" s="3"/>
      <c r="J494" s="3"/>
      <c r="K494" s="3"/>
      <c r="L494" s="3"/>
      <c r="M494" s="3"/>
      <c r="N494" s="3"/>
      <c r="O494" s="3"/>
    </row>
    <row r="495">
      <c r="A495" s="3" t="b">
        <f>IFERROR(__xludf.DUMMYFUNCTION("""COMPUTED_VALUE"""),FALSE)</f>
        <v>0</v>
      </c>
      <c r="B495" s="3" t="str">
        <f>IFERROR(__xludf.DUMMYFUNCTION("""COMPUTED_VALUE"""),"")</f>
        <v/>
      </c>
      <c r="C495" s="3"/>
      <c r="D495" s="3" t="str">
        <f>IFERROR(__xludf.DUMMYFUNCTION("""COMPUTED_VALUE"""),"")</f>
        <v/>
      </c>
      <c r="E495" s="3"/>
      <c r="F495" s="3"/>
      <c r="G495" s="3"/>
      <c r="H495" s="3"/>
      <c r="I495" s="3"/>
      <c r="J495" s="3"/>
      <c r="K495" s="3"/>
      <c r="L495" s="3"/>
      <c r="M495" s="3"/>
      <c r="N495" s="3"/>
      <c r="O495" s="3"/>
    </row>
    <row r="496">
      <c r="A496" s="3" t="b">
        <f>IFERROR(__xludf.DUMMYFUNCTION("""COMPUTED_VALUE"""),FALSE)</f>
        <v>0</v>
      </c>
      <c r="B496" s="3" t="str">
        <f>IFERROR(__xludf.DUMMYFUNCTION("""COMPUTED_VALUE"""),"")</f>
        <v/>
      </c>
      <c r="C496" s="3"/>
      <c r="D496" s="3" t="str">
        <f>IFERROR(__xludf.DUMMYFUNCTION("""COMPUTED_VALUE"""),"")</f>
        <v/>
      </c>
      <c r="E496" s="3"/>
      <c r="F496" s="3"/>
      <c r="G496" s="3"/>
      <c r="H496" s="3"/>
      <c r="I496" s="3"/>
      <c r="J496" s="3"/>
      <c r="K496" s="3"/>
      <c r="L496" s="3"/>
      <c r="M496" s="3"/>
      <c r="N496" s="3"/>
      <c r="O496" s="3"/>
    </row>
    <row r="497">
      <c r="A497" s="3" t="b">
        <f>IFERROR(__xludf.DUMMYFUNCTION("""COMPUTED_VALUE"""),FALSE)</f>
        <v>0</v>
      </c>
      <c r="B497" s="3" t="str">
        <f>IFERROR(__xludf.DUMMYFUNCTION("""COMPUTED_VALUE"""),"")</f>
        <v/>
      </c>
      <c r="C497" s="3"/>
      <c r="D497" s="3" t="str">
        <f>IFERROR(__xludf.DUMMYFUNCTION("""COMPUTED_VALUE"""),"")</f>
        <v/>
      </c>
      <c r="E497" s="3"/>
      <c r="F497" s="3"/>
      <c r="G497" s="3"/>
      <c r="H497" s="3"/>
      <c r="I497" s="3"/>
      <c r="J497" s="3"/>
      <c r="K497" s="3"/>
      <c r="L497" s="3"/>
      <c r="M497" s="3"/>
      <c r="N497" s="3"/>
      <c r="O497" s="3"/>
    </row>
    <row r="498">
      <c r="A498" s="3" t="b">
        <f>IFERROR(__xludf.DUMMYFUNCTION("""COMPUTED_VALUE"""),FALSE)</f>
        <v>0</v>
      </c>
      <c r="B498" s="3" t="str">
        <f>IFERROR(__xludf.DUMMYFUNCTION("""COMPUTED_VALUE"""),"")</f>
        <v/>
      </c>
      <c r="C498" s="3"/>
      <c r="D498" s="3" t="str">
        <f>IFERROR(__xludf.DUMMYFUNCTION("""COMPUTED_VALUE"""),"")</f>
        <v/>
      </c>
      <c r="E498" s="3"/>
      <c r="F498" s="3"/>
      <c r="G498" s="3"/>
      <c r="H498" s="3"/>
      <c r="I498" s="3"/>
      <c r="J498" s="3"/>
      <c r="K498" s="3"/>
      <c r="L498" s="3"/>
      <c r="M498" s="3"/>
      <c r="N498" s="3"/>
      <c r="O498" s="3"/>
    </row>
    <row r="499">
      <c r="A499" s="3" t="b">
        <f>IFERROR(__xludf.DUMMYFUNCTION("""COMPUTED_VALUE"""),FALSE)</f>
        <v>0</v>
      </c>
      <c r="B499" s="3" t="str">
        <f>IFERROR(__xludf.DUMMYFUNCTION("""COMPUTED_VALUE"""),"")</f>
        <v/>
      </c>
      <c r="C499" s="3"/>
      <c r="D499" s="3" t="str">
        <f>IFERROR(__xludf.DUMMYFUNCTION("""COMPUTED_VALUE"""),"")</f>
        <v/>
      </c>
      <c r="E499" s="3"/>
      <c r="F499" s="3"/>
      <c r="G499" s="3"/>
      <c r="H499" s="3"/>
      <c r="I499" s="3"/>
      <c r="J499" s="3"/>
      <c r="K499" s="3"/>
      <c r="L499" s="3"/>
      <c r="M499" s="3"/>
      <c r="N499" s="3"/>
      <c r="O499" s="3"/>
    </row>
    <row r="500">
      <c r="A500" s="3" t="b">
        <f>IFERROR(__xludf.DUMMYFUNCTION("""COMPUTED_VALUE"""),FALSE)</f>
        <v>0</v>
      </c>
      <c r="B500" s="3" t="str">
        <f>IFERROR(__xludf.DUMMYFUNCTION("""COMPUTED_VALUE"""),"")</f>
        <v/>
      </c>
      <c r="C500" s="3"/>
      <c r="D500" s="3" t="str">
        <f>IFERROR(__xludf.DUMMYFUNCTION("""COMPUTED_VALUE"""),"")</f>
        <v/>
      </c>
      <c r="E500" s="3"/>
      <c r="F500" s="3"/>
      <c r="G500" s="3"/>
      <c r="H500" s="3"/>
      <c r="I500" s="3"/>
      <c r="J500" s="3"/>
      <c r="K500" s="3"/>
      <c r="L500" s="3"/>
      <c r="M500" s="3"/>
      <c r="N500" s="3"/>
      <c r="O500" s="3"/>
    </row>
    <row r="501">
      <c r="A501" s="3" t="b">
        <f>IFERROR(__xludf.DUMMYFUNCTION("""COMPUTED_VALUE"""),FALSE)</f>
        <v>0</v>
      </c>
      <c r="B501" s="3" t="str">
        <f>IFERROR(__xludf.DUMMYFUNCTION("""COMPUTED_VALUE"""),"")</f>
        <v/>
      </c>
      <c r="C501" s="3"/>
      <c r="D501" s="3" t="str">
        <f>IFERROR(__xludf.DUMMYFUNCTION("""COMPUTED_VALUE"""),"")</f>
        <v/>
      </c>
      <c r="E501" s="3"/>
      <c r="F501" s="3"/>
      <c r="G501" s="3"/>
      <c r="H501" s="3"/>
      <c r="I501" s="3"/>
      <c r="J501" s="3"/>
      <c r="K501" s="3"/>
      <c r="L501" s="3"/>
      <c r="M501" s="3"/>
      <c r="N501" s="3"/>
      <c r="O501" s="3"/>
    </row>
    <row r="502">
      <c r="A502" s="3" t="b">
        <f>IFERROR(__xludf.DUMMYFUNCTION("""COMPUTED_VALUE"""),FALSE)</f>
        <v>0</v>
      </c>
      <c r="B502" s="3" t="str">
        <f>IFERROR(__xludf.DUMMYFUNCTION("""COMPUTED_VALUE"""),"")</f>
        <v/>
      </c>
      <c r="C502" s="3"/>
      <c r="D502" s="3" t="str">
        <f>IFERROR(__xludf.DUMMYFUNCTION("""COMPUTED_VALUE"""),"")</f>
        <v/>
      </c>
      <c r="E502" s="3"/>
      <c r="F502" s="3"/>
      <c r="G502" s="3"/>
      <c r="H502" s="3"/>
      <c r="I502" s="3"/>
      <c r="J502" s="3"/>
      <c r="K502" s="3"/>
      <c r="L502" s="3"/>
      <c r="M502" s="3"/>
      <c r="N502" s="3"/>
      <c r="O502" s="3"/>
    </row>
    <row r="503">
      <c r="A503" s="3" t="b">
        <f>IFERROR(__xludf.DUMMYFUNCTION("""COMPUTED_VALUE"""),FALSE)</f>
        <v>0</v>
      </c>
      <c r="B503" s="3" t="str">
        <f>IFERROR(__xludf.DUMMYFUNCTION("""COMPUTED_VALUE"""),"")</f>
        <v/>
      </c>
      <c r="C503" s="3"/>
      <c r="D503" s="3" t="str">
        <f>IFERROR(__xludf.DUMMYFUNCTION("""COMPUTED_VALUE"""),"")</f>
        <v/>
      </c>
      <c r="E503" s="3"/>
      <c r="F503" s="3"/>
      <c r="G503" s="3"/>
      <c r="H503" s="3"/>
      <c r="I503" s="3"/>
      <c r="J503" s="3"/>
      <c r="K503" s="3"/>
      <c r="L503" s="3"/>
      <c r="M503" s="3"/>
      <c r="N503" s="3"/>
      <c r="O503" s="3"/>
    </row>
    <row r="504">
      <c r="A504" s="3" t="b">
        <f>IFERROR(__xludf.DUMMYFUNCTION("""COMPUTED_VALUE"""),FALSE)</f>
        <v>0</v>
      </c>
      <c r="B504" s="3" t="str">
        <f>IFERROR(__xludf.DUMMYFUNCTION("""COMPUTED_VALUE"""),"")</f>
        <v/>
      </c>
      <c r="C504" s="3"/>
      <c r="D504" s="3" t="str">
        <f>IFERROR(__xludf.DUMMYFUNCTION("""COMPUTED_VALUE"""),"")</f>
        <v/>
      </c>
      <c r="E504" s="3"/>
      <c r="F504" s="3"/>
      <c r="G504" s="3"/>
      <c r="H504" s="3"/>
      <c r="I504" s="3"/>
      <c r="J504" s="3"/>
      <c r="K504" s="3"/>
      <c r="L504" s="3"/>
      <c r="M504" s="3"/>
      <c r="N504" s="3"/>
      <c r="O504" s="3"/>
    </row>
    <row r="505">
      <c r="A505" s="3" t="b">
        <f>IFERROR(__xludf.DUMMYFUNCTION("""COMPUTED_VALUE"""),FALSE)</f>
        <v>0</v>
      </c>
      <c r="B505" s="3" t="str">
        <f>IFERROR(__xludf.DUMMYFUNCTION("""COMPUTED_VALUE"""),"")</f>
        <v/>
      </c>
      <c r="C505" s="3"/>
      <c r="D505" s="3" t="str">
        <f>IFERROR(__xludf.DUMMYFUNCTION("""COMPUTED_VALUE"""),"")</f>
        <v/>
      </c>
      <c r="E505" s="3"/>
      <c r="F505" s="3"/>
      <c r="G505" s="3"/>
      <c r="H505" s="3"/>
      <c r="I505" s="3"/>
      <c r="J505" s="3"/>
      <c r="K505" s="3"/>
      <c r="L505" s="3"/>
      <c r="M505" s="3"/>
      <c r="N505" s="3"/>
      <c r="O505" s="3"/>
    </row>
    <row r="506">
      <c r="A506" s="3" t="b">
        <f>IFERROR(__xludf.DUMMYFUNCTION("""COMPUTED_VALUE"""),FALSE)</f>
        <v>0</v>
      </c>
      <c r="B506" s="3" t="str">
        <f>IFERROR(__xludf.DUMMYFUNCTION("""COMPUTED_VALUE"""),"")</f>
        <v/>
      </c>
      <c r="C506" s="3"/>
      <c r="D506" s="3" t="str">
        <f>IFERROR(__xludf.DUMMYFUNCTION("""COMPUTED_VALUE"""),"")</f>
        <v/>
      </c>
      <c r="E506" s="3"/>
      <c r="F506" s="3"/>
      <c r="G506" s="3"/>
      <c r="H506" s="3"/>
      <c r="I506" s="3"/>
      <c r="J506" s="3"/>
      <c r="K506" s="3"/>
      <c r="L506" s="3"/>
      <c r="M506" s="3"/>
      <c r="N506" s="3"/>
      <c r="O506" s="3"/>
    </row>
    <row r="507">
      <c r="A507" s="3" t="b">
        <f>IFERROR(__xludf.DUMMYFUNCTION("""COMPUTED_VALUE"""),FALSE)</f>
        <v>0</v>
      </c>
      <c r="B507" s="3" t="str">
        <f>IFERROR(__xludf.DUMMYFUNCTION("""COMPUTED_VALUE"""),"")</f>
        <v/>
      </c>
      <c r="C507" s="3"/>
      <c r="D507" s="3" t="str">
        <f>IFERROR(__xludf.DUMMYFUNCTION("""COMPUTED_VALUE"""),"")</f>
        <v/>
      </c>
      <c r="E507" s="3"/>
      <c r="F507" s="3"/>
      <c r="G507" s="3"/>
      <c r="H507" s="3"/>
      <c r="I507" s="3"/>
      <c r="J507" s="3"/>
      <c r="K507" s="3"/>
      <c r="L507" s="3"/>
      <c r="M507" s="3"/>
      <c r="N507" s="3"/>
      <c r="O507" s="3"/>
    </row>
    <row r="508">
      <c r="A508" s="3" t="b">
        <f>IFERROR(__xludf.DUMMYFUNCTION("""COMPUTED_VALUE"""),FALSE)</f>
        <v>0</v>
      </c>
      <c r="B508" s="3" t="str">
        <f>IFERROR(__xludf.DUMMYFUNCTION("""COMPUTED_VALUE"""),"")</f>
        <v/>
      </c>
      <c r="C508" s="3"/>
      <c r="D508" s="3" t="str">
        <f>IFERROR(__xludf.DUMMYFUNCTION("""COMPUTED_VALUE"""),"")</f>
        <v/>
      </c>
      <c r="E508" s="3"/>
      <c r="F508" s="3"/>
      <c r="G508" s="3"/>
      <c r="H508" s="3"/>
      <c r="I508" s="3"/>
      <c r="J508" s="3"/>
      <c r="K508" s="3"/>
      <c r="L508" s="3"/>
      <c r="M508" s="3"/>
      <c r="N508" s="3"/>
      <c r="O508" s="3"/>
    </row>
    <row r="509">
      <c r="A509" s="3" t="b">
        <f>IFERROR(__xludf.DUMMYFUNCTION("""COMPUTED_VALUE"""),FALSE)</f>
        <v>0</v>
      </c>
      <c r="B509" s="3" t="str">
        <f>IFERROR(__xludf.DUMMYFUNCTION("""COMPUTED_VALUE"""),"")</f>
        <v/>
      </c>
      <c r="C509" s="3"/>
      <c r="D509" s="3" t="str">
        <f>IFERROR(__xludf.DUMMYFUNCTION("""COMPUTED_VALUE"""),"")</f>
        <v/>
      </c>
      <c r="E509" s="3"/>
      <c r="F509" s="3"/>
      <c r="G509" s="3"/>
      <c r="H509" s="3"/>
      <c r="I509" s="3"/>
      <c r="J509" s="3"/>
      <c r="K509" s="3"/>
      <c r="L509" s="3"/>
      <c r="M509" s="3"/>
      <c r="N509" s="3"/>
      <c r="O509" s="3"/>
    </row>
    <row r="510">
      <c r="A510" s="3" t="b">
        <f>IFERROR(__xludf.DUMMYFUNCTION("""COMPUTED_VALUE"""),FALSE)</f>
        <v>0</v>
      </c>
      <c r="B510" s="3" t="str">
        <f>IFERROR(__xludf.DUMMYFUNCTION("""COMPUTED_VALUE"""),"")</f>
        <v/>
      </c>
      <c r="C510" s="3"/>
      <c r="D510" s="3" t="str">
        <f>IFERROR(__xludf.DUMMYFUNCTION("""COMPUTED_VALUE"""),"")</f>
        <v/>
      </c>
      <c r="E510" s="3"/>
      <c r="F510" s="3"/>
      <c r="G510" s="3"/>
      <c r="H510" s="3"/>
      <c r="I510" s="3"/>
      <c r="J510" s="3"/>
      <c r="K510" s="3"/>
      <c r="L510" s="3"/>
      <c r="M510" s="3"/>
      <c r="N510" s="3"/>
      <c r="O510" s="3"/>
    </row>
    <row r="511">
      <c r="A511" s="3" t="b">
        <f>IFERROR(__xludf.DUMMYFUNCTION("""COMPUTED_VALUE"""),FALSE)</f>
        <v>0</v>
      </c>
      <c r="B511" s="3" t="str">
        <f>IFERROR(__xludf.DUMMYFUNCTION("""COMPUTED_VALUE"""),"")</f>
        <v/>
      </c>
      <c r="C511" s="3"/>
      <c r="D511" s="3" t="str">
        <f>IFERROR(__xludf.DUMMYFUNCTION("""COMPUTED_VALUE"""),"")</f>
        <v/>
      </c>
      <c r="E511" s="3"/>
      <c r="F511" s="3"/>
      <c r="G511" s="3"/>
      <c r="H511" s="3"/>
      <c r="I511" s="3"/>
      <c r="J511" s="3"/>
      <c r="K511" s="3"/>
      <c r="L511" s="3"/>
      <c r="M511" s="3"/>
      <c r="N511" s="3"/>
      <c r="O511" s="3"/>
    </row>
    <row r="512">
      <c r="A512" s="3" t="b">
        <f>IFERROR(__xludf.DUMMYFUNCTION("""COMPUTED_VALUE"""),FALSE)</f>
        <v>0</v>
      </c>
      <c r="B512" s="3" t="str">
        <f>IFERROR(__xludf.DUMMYFUNCTION("""COMPUTED_VALUE"""),"")</f>
        <v/>
      </c>
      <c r="C512" s="3"/>
      <c r="D512" s="3" t="str">
        <f>IFERROR(__xludf.DUMMYFUNCTION("""COMPUTED_VALUE"""),"")</f>
        <v/>
      </c>
      <c r="E512" s="3"/>
      <c r="F512" s="3"/>
      <c r="G512" s="3"/>
      <c r="H512" s="3"/>
      <c r="I512" s="3"/>
      <c r="J512" s="3"/>
      <c r="K512" s="3"/>
      <c r="L512" s="3"/>
      <c r="M512" s="3"/>
      <c r="N512" s="3"/>
      <c r="O512" s="3"/>
    </row>
    <row r="513">
      <c r="A513" s="3" t="b">
        <f>IFERROR(__xludf.DUMMYFUNCTION("""COMPUTED_VALUE"""),FALSE)</f>
        <v>0</v>
      </c>
      <c r="B513" s="3" t="str">
        <f>IFERROR(__xludf.DUMMYFUNCTION("""COMPUTED_VALUE"""),"")</f>
        <v/>
      </c>
      <c r="C513" s="3"/>
      <c r="D513" s="3" t="str">
        <f>IFERROR(__xludf.DUMMYFUNCTION("""COMPUTED_VALUE"""),"")</f>
        <v/>
      </c>
      <c r="E513" s="3"/>
      <c r="F513" s="3"/>
      <c r="G513" s="3"/>
      <c r="H513" s="3"/>
      <c r="I513" s="3"/>
      <c r="J513" s="3"/>
      <c r="K513" s="3"/>
      <c r="L513" s="3"/>
      <c r="M513" s="3"/>
      <c r="N513" s="3"/>
      <c r="O513" s="3"/>
    </row>
    <row r="514">
      <c r="A514" s="3" t="b">
        <f>IFERROR(__xludf.DUMMYFUNCTION("""COMPUTED_VALUE"""),FALSE)</f>
        <v>0</v>
      </c>
      <c r="B514" s="3" t="str">
        <f>IFERROR(__xludf.DUMMYFUNCTION("""COMPUTED_VALUE"""),"")</f>
        <v/>
      </c>
      <c r="C514" s="3"/>
      <c r="D514" s="3" t="str">
        <f>IFERROR(__xludf.DUMMYFUNCTION("""COMPUTED_VALUE"""),"")</f>
        <v/>
      </c>
      <c r="E514" s="3"/>
      <c r="F514" s="3"/>
      <c r="G514" s="3"/>
      <c r="H514" s="3"/>
      <c r="I514" s="3"/>
      <c r="J514" s="3"/>
      <c r="K514" s="3"/>
      <c r="L514" s="3"/>
      <c r="M514" s="3"/>
      <c r="N514" s="3"/>
      <c r="O514" s="3"/>
    </row>
    <row r="515">
      <c r="A515" s="3" t="b">
        <f>IFERROR(__xludf.DUMMYFUNCTION("""COMPUTED_VALUE"""),FALSE)</f>
        <v>0</v>
      </c>
      <c r="B515" s="3" t="str">
        <f>IFERROR(__xludf.DUMMYFUNCTION("""COMPUTED_VALUE"""),"")</f>
        <v/>
      </c>
      <c r="C515" s="3"/>
      <c r="D515" s="3" t="str">
        <f>IFERROR(__xludf.DUMMYFUNCTION("""COMPUTED_VALUE"""),"")</f>
        <v/>
      </c>
      <c r="E515" s="3"/>
      <c r="F515" s="3"/>
      <c r="G515" s="3"/>
      <c r="H515" s="3"/>
      <c r="I515" s="3"/>
      <c r="J515" s="3"/>
      <c r="K515" s="3"/>
      <c r="L515" s="3"/>
      <c r="M515" s="3"/>
      <c r="N515" s="3"/>
      <c r="O515" s="3"/>
    </row>
    <row r="516">
      <c r="A516" s="3" t="b">
        <f>IFERROR(__xludf.DUMMYFUNCTION("""COMPUTED_VALUE"""),FALSE)</f>
        <v>0</v>
      </c>
      <c r="B516" s="3" t="str">
        <f>IFERROR(__xludf.DUMMYFUNCTION("""COMPUTED_VALUE"""),"")</f>
        <v/>
      </c>
      <c r="C516" s="3"/>
      <c r="D516" s="3" t="str">
        <f>IFERROR(__xludf.DUMMYFUNCTION("""COMPUTED_VALUE"""),"")</f>
        <v/>
      </c>
      <c r="E516" s="3"/>
      <c r="F516" s="3"/>
      <c r="G516" s="3"/>
      <c r="H516" s="3"/>
      <c r="I516" s="3"/>
      <c r="J516" s="3"/>
      <c r="K516" s="3"/>
      <c r="L516" s="3"/>
      <c r="M516" s="3"/>
      <c r="N516" s="3"/>
      <c r="O516" s="3"/>
    </row>
    <row r="517">
      <c r="A517" s="3" t="b">
        <f>IFERROR(__xludf.DUMMYFUNCTION("""COMPUTED_VALUE"""),FALSE)</f>
        <v>0</v>
      </c>
      <c r="B517" s="3" t="str">
        <f>IFERROR(__xludf.DUMMYFUNCTION("""COMPUTED_VALUE"""),"")</f>
        <v/>
      </c>
      <c r="C517" s="3"/>
      <c r="D517" s="3" t="str">
        <f>IFERROR(__xludf.DUMMYFUNCTION("""COMPUTED_VALUE"""),"")</f>
        <v/>
      </c>
      <c r="E517" s="3"/>
      <c r="F517" s="3"/>
      <c r="G517" s="3"/>
      <c r="H517" s="3"/>
      <c r="I517" s="3"/>
      <c r="J517" s="3"/>
      <c r="K517" s="3"/>
      <c r="L517" s="3"/>
      <c r="M517" s="3"/>
      <c r="N517" s="3"/>
      <c r="O517" s="3"/>
    </row>
    <row r="518">
      <c r="A518" s="3" t="b">
        <f>IFERROR(__xludf.DUMMYFUNCTION("""COMPUTED_VALUE"""),FALSE)</f>
        <v>0</v>
      </c>
      <c r="B518" s="3" t="str">
        <f>IFERROR(__xludf.DUMMYFUNCTION("""COMPUTED_VALUE"""),"")</f>
        <v/>
      </c>
      <c r="C518" s="3"/>
      <c r="D518" s="3" t="str">
        <f>IFERROR(__xludf.DUMMYFUNCTION("""COMPUTED_VALUE"""),"")</f>
        <v/>
      </c>
      <c r="E518" s="3"/>
      <c r="F518" s="3"/>
      <c r="G518" s="3"/>
      <c r="H518" s="3"/>
      <c r="I518" s="3"/>
      <c r="J518" s="3"/>
      <c r="K518" s="3"/>
      <c r="L518" s="3"/>
      <c r="M518" s="3"/>
      <c r="N518" s="3"/>
      <c r="O518" s="3"/>
    </row>
    <row r="519">
      <c r="A519" s="3" t="b">
        <f>IFERROR(__xludf.DUMMYFUNCTION("""COMPUTED_VALUE"""),FALSE)</f>
        <v>0</v>
      </c>
      <c r="B519" s="3" t="str">
        <f>IFERROR(__xludf.DUMMYFUNCTION("""COMPUTED_VALUE"""),"")</f>
        <v/>
      </c>
      <c r="C519" s="3"/>
      <c r="D519" s="3" t="str">
        <f>IFERROR(__xludf.DUMMYFUNCTION("""COMPUTED_VALUE"""),"")</f>
        <v/>
      </c>
      <c r="E519" s="3"/>
      <c r="F519" s="3"/>
      <c r="G519" s="3"/>
      <c r="H519" s="3"/>
      <c r="I519" s="3"/>
      <c r="J519" s="3"/>
      <c r="K519" s="3"/>
      <c r="L519" s="3"/>
      <c r="M519" s="3"/>
      <c r="N519" s="3"/>
      <c r="O519" s="3"/>
    </row>
    <row r="520">
      <c r="A520" s="3" t="b">
        <f>IFERROR(__xludf.DUMMYFUNCTION("""COMPUTED_VALUE"""),FALSE)</f>
        <v>0</v>
      </c>
      <c r="B520" s="3" t="str">
        <f>IFERROR(__xludf.DUMMYFUNCTION("""COMPUTED_VALUE"""),"")</f>
        <v/>
      </c>
      <c r="C520" s="3"/>
      <c r="D520" s="3" t="str">
        <f>IFERROR(__xludf.DUMMYFUNCTION("""COMPUTED_VALUE"""),"")</f>
        <v/>
      </c>
      <c r="E520" s="3"/>
      <c r="F520" s="3"/>
      <c r="G520" s="3"/>
      <c r="H520" s="3"/>
      <c r="I520" s="3"/>
      <c r="J520" s="3"/>
      <c r="K520" s="3"/>
      <c r="L520" s="3"/>
      <c r="M520" s="3"/>
      <c r="N520" s="3"/>
      <c r="O520" s="3"/>
    </row>
    <row r="521">
      <c r="A521" s="3" t="b">
        <f>IFERROR(__xludf.DUMMYFUNCTION("""COMPUTED_VALUE"""),FALSE)</f>
        <v>0</v>
      </c>
      <c r="B521" s="3" t="str">
        <f>IFERROR(__xludf.DUMMYFUNCTION("""COMPUTED_VALUE"""),"")</f>
        <v/>
      </c>
      <c r="C521" s="3"/>
      <c r="D521" s="3" t="str">
        <f>IFERROR(__xludf.DUMMYFUNCTION("""COMPUTED_VALUE"""),"")</f>
        <v/>
      </c>
      <c r="E521" s="3"/>
      <c r="F521" s="3"/>
      <c r="G521" s="3"/>
      <c r="H521" s="3"/>
      <c r="I521" s="3"/>
      <c r="J521" s="3"/>
      <c r="K521" s="3"/>
      <c r="L521" s="3"/>
      <c r="M521" s="3"/>
      <c r="N521" s="3"/>
      <c r="O521" s="3"/>
    </row>
    <row r="522">
      <c r="A522" s="3" t="b">
        <f>IFERROR(__xludf.DUMMYFUNCTION("""COMPUTED_VALUE"""),FALSE)</f>
        <v>0</v>
      </c>
      <c r="B522" s="3" t="str">
        <f>IFERROR(__xludf.DUMMYFUNCTION("""COMPUTED_VALUE"""),"")</f>
        <v/>
      </c>
      <c r="C522" s="3"/>
      <c r="D522" s="3" t="str">
        <f>IFERROR(__xludf.DUMMYFUNCTION("""COMPUTED_VALUE"""),"")</f>
        <v/>
      </c>
      <c r="E522" s="3"/>
      <c r="F522" s="3"/>
      <c r="G522" s="3"/>
      <c r="H522" s="3"/>
      <c r="I522" s="3"/>
      <c r="J522" s="3"/>
      <c r="K522" s="3"/>
      <c r="L522" s="3"/>
      <c r="M522" s="3"/>
      <c r="N522" s="3"/>
      <c r="O522" s="3"/>
    </row>
    <row r="523">
      <c r="A523" s="3" t="b">
        <f>IFERROR(__xludf.DUMMYFUNCTION("""COMPUTED_VALUE"""),FALSE)</f>
        <v>0</v>
      </c>
      <c r="B523" s="3" t="str">
        <f>IFERROR(__xludf.DUMMYFUNCTION("""COMPUTED_VALUE"""),"")</f>
        <v/>
      </c>
      <c r="C523" s="3"/>
      <c r="D523" s="3" t="str">
        <f>IFERROR(__xludf.DUMMYFUNCTION("""COMPUTED_VALUE"""),"")</f>
        <v/>
      </c>
      <c r="E523" s="3"/>
      <c r="F523" s="3"/>
      <c r="G523" s="3"/>
      <c r="H523" s="3"/>
      <c r="I523" s="3"/>
      <c r="J523" s="3"/>
      <c r="K523" s="3"/>
      <c r="L523" s="3"/>
      <c r="M523" s="3"/>
      <c r="N523" s="3"/>
      <c r="O523" s="3"/>
    </row>
    <row r="524">
      <c r="A524" s="3" t="b">
        <f>IFERROR(__xludf.DUMMYFUNCTION("""COMPUTED_VALUE"""),FALSE)</f>
        <v>0</v>
      </c>
      <c r="B524" s="3" t="str">
        <f>IFERROR(__xludf.DUMMYFUNCTION("""COMPUTED_VALUE"""),"")</f>
        <v/>
      </c>
      <c r="C524" s="3"/>
      <c r="D524" s="3" t="str">
        <f>IFERROR(__xludf.DUMMYFUNCTION("""COMPUTED_VALUE"""),"")</f>
        <v/>
      </c>
      <c r="E524" s="3"/>
      <c r="F524" s="3"/>
      <c r="G524" s="3"/>
      <c r="H524" s="3"/>
      <c r="I524" s="3"/>
      <c r="J524" s="3"/>
      <c r="K524" s="3"/>
      <c r="L524" s="3"/>
      <c r="M524" s="3"/>
      <c r="N524" s="3"/>
      <c r="O524" s="3"/>
    </row>
    <row r="525">
      <c r="A525" s="3" t="b">
        <f>IFERROR(__xludf.DUMMYFUNCTION("""COMPUTED_VALUE"""),FALSE)</f>
        <v>0</v>
      </c>
      <c r="B525" s="3" t="str">
        <f>IFERROR(__xludf.DUMMYFUNCTION("""COMPUTED_VALUE"""),"")</f>
        <v/>
      </c>
      <c r="C525" s="3"/>
      <c r="D525" s="3" t="str">
        <f>IFERROR(__xludf.DUMMYFUNCTION("""COMPUTED_VALUE"""),"")</f>
        <v/>
      </c>
      <c r="E525" s="3"/>
      <c r="F525" s="3"/>
      <c r="G525" s="3"/>
      <c r="H525" s="3"/>
      <c r="I525" s="3"/>
      <c r="J525" s="3"/>
      <c r="K525" s="3"/>
      <c r="L525" s="3"/>
      <c r="M525" s="3"/>
      <c r="N525" s="3"/>
      <c r="O525" s="3"/>
    </row>
    <row r="526">
      <c r="A526" s="3" t="b">
        <f>IFERROR(__xludf.DUMMYFUNCTION("""COMPUTED_VALUE"""),FALSE)</f>
        <v>0</v>
      </c>
      <c r="B526" s="3" t="str">
        <f>IFERROR(__xludf.DUMMYFUNCTION("""COMPUTED_VALUE"""),"")</f>
        <v/>
      </c>
      <c r="C526" s="3"/>
      <c r="D526" s="3" t="str">
        <f>IFERROR(__xludf.DUMMYFUNCTION("""COMPUTED_VALUE"""),"")</f>
        <v/>
      </c>
      <c r="E526" s="3"/>
      <c r="F526" s="3"/>
      <c r="G526" s="3"/>
      <c r="H526" s="3"/>
      <c r="I526" s="3"/>
      <c r="J526" s="3"/>
      <c r="K526" s="3"/>
      <c r="L526" s="3"/>
      <c r="M526" s="3"/>
      <c r="N526" s="3"/>
      <c r="O526" s="3"/>
    </row>
    <row r="527">
      <c r="A527" s="3" t="b">
        <f>IFERROR(__xludf.DUMMYFUNCTION("""COMPUTED_VALUE"""),FALSE)</f>
        <v>0</v>
      </c>
      <c r="B527" s="3" t="str">
        <f>IFERROR(__xludf.DUMMYFUNCTION("""COMPUTED_VALUE"""),"")</f>
        <v/>
      </c>
      <c r="C527" s="3"/>
      <c r="D527" s="3" t="str">
        <f>IFERROR(__xludf.DUMMYFUNCTION("""COMPUTED_VALUE"""),"")</f>
        <v/>
      </c>
      <c r="E527" s="3"/>
      <c r="F527" s="3"/>
      <c r="G527" s="3"/>
      <c r="H527" s="3"/>
      <c r="I527" s="3"/>
      <c r="J527" s="3"/>
      <c r="K527" s="3"/>
      <c r="L527" s="3"/>
      <c r="M527" s="3"/>
      <c r="N527" s="3"/>
      <c r="O527" s="3"/>
    </row>
    <row r="528">
      <c r="A528" s="3" t="b">
        <f>IFERROR(__xludf.DUMMYFUNCTION("""COMPUTED_VALUE"""),FALSE)</f>
        <v>0</v>
      </c>
      <c r="B528" s="3" t="str">
        <f>IFERROR(__xludf.DUMMYFUNCTION("""COMPUTED_VALUE"""),"")</f>
        <v/>
      </c>
      <c r="C528" s="3"/>
      <c r="D528" s="3" t="str">
        <f>IFERROR(__xludf.DUMMYFUNCTION("""COMPUTED_VALUE"""),"")</f>
        <v/>
      </c>
      <c r="E528" s="3"/>
      <c r="F528" s="3"/>
      <c r="G528" s="3"/>
      <c r="H528" s="3"/>
      <c r="I528" s="3"/>
      <c r="J528" s="3"/>
      <c r="K528" s="3"/>
      <c r="L528" s="3"/>
      <c r="M528" s="3"/>
      <c r="N528" s="3"/>
      <c r="O528" s="3"/>
    </row>
    <row r="529">
      <c r="A529" s="3" t="b">
        <f>IFERROR(__xludf.DUMMYFUNCTION("""COMPUTED_VALUE"""),FALSE)</f>
        <v>0</v>
      </c>
      <c r="B529" s="3" t="str">
        <f>IFERROR(__xludf.DUMMYFUNCTION("""COMPUTED_VALUE"""),"")</f>
        <v/>
      </c>
      <c r="C529" s="3"/>
      <c r="D529" s="3" t="str">
        <f>IFERROR(__xludf.DUMMYFUNCTION("""COMPUTED_VALUE"""),"")</f>
        <v/>
      </c>
      <c r="E529" s="3"/>
      <c r="F529" s="3"/>
      <c r="G529" s="3"/>
      <c r="H529" s="3"/>
      <c r="I529" s="3"/>
      <c r="J529" s="3"/>
      <c r="K529" s="3"/>
      <c r="L529" s="3"/>
      <c r="M529" s="3"/>
      <c r="N529" s="3"/>
      <c r="O529" s="3"/>
    </row>
    <row r="530">
      <c r="A530" s="3" t="b">
        <f>IFERROR(__xludf.DUMMYFUNCTION("""COMPUTED_VALUE"""),FALSE)</f>
        <v>0</v>
      </c>
      <c r="B530" s="3" t="str">
        <f>IFERROR(__xludf.DUMMYFUNCTION("""COMPUTED_VALUE"""),"")</f>
        <v/>
      </c>
      <c r="C530" s="3"/>
      <c r="D530" s="3" t="str">
        <f>IFERROR(__xludf.DUMMYFUNCTION("""COMPUTED_VALUE"""),"")</f>
        <v/>
      </c>
      <c r="E530" s="3"/>
      <c r="F530" s="3"/>
      <c r="G530" s="3"/>
      <c r="H530" s="3"/>
      <c r="I530" s="3"/>
      <c r="J530" s="3"/>
      <c r="K530" s="3"/>
      <c r="L530" s="3"/>
      <c r="M530" s="3"/>
      <c r="N530" s="3"/>
      <c r="O530" s="3"/>
    </row>
    <row r="531">
      <c r="A531" s="3" t="b">
        <f>IFERROR(__xludf.DUMMYFUNCTION("""COMPUTED_VALUE"""),FALSE)</f>
        <v>0</v>
      </c>
      <c r="B531" s="3" t="str">
        <f>IFERROR(__xludf.DUMMYFUNCTION("""COMPUTED_VALUE"""),"")</f>
        <v/>
      </c>
      <c r="C531" s="3"/>
      <c r="D531" s="3" t="str">
        <f>IFERROR(__xludf.DUMMYFUNCTION("""COMPUTED_VALUE"""),"")</f>
        <v/>
      </c>
      <c r="E531" s="3"/>
      <c r="F531" s="3"/>
      <c r="G531" s="3"/>
      <c r="H531" s="3"/>
      <c r="I531" s="3"/>
      <c r="J531" s="3"/>
      <c r="K531" s="3"/>
      <c r="L531" s="3"/>
      <c r="M531" s="3"/>
      <c r="N531" s="3"/>
      <c r="O531" s="3"/>
    </row>
    <row r="532">
      <c r="A532" s="3" t="b">
        <f>IFERROR(__xludf.DUMMYFUNCTION("""COMPUTED_VALUE"""),FALSE)</f>
        <v>0</v>
      </c>
      <c r="B532" s="3" t="str">
        <f>IFERROR(__xludf.DUMMYFUNCTION("""COMPUTED_VALUE"""),"")</f>
        <v/>
      </c>
      <c r="C532" s="3"/>
      <c r="D532" s="3" t="str">
        <f>IFERROR(__xludf.DUMMYFUNCTION("""COMPUTED_VALUE"""),"")</f>
        <v/>
      </c>
      <c r="E532" s="3"/>
      <c r="F532" s="3"/>
      <c r="G532" s="3"/>
      <c r="H532" s="3"/>
      <c r="I532" s="3"/>
      <c r="J532" s="3"/>
      <c r="K532" s="3"/>
      <c r="L532" s="3"/>
      <c r="M532" s="3"/>
      <c r="N532" s="3"/>
      <c r="O532" s="3"/>
    </row>
    <row r="533">
      <c r="A533" s="3" t="b">
        <f>IFERROR(__xludf.DUMMYFUNCTION("""COMPUTED_VALUE"""),FALSE)</f>
        <v>0</v>
      </c>
      <c r="B533" s="3" t="str">
        <f>IFERROR(__xludf.DUMMYFUNCTION("""COMPUTED_VALUE"""),"")</f>
        <v/>
      </c>
      <c r="C533" s="3"/>
      <c r="D533" s="3" t="str">
        <f>IFERROR(__xludf.DUMMYFUNCTION("""COMPUTED_VALUE"""),"")</f>
        <v/>
      </c>
      <c r="E533" s="3"/>
      <c r="F533" s="3"/>
      <c r="G533" s="3"/>
      <c r="H533" s="3"/>
      <c r="I533" s="3"/>
      <c r="J533" s="3"/>
      <c r="K533" s="3"/>
      <c r="L533" s="3"/>
      <c r="M533" s="3"/>
      <c r="N533" s="3"/>
      <c r="O533" s="3"/>
    </row>
    <row r="534">
      <c r="A534" s="3" t="b">
        <f>IFERROR(__xludf.DUMMYFUNCTION("""COMPUTED_VALUE"""),FALSE)</f>
        <v>0</v>
      </c>
      <c r="B534" s="3" t="str">
        <f>IFERROR(__xludf.DUMMYFUNCTION("""COMPUTED_VALUE"""),"")</f>
        <v/>
      </c>
      <c r="C534" s="3"/>
      <c r="D534" s="3" t="str">
        <f>IFERROR(__xludf.DUMMYFUNCTION("""COMPUTED_VALUE"""),"")</f>
        <v/>
      </c>
      <c r="E534" s="3"/>
      <c r="F534" s="3"/>
      <c r="G534" s="3"/>
      <c r="H534" s="3"/>
      <c r="I534" s="3"/>
      <c r="J534" s="3"/>
      <c r="K534" s="3"/>
      <c r="L534" s="3"/>
      <c r="M534" s="3"/>
      <c r="N534" s="3"/>
      <c r="O534" s="3"/>
    </row>
    <row r="535">
      <c r="A535" s="3" t="b">
        <f>IFERROR(__xludf.DUMMYFUNCTION("""COMPUTED_VALUE"""),FALSE)</f>
        <v>0</v>
      </c>
      <c r="B535" s="3" t="str">
        <f>IFERROR(__xludf.DUMMYFUNCTION("""COMPUTED_VALUE"""),"")</f>
        <v/>
      </c>
      <c r="C535" s="3"/>
      <c r="D535" s="3" t="str">
        <f>IFERROR(__xludf.DUMMYFUNCTION("""COMPUTED_VALUE"""),"")</f>
        <v/>
      </c>
      <c r="E535" s="3"/>
      <c r="F535" s="3"/>
      <c r="G535" s="3"/>
      <c r="H535" s="3"/>
      <c r="I535" s="3"/>
      <c r="J535" s="3"/>
      <c r="K535" s="3"/>
      <c r="L535" s="3"/>
      <c r="M535" s="3"/>
      <c r="N535" s="3"/>
      <c r="O535" s="3"/>
    </row>
    <row r="536">
      <c r="A536" s="3" t="b">
        <f>IFERROR(__xludf.DUMMYFUNCTION("""COMPUTED_VALUE"""),FALSE)</f>
        <v>0</v>
      </c>
      <c r="B536" s="3" t="str">
        <f>IFERROR(__xludf.DUMMYFUNCTION("""COMPUTED_VALUE"""),"")</f>
        <v/>
      </c>
      <c r="C536" s="3"/>
      <c r="D536" s="3" t="str">
        <f>IFERROR(__xludf.DUMMYFUNCTION("""COMPUTED_VALUE"""),"")</f>
        <v/>
      </c>
      <c r="E536" s="3"/>
      <c r="F536" s="3"/>
      <c r="G536" s="3"/>
      <c r="H536" s="3"/>
      <c r="I536" s="3"/>
      <c r="J536" s="3"/>
      <c r="K536" s="3"/>
      <c r="L536" s="3"/>
      <c r="M536" s="3"/>
      <c r="N536" s="3"/>
      <c r="O536" s="3"/>
    </row>
    <row r="537">
      <c r="A537" s="3" t="b">
        <f>IFERROR(__xludf.DUMMYFUNCTION("""COMPUTED_VALUE"""),FALSE)</f>
        <v>0</v>
      </c>
      <c r="B537" s="3" t="str">
        <f>IFERROR(__xludf.DUMMYFUNCTION("""COMPUTED_VALUE"""),"")</f>
        <v/>
      </c>
      <c r="C537" s="3"/>
      <c r="D537" s="3" t="str">
        <f>IFERROR(__xludf.DUMMYFUNCTION("""COMPUTED_VALUE"""),"")</f>
        <v/>
      </c>
      <c r="E537" s="3"/>
      <c r="F537" s="3"/>
      <c r="G537" s="3"/>
      <c r="H537" s="3"/>
      <c r="I537" s="3"/>
      <c r="J537" s="3"/>
      <c r="K537" s="3"/>
      <c r="L537" s="3"/>
      <c r="M537" s="3"/>
      <c r="N537" s="3"/>
      <c r="O537" s="3"/>
    </row>
    <row r="538">
      <c r="A538" s="3" t="b">
        <f>IFERROR(__xludf.DUMMYFUNCTION("""COMPUTED_VALUE"""),FALSE)</f>
        <v>0</v>
      </c>
      <c r="B538" s="3" t="str">
        <f>IFERROR(__xludf.DUMMYFUNCTION("""COMPUTED_VALUE"""),"")</f>
        <v/>
      </c>
      <c r="C538" s="3"/>
      <c r="D538" s="3" t="str">
        <f>IFERROR(__xludf.DUMMYFUNCTION("""COMPUTED_VALUE"""),"")</f>
        <v/>
      </c>
      <c r="E538" s="3"/>
      <c r="F538" s="3"/>
      <c r="G538" s="3"/>
      <c r="H538" s="3"/>
      <c r="I538" s="3"/>
      <c r="J538" s="3"/>
      <c r="K538" s="3"/>
      <c r="L538" s="3"/>
      <c r="M538" s="3"/>
      <c r="N538" s="3"/>
      <c r="O538" s="3"/>
    </row>
    <row r="539">
      <c r="A539" s="3" t="b">
        <f>IFERROR(__xludf.DUMMYFUNCTION("""COMPUTED_VALUE"""),FALSE)</f>
        <v>0</v>
      </c>
      <c r="B539" s="3" t="str">
        <f>IFERROR(__xludf.DUMMYFUNCTION("""COMPUTED_VALUE"""),"")</f>
        <v/>
      </c>
      <c r="C539" s="3"/>
      <c r="D539" s="3" t="str">
        <f>IFERROR(__xludf.DUMMYFUNCTION("""COMPUTED_VALUE"""),"")</f>
        <v/>
      </c>
      <c r="E539" s="3"/>
      <c r="F539" s="3"/>
      <c r="G539" s="3"/>
      <c r="H539" s="3"/>
      <c r="I539" s="3"/>
      <c r="J539" s="3"/>
      <c r="K539" s="3"/>
      <c r="L539" s="3"/>
      <c r="M539" s="3"/>
      <c r="N539" s="3"/>
      <c r="O539" s="3"/>
    </row>
    <row r="540">
      <c r="A540" s="3" t="b">
        <f>IFERROR(__xludf.DUMMYFUNCTION("""COMPUTED_VALUE"""),FALSE)</f>
        <v>0</v>
      </c>
      <c r="B540" s="3" t="str">
        <f>IFERROR(__xludf.DUMMYFUNCTION("""COMPUTED_VALUE"""),"")</f>
        <v/>
      </c>
      <c r="C540" s="3"/>
      <c r="D540" s="3" t="str">
        <f>IFERROR(__xludf.DUMMYFUNCTION("""COMPUTED_VALUE"""),"")</f>
        <v/>
      </c>
      <c r="E540" s="3"/>
      <c r="F540" s="3"/>
      <c r="G540" s="3"/>
      <c r="H540" s="3"/>
      <c r="I540" s="3"/>
      <c r="J540" s="3"/>
      <c r="K540" s="3"/>
      <c r="L540" s="3"/>
      <c r="M540" s="3"/>
      <c r="N540" s="3"/>
      <c r="O540" s="3"/>
    </row>
    <row r="541">
      <c r="A541" s="3" t="b">
        <f>IFERROR(__xludf.DUMMYFUNCTION("""COMPUTED_VALUE"""),FALSE)</f>
        <v>0</v>
      </c>
      <c r="B541" s="3" t="str">
        <f>IFERROR(__xludf.DUMMYFUNCTION("""COMPUTED_VALUE"""),"")</f>
        <v/>
      </c>
      <c r="C541" s="3"/>
      <c r="D541" s="3" t="str">
        <f>IFERROR(__xludf.DUMMYFUNCTION("""COMPUTED_VALUE"""),"")</f>
        <v/>
      </c>
      <c r="E541" s="3"/>
      <c r="F541" s="3"/>
      <c r="G541" s="3"/>
      <c r="H541" s="3"/>
      <c r="I541" s="3"/>
      <c r="J541" s="3"/>
      <c r="K541" s="3"/>
      <c r="L541" s="3"/>
      <c r="M541" s="3"/>
      <c r="N541" s="3"/>
      <c r="O541" s="3"/>
    </row>
    <row r="542">
      <c r="A542" s="3" t="b">
        <f>IFERROR(__xludf.DUMMYFUNCTION("""COMPUTED_VALUE"""),FALSE)</f>
        <v>0</v>
      </c>
      <c r="B542" s="3" t="str">
        <f>IFERROR(__xludf.DUMMYFUNCTION("""COMPUTED_VALUE"""),"")</f>
        <v/>
      </c>
      <c r="C542" s="3"/>
      <c r="D542" s="3" t="str">
        <f>IFERROR(__xludf.DUMMYFUNCTION("""COMPUTED_VALUE"""),"")</f>
        <v/>
      </c>
      <c r="E542" s="3"/>
      <c r="F542" s="3"/>
      <c r="G542" s="3"/>
      <c r="H542" s="3"/>
      <c r="I542" s="3"/>
      <c r="J542" s="3"/>
      <c r="K542" s="3"/>
      <c r="L542" s="3"/>
      <c r="M542" s="3"/>
      <c r="N542" s="3"/>
      <c r="O542" s="3"/>
    </row>
    <row r="543">
      <c r="A543" s="3" t="b">
        <f>IFERROR(__xludf.DUMMYFUNCTION("""COMPUTED_VALUE"""),FALSE)</f>
        <v>0</v>
      </c>
      <c r="B543" s="3" t="str">
        <f>IFERROR(__xludf.DUMMYFUNCTION("""COMPUTED_VALUE"""),"")</f>
        <v/>
      </c>
      <c r="C543" s="3"/>
      <c r="D543" s="3" t="str">
        <f>IFERROR(__xludf.DUMMYFUNCTION("""COMPUTED_VALUE"""),"")</f>
        <v/>
      </c>
      <c r="E543" s="3"/>
      <c r="F543" s="3"/>
      <c r="G543" s="3"/>
      <c r="H543" s="3"/>
      <c r="I543" s="3"/>
      <c r="J543" s="3"/>
      <c r="K543" s="3"/>
      <c r="L543" s="3"/>
      <c r="M543" s="3"/>
      <c r="N543" s="3"/>
      <c r="O543" s="3"/>
    </row>
    <row r="544">
      <c r="A544" s="3" t="b">
        <f>IFERROR(__xludf.DUMMYFUNCTION("""COMPUTED_VALUE"""),FALSE)</f>
        <v>0</v>
      </c>
      <c r="B544" s="3" t="str">
        <f>IFERROR(__xludf.DUMMYFUNCTION("""COMPUTED_VALUE"""),"")</f>
        <v/>
      </c>
      <c r="C544" s="3"/>
      <c r="D544" s="3" t="str">
        <f>IFERROR(__xludf.DUMMYFUNCTION("""COMPUTED_VALUE"""),"")</f>
        <v/>
      </c>
      <c r="E544" s="3"/>
      <c r="F544" s="3"/>
      <c r="G544" s="3"/>
      <c r="H544" s="3"/>
      <c r="I544" s="3"/>
      <c r="J544" s="3"/>
      <c r="K544" s="3"/>
      <c r="L544" s="3"/>
      <c r="M544" s="3"/>
      <c r="N544" s="3"/>
      <c r="O544" s="3"/>
    </row>
    <row r="545">
      <c r="A545" s="3" t="b">
        <f>IFERROR(__xludf.DUMMYFUNCTION("""COMPUTED_VALUE"""),FALSE)</f>
        <v>0</v>
      </c>
      <c r="B545" s="3" t="str">
        <f>IFERROR(__xludf.DUMMYFUNCTION("""COMPUTED_VALUE"""),"")</f>
        <v/>
      </c>
      <c r="C545" s="3"/>
      <c r="D545" s="3" t="str">
        <f>IFERROR(__xludf.DUMMYFUNCTION("""COMPUTED_VALUE"""),"")</f>
        <v/>
      </c>
      <c r="E545" s="3"/>
      <c r="F545" s="3"/>
      <c r="G545" s="3"/>
      <c r="H545" s="3"/>
      <c r="I545" s="3"/>
      <c r="J545" s="3"/>
      <c r="K545" s="3"/>
      <c r="L545" s="3"/>
      <c r="M545" s="3"/>
      <c r="N545" s="3"/>
      <c r="O545" s="3"/>
    </row>
    <row r="546">
      <c r="A546" s="3" t="b">
        <f>IFERROR(__xludf.DUMMYFUNCTION("""COMPUTED_VALUE"""),FALSE)</f>
        <v>0</v>
      </c>
      <c r="B546" s="3" t="str">
        <f>IFERROR(__xludf.DUMMYFUNCTION("""COMPUTED_VALUE"""),"")</f>
        <v/>
      </c>
      <c r="C546" s="3"/>
      <c r="D546" s="3" t="str">
        <f>IFERROR(__xludf.DUMMYFUNCTION("""COMPUTED_VALUE"""),"")</f>
        <v/>
      </c>
      <c r="E546" s="3"/>
      <c r="F546" s="3"/>
      <c r="G546" s="3"/>
      <c r="H546" s="3"/>
      <c r="I546" s="3"/>
      <c r="J546" s="3"/>
      <c r="K546" s="3"/>
      <c r="L546" s="3"/>
      <c r="M546" s="3"/>
      <c r="N546" s="3"/>
      <c r="O546" s="3"/>
    </row>
    <row r="547">
      <c r="A547" s="3" t="b">
        <f>IFERROR(__xludf.DUMMYFUNCTION("""COMPUTED_VALUE"""),FALSE)</f>
        <v>0</v>
      </c>
      <c r="B547" s="3" t="str">
        <f>IFERROR(__xludf.DUMMYFUNCTION("""COMPUTED_VALUE"""),"")</f>
        <v/>
      </c>
      <c r="C547" s="3"/>
      <c r="D547" s="3" t="str">
        <f>IFERROR(__xludf.DUMMYFUNCTION("""COMPUTED_VALUE"""),"")</f>
        <v/>
      </c>
      <c r="E547" s="3"/>
      <c r="F547" s="3"/>
      <c r="G547" s="3"/>
      <c r="H547" s="3"/>
      <c r="I547" s="3"/>
      <c r="J547" s="3"/>
      <c r="K547" s="3"/>
      <c r="L547" s="3"/>
      <c r="M547" s="3"/>
      <c r="N547" s="3"/>
      <c r="O547" s="3"/>
    </row>
    <row r="548">
      <c r="A548" s="3" t="b">
        <f>IFERROR(__xludf.DUMMYFUNCTION("""COMPUTED_VALUE"""),FALSE)</f>
        <v>0</v>
      </c>
      <c r="B548" s="3" t="str">
        <f>IFERROR(__xludf.DUMMYFUNCTION("""COMPUTED_VALUE"""),"")</f>
        <v/>
      </c>
      <c r="C548" s="3"/>
      <c r="D548" s="3" t="str">
        <f>IFERROR(__xludf.DUMMYFUNCTION("""COMPUTED_VALUE"""),"")</f>
        <v/>
      </c>
      <c r="E548" s="3"/>
      <c r="F548" s="3"/>
      <c r="G548" s="3"/>
      <c r="H548" s="3"/>
      <c r="I548" s="3"/>
      <c r="J548" s="3"/>
      <c r="K548" s="3"/>
      <c r="L548" s="3"/>
      <c r="M548" s="3"/>
      <c r="N548" s="3"/>
      <c r="O548" s="3"/>
    </row>
    <row r="549">
      <c r="A549" s="3" t="b">
        <f>IFERROR(__xludf.DUMMYFUNCTION("""COMPUTED_VALUE"""),FALSE)</f>
        <v>0</v>
      </c>
      <c r="B549" s="3" t="str">
        <f>IFERROR(__xludf.DUMMYFUNCTION("""COMPUTED_VALUE"""),"")</f>
        <v/>
      </c>
      <c r="C549" s="3"/>
      <c r="D549" s="3" t="str">
        <f>IFERROR(__xludf.DUMMYFUNCTION("""COMPUTED_VALUE"""),"")</f>
        <v/>
      </c>
      <c r="E549" s="3"/>
      <c r="F549" s="3"/>
      <c r="G549" s="3"/>
      <c r="H549" s="3"/>
      <c r="I549" s="3"/>
      <c r="J549" s="3"/>
      <c r="K549" s="3"/>
      <c r="L549" s="3"/>
      <c r="M549" s="3"/>
      <c r="N549" s="3"/>
      <c r="O549" s="3"/>
    </row>
    <row r="550">
      <c r="A550" s="3" t="b">
        <f>IFERROR(__xludf.DUMMYFUNCTION("""COMPUTED_VALUE"""),FALSE)</f>
        <v>0</v>
      </c>
      <c r="B550" s="3" t="str">
        <f>IFERROR(__xludf.DUMMYFUNCTION("""COMPUTED_VALUE"""),"")</f>
        <v/>
      </c>
      <c r="C550" s="3"/>
      <c r="D550" s="3" t="str">
        <f>IFERROR(__xludf.DUMMYFUNCTION("""COMPUTED_VALUE"""),"")</f>
        <v/>
      </c>
      <c r="E550" s="3"/>
      <c r="F550" s="3"/>
      <c r="G550" s="3"/>
      <c r="H550" s="3"/>
      <c r="I550" s="3"/>
      <c r="J550" s="3"/>
      <c r="K550" s="3"/>
      <c r="L550" s="3"/>
      <c r="M550" s="3"/>
      <c r="N550" s="3"/>
      <c r="O550" s="3"/>
    </row>
    <row r="551">
      <c r="A551" s="3" t="b">
        <f>IFERROR(__xludf.DUMMYFUNCTION("""COMPUTED_VALUE"""),FALSE)</f>
        <v>0</v>
      </c>
      <c r="B551" s="3" t="str">
        <f>IFERROR(__xludf.DUMMYFUNCTION("""COMPUTED_VALUE"""),"")</f>
        <v/>
      </c>
      <c r="C551" s="3"/>
      <c r="D551" s="3" t="str">
        <f>IFERROR(__xludf.DUMMYFUNCTION("""COMPUTED_VALUE"""),"")</f>
        <v/>
      </c>
      <c r="E551" s="3"/>
      <c r="F551" s="3"/>
      <c r="G551" s="3"/>
      <c r="H551" s="3"/>
      <c r="I551" s="3"/>
      <c r="J551" s="3"/>
      <c r="K551" s="3"/>
      <c r="L551" s="3"/>
      <c r="M551" s="3"/>
      <c r="N551" s="3"/>
      <c r="O551" s="3"/>
    </row>
    <row r="552">
      <c r="A552" s="3" t="b">
        <f>IFERROR(__xludf.DUMMYFUNCTION("""COMPUTED_VALUE"""),FALSE)</f>
        <v>0</v>
      </c>
      <c r="B552" s="3" t="str">
        <f>IFERROR(__xludf.DUMMYFUNCTION("""COMPUTED_VALUE"""),"")</f>
        <v/>
      </c>
      <c r="C552" s="3"/>
      <c r="D552" s="3" t="str">
        <f>IFERROR(__xludf.DUMMYFUNCTION("""COMPUTED_VALUE"""),"")</f>
        <v/>
      </c>
      <c r="E552" s="3"/>
      <c r="F552" s="3"/>
      <c r="G552" s="3"/>
      <c r="H552" s="3"/>
      <c r="I552" s="3"/>
      <c r="J552" s="3"/>
      <c r="K552" s="3"/>
      <c r="L552" s="3"/>
      <c r="M552" s="3"/>
      <c r="N552" s="3"/>
      <c r="O552" s="3"/>
    </row>
    <row r="553">
      <c r="A553" s="3" t="b">
        <f>IFERROR(__xludf.DUMMYFUNCTION("""COMPUTED_VALUE"""),FALSE)</f>
        <v>0</v>
      </c>
      <c r="B553" s="3" t="str">
        <f>IFERROR(__xludf.DUMMYFUNCTION("""COMPUTED_VALUE"""),"")</f>
        <v/>
      </c>
      <c r="C553" s="3"/>
      <c r="D553" s="3" t="str">
        <f>IFERROR(__xludf.DUMMYFUNCTION("""COMPUTED_VALUE"""),"")</f>
        <v/>
      </c>
      <c r="E553" s="3"/>
      <c r="F553" s="3"/>
      <c r="G553" s="3"/>
      <c r="H553" s="3"/>
      <c r="I553" s="3"/>
      <c r="J553" s="3"/>
      <c r="K553" s="3"/>
      <c r="L553" s="3"/>
      <c r="M553" s="3"/>
      <c r="N553" s="3"/>
      <c r="O553" s="3"/>
    </row>
    <row r="554">
      <c r="A554" s="3" t="b">
        <f>IFERROR(__xludf.DUMMYFUNCTION("""COMPUTED_VALUE"""),FALSE)</f>
        <v>0</v>
      </c>
      <c r="B554" s="3" t="str">
        <f>IFERROR(__xludf.DUMMYFUNCTION("""COMPUTED_VALUE"""),"")</f>
        <v/>
      </c>
      <c r="C554" s="3"/>
      <c r="D554" s="3" t="str">
        <f>IFERROR(__xludf.DUMMYFUNCTION("""COMPUTED_VALUE"""),"")</f>
        <v/>
      </c>
      <c r="E554" s="3"/>
      <c r="F554" s="3"/>
      <c r="G554" s="3"/>
      <c r="H554" s="3"/>
      <c r="I554" s="3"/>
      <c r="J554" s="3"/>
      <c r="K554" s="3"/>
      <c r="L554" s="3"/>
      <c r="M554" s="3"/>
      <c r="N554" s="3"/>
      <c r="O554" s="3"/>
    </row>
    <row r="555">
      <c r="A555" s="3" t="b">
        <f>IFERROR(__xludf.DUMMYFUNCTION("""COMPUTED_VALUE"""),FALSE)</f>
        <v>0</v>
      </c>
      <c r="B555" s="3" t="str">
        <f>IFERROR(__xludf.DUMMYFUNCTION("""COMPUTED_VALUE"""),"")</f>
        <v/>
      </c>
      <c r="C555" s="3"/>
      <c r="D555" s="3" t="str">
        <f>IFERROR(__xludf.DUMMYFUNCTION("""COMPUTED_VALUE"""),"")</f>
        <v/>
      </c>
      <c r="E555" s="3"/>
      <c r="F555" s="3"/>
      <c r="G555" s="3"/>
      <c r="H555" s="3"/>
      <c r="I555" s="3"/>
      <c r="J555" s="3"/>
      <c r="K555" s="3"/>
      <c r="L555" s="3"/>
      <c r="M555" s="3"/>
      <c r="N555" s="3"/>
      <c r="O555" s="3"/>
    </row>
    <row r="556">
      <c r="A556" s="3" t="b">
        <f>IFERROR(__xludf.DUMMYFUNCTION("""COMPUTED_VALUE"""),FALSE)</f>
        <v>0</v>
      </c>
      <c r="B556" s="3" t="str">
        <f>IFERROR(__xludf.DUMMYFUNCTION("""COMPUTED_VALUE"""),"")</f>
        <v/>
      </c>
      <c r="C556" s="3"/>
      <c r="D556" s="3" t="str">
        <f>IFERROR(__xludf.DUMMYFUNCTION("""COMPUTED_VALUE"""),"")</f>
        <v/>
      </c>
      <c r="E556" s="3"/>
      <c r="F556" s="3"/>
      <c r="G556" s="3"/>
      <c r="H556" s="3"/>
      <c r="I556" s="3"/>
      <c r="J556" s="3"/>
      <c r="K556" s="3"/>
      <c r="L556" s="3"/>
      <c r="M556" s="3"/>
      <c r="N556" s="3"/>
      <c r="O556" s="3"/>
    </row>
    <row r="557">
      <c r="A557" s="3" t="b">
        <f>IFERROR(__xludf.DUMMYFUNCTION("""COMPUTED_VALUE"""),FALSE)</f>
        <v>0</v>
      </c>
      <c r="B557" s="3" t="str">
        <f>IFERROR(__xludf.DUMMYFUNCTION("""COMPUTED_VALUE"""),"")</f>
        <v/>
      </c>
      <c r="C557" s="3"/>
      <c r="D557" s="3" t="str">
        <f>IFERROR(__xludf.DUMMYFUNCTION("""COMPUTED_VALUE"""),"")</f>
        <v/>
      </c>
      <c r="E557" s="3"/>
      <c r="F557" s="3"/>
      <c r="G557" s="3"/>
      <c r="H557" s="3"/>
      <c r="I557" s="3"/>
      <c r="J557" s="3"/>
      <c r="K557" s="3"/>
      <c r="L557" s="3"/>
      <c r="M557" s="3"/>
      <c r="N557" s="3"/>
      <c r="O557" s="3"/>
    </row>
    <row r="558">
      <c r="A558" s="3" t="b">
        <f>IFERROR(__xludf.DUMMYFUNCTION("""COMPUTED_VALUE"""),FALSE)</f>
        <v>0</v>
      </c>
      <c r="B558" s="3" t="str">
        <f>IFERROR(__xludf.DUMMYFUNCTION("""COMPUTED_VALUE"""),"")</f>
        <v/>
      </c>
      <c r="C558" s="3"/>
      <c r="D558" s="3" t="str">
        <f>IFERROR(__xludf.DUMMYFUNCTION("""COMPUTED_VALUE"""),"")</f>
        <v/>
      </c>
      <c r="E558" s="3"/>
      <c r="F558" s="3"/>
      <c r="G558" s="3"/>
      <c r="H558" s="3"/>
      <c r="I558" s="3"/>
      <c r="J558" s="3"/>
      <c r="K558" s="3"/>
      <c r="L558" s="3"/>
      <c r="M558" s="3"/>
      <c r="N558" s="3"/>
      <c r="O558" s="3"/>
    </row>
    <row r="559">
      <c r="A559" s="3" t="b">
        <f>IFERROR(__xludf.DUMMYFUNCTION("""COMPUTED_VALUE"""),FALSE)</f>
        <v>0</v>
      </c>
      <c r="B559" s="3" t="str">
        <f>IFERROR(__xludf.DUMMYFUNCTION("""COMPUTED_VALUE"""),"")</f>
        <v/>
      </c>
      <c r="C559" s="3"/>
      <c r="D559" s="3" t="str">
        <f>IFERROR(__xludf.DUMMYFUNCTION("""COMPUTED_VALUE"""),"")</f>
        <v/>
      </c>
      <c r="E559" s="3"/>
      <c r="F559" s="3"/>
      <c r="G559" s="3"/>
      <c r="H559" s="3"/>
      <c r="I559" s="3"/>
      <c r="J559" s="3"/>
      <c r="K559" s="3"/>
      <c r="L559" s="3"/>
      <c r="M559" s="3"/>
      <c r="N559" s="3"/>
      <c r="O559" s="3"/>
    </row>
    <row r="560">
      <c r="A560" s="3" t="b">
        <f>IFERROR(__xludf.DUMMYFUNCTION("""COMPUTED_VALUE"""),FALSE)</f>
        <v>0</v>
      </c>
      <c r="B560" s="3" t="str">
        <f>IFERROR(__xludf.DUMMYFUNCTION("""COMPUTED_VALUE"""),"")</f>
        <v/>
      </c>
      <c r="C560" s="3"/>
      <c r="D560" s="3" t="str">
        <f>IFERROR(__xludf.DUMMYFUNCTION("""COMPUTED_VALUE"""),"")</f>
        <v/>
      </c>
      <c r="E560" s="3"/>
      <c r="F560" s="3"/>
      <c r="G560" s="3"/>
      <c r="H560" s="3"/>
      <c r="I560" s="3"/>
      <c r="J560" s="3"/>
      <c r="K560" s="3"/>
      <c r="L560" s="3"/>
      <c r="M560" s="3"/>
      <c r="N560" s="3"/>
      <c r="O560" s="3"/>
    </row>
    <row r="561">
      <c r="A561" s="3" t="b">
        <f>IFERROR(__xludf.DUMMYFUNCTION("""COMPUTED_VALUE"""),FALSE)</f>
        <v>0</v>
      </c>
      <c r="B561" s="3" t="str">
        <f>IFERROR(__xludf.DUMMYFUNCTION("""COMPUTED_VALUE"""),"")</f>
        <v/>
      </c>
      <c r="C561" s="3"/>
      <c r="D561" s="3" t="str">
        <f>IFERROR(__xludf.DUMMYFUNCTION("""COMPUTED_VALUE"""),"")</f>
        <v/>
      </c>
      <c r="E561" s="3"/>
      <c r="F561" s="3"/>
      <c r="G561" s="3"/>
      <c r="H561" s="3"/>
      <c r="I561" s="3"/>
      <c r="J561" s="3"/>
      <c r="K561" s="3"/>
      <c r="L561" s="3"/>
      <c r="M561" s="3"/>
      <c r="N561" s="3"/>
      <c r="O561" s="3"/>
    </row>
    <row r="562">
      <c r="A562" s="3" t="b">
        <f>IFERROR(__xludf.DUMMYFUNCTION("""COMPUTED_VALUE"""),FALSE)</f>
        <v>0</v>
      </c>
      <c r="B562" s="3" t="str">
        <f>IFERROR(__xludf.DUMMYFUNCTION("""COMPUTED_VALUE"""),"")</f>
        <v/>
      </c>
      <c r="C562" s="3"/>
      <c r="D562" s="3" t="str">
        <f>IFERROR(__xludf.DUMMYFUNCTION("""COMPUTED_VALUE"""),"")</f>
        <v/>
      </c>
      <c r="E562" s="3"/>
      <c r="F562" s="3"/>
      <c r="G562" s="3"/>
      <c r="H562" s="3"/>
      <c r="I562" s="3"/>
      <c r="J562" s="3"/>
      <c r="K562" s="3"/>
      <c r="L562" s="3"/>
      <c r="M562" s="3"/>
      <c r="N562" s="3"/>
      <c r="O562" s="3"/>
    </row>
    <row r="563">
      <c r="A563" s="3" t="b">
        <f>IFERROR(__xludf.DUMMYFUNCTION("""COMPUTED_VALUE"""),FALSE)</f>
        <v>0</v>
      </c>
      <c r="B563" s="3" t="str">
        <f>IFERROR(__xludf.DUMMYFUNCTION("""COMPUTED_VALUE"""),"")</f>
        <v/>
      </c>
      <c r="C563" s="3"/>
      <c r="D563" s="3" t="str">
        <f>IFERROR(__xludf.DUMMYFUNCTION("""COMPUTED_VALUE"""),"")</f>
        <v/>
      </c>
      <c r="E563" s="3"/>
      <c r="F563" s="3"/>
      <c r="G563" s="3"/>
      <c r="H563" s="3"/>
      <c r="I563" s="3"/>
      <c r="J563" s="3"/>
      <c r="K563" s="3"/>
      <c r="L563" s="3"/>
      <c r="M563" s="3"/>
      <c r="N563" s="3"/>
      <c r="O563" s="3"/>
    </row>
    <row r="564">
      <c r="A564" s="3" t="b">
        <f>IFERROR(__xludf.DUMMYFUNCTION("""COMPUTED_VALUE"""),FALSE)</f>
        <v>0</v>
      </c>
      <c r="B564" s="3" t="str">
        <f>IFERROR(__xludf.DUMMYFUNCTION("""COMPUTED_VALUE"""),"")</f>
        <v/>
      </c>
      <c r="C564" s="3"/>
      <c r="D564" s="3" t="str">
        <f>IFERROR(__xludf.DUMMYFUNCTION("""COMPUTED_VALUE"""),"")</f>
        <v/>
      </c>
      <c r="E564" s="3"/>
      <c r="F564" s="3"/>
      <c r="G564" s="3"/>
      <c r="H564" s="3"/>
      <c r="I564" s="3"/>
      <c r="J564" s="3"/>
      <c r="K564" s="3"/>
      <c r="L564" s="3"/>
      <c r="M564" s="3"/>
      <c r="N564" s="3"/>
      <c r="O564" s="3"/>
    </row>
    <row r="565">
      <c r="A565" s="3" t="b">
        <f>IFERROR(__xludf.DUMMYFUNCTION("""COMPUTED_VALUE"""),FALSE)</f>
        <v>0</v>
      </c>
      <c r="B565" s="3" t="str">
        <f>IFERROR(__xludf.DUMMYFUNCTION("""COMPUTED_VALUE"""),"")</f>
        <v/>
      </c>
      <c r="C565" s="3"/>
      <c r="D565" s="3" t="str">
        <f>IFERROR(__xludf.DUMMYFUNCTION("""COMPUTED_VALUE"""),"")</f>
        <v/>
      </c>
      <c r="E565" s="3"/>
      <c r="F565" s="3"/>
      <c r="G565" s="3"/>
      <c r="H565" s="3"/>
      <c r="I565" s="3"/>
      <c r="J565" s="3"/>
      <c r="K565" s="3"/>
      <c r="L565" s="3"/>
      <c r="M565" s="3"/>
      <c r="N565" s="3"/>
      <c r="O565" s="3"/>
    </row>
    <row r="566">
      <c r="A566" s="3" t="b">
        <f>IFERROR(__xludf.DUMMYFUNCTION("""COMPUTED_VALUE"""),FALSE)</f>
        <v>0</v>
      </c>
      <c r="B566" s="3" t="str">
        <f>IFERROR(__xludf.DUMMYFUNCTION("""COMPUTED_VALUE"""),"")</f>
        <v/>
      </c>
      <c r="C566" s="3"/>
      <c r="D566" s="3" t="str">
        <f>IFERROR(__xludf.DUMMYFUNCTION("""COMPUTED_VALUE"""),"")</f>
        <v/>
      </c>
      <c r="E566" s="3"/>
      <c r="F566" s="3"/>
      <c r="G566" s="3"/>
      <c r="H566" s="3"/>
      <c r="I566" s="3"/>
      <c r="J566" s="3"/>
      <c r="K566" s="3"/>
      <c r="L566" s="3"/>
      <c r="M566" s="3"/>
      <c r="N566" s="3"/>
      <c r="O566" s="3"/>
    </row>
    <row r="567">
      <c r="A567" s="3" t="b">
        <f>IFERROR(__xludf.DUMMYFUNCTION("""COMPUTED_VALUE"""),FALSE)</f>
        <v>0</v>
      </c>
      <c r="B567" s="3" t="str">
        <f>IFERROR(__xludf.DUMMYFUNCTION("""COMPUTED_VALUE"""),"")</f>
        <v/>
      </c>
      <c r="C567" s="3"/>
      <c r="D567" s="3" t="str">
        <f>IFERROR(__xludf.DUMMYFUNCTION("""COMPUTED_VALUE"""),"")</f>
        <v/>
      </c>
      <c r="E567" s="3"/>
      <c r="F567" s="3"/>
      <c r="G567" s="3"/>
      <c r="H567" s="3"/>
      <c r="I567" s="3"/>
      <c r="J567" s="3"/>
      <c r="K567" s="3"/>
      <c r="L567" s="3"/>
      <c r="M567" s="3"/>
      <c r="N567" s="3"/>
      <c r="O567" s="3"/>
    </row>
    <row r="568">
      <c r="A568" s="3" t="b">
        <f>IFERROR(__xludf.DUMMYFUNCTION("""COMPUTED_VALUE"""),FALSE)</f>
        <v>0</v>
      </c>
      <c r="B568" s="3" t="str">
        <f>IFERROR(__xludf.DUMMYFUNCTION("""COMPUTED_VALUE"""),"")</f>
        <v/>
      </c>
      <c r="C568" s="3"/>
      <c r="D568" s="3" t="str">
        <f>IFERROR(__xludf.DUMMYFUNCTION("""COMPUTED_VALUE"""),"")</f>
        <v/>
      </c>
      <c r="E568" s="3"/>
      <c r="F568" s="3"/>
      <c r="G568" s="3"/>
      <c r="H568" s="3"/>
      <c r="I568" s="3"/>
      <c r="J568" s="3"/>
      <c r="K568" s="3"/>
      <c r="L568" s="3"/>
      <c r="M568" s="3"/>
      <c r="N568" s="3"/>
      <c r="O568" s="3"/>
    </row>
    <row r="569">
      <c r="A569" s="3" t="b">
        <f>IFERROR(__xludf.DUMMYFUNCTION("""COMPUTED_VALUE"""),FALSE)</f>
        <v>0</v>
      </c>
      <c r="B569" s="3" t="str">
        <f>IFERROR(__xludf.DUMMYFUNCTION("""COMPUTED_VALUE"""),"")</f>
        <v/>
      </c>
      <c r="C569" s="3"/>
      <c r="D569" s="3" t="str">
        <f>IFERROR(__xludf.DUMMYFUNCTION("""COMPUTED_VALUE"""),"")</f>
        <v/>
      </c>
      <c r="E569" s="3"/>
      <c r="F569" s="3"/>
      <c r="G569" s="3"/>
      <c r="H569" s="3"/>
      <c r="I569" s="3"/>
      <c r="J569" s="3"/>
      <c r="K569" s="3"/>
      <c r="L569" s="3"/>
      <c r="M569" s="3"/>
      <c r="N569" s="3"/>
      <c r="O569" s="3"/>
    </row>
    <row r="570">
      <c r="A570" s="3" t="b">
        <f>IFERROR(__xludf.DUMMYFUNCTION("""COMPUTED_VALUE"""),FALSE)</f>
        <v>0</v>
      </c>
      <c r="B570" s="3" t="str">
        <f>IFERROR(__xludf.DUMMYFUNCTION("""COMPUTED_VALUE"""),"")</f>
        <v/>
      </c>
      <c r="C570" s="3"/>
      <c r="D570" s="3" t="str">
        <f>IFERROR(__xludf.DUMMYFUNCTION("""COMPUTED_VALUE"""),"")</f>
        <v/>
      </c>
      <c r="E570" s="3"/>
      <c r="F570" s="3"/>
      <c r="G570" s="3"/>
      <c r="H570" s="3"/>
      <c r="I570" s="3"/>
      <c r="J570" s="3"/>
      <c r="K570" s="3"/>
      <c r="L570" s="3"/>
      <c r="M570" s="3"/>
      <c r="N570" s="3"/>
      <c r="O570" s="3"/>
    </row>
    <row r="571">
      <c r="A571" s="3" t="b">
        <f>IFERROR(__xludf.DUMMYFUNCTION("""COMPUTED_VALUE"""),FALSE)</f>
        <v>0</v>
      </c>
      <c r="B571" s="3" t="str">
        <f>IFERROR(__xludf.DUMMYFUNCTION("""COMPUTED_VALUE"""),"")</f>
        <v/>
      </c>
      <c r="C571" s="3"/>
      <c r="D571" s="3" t="str">
        <f>IFERROR(__xludf.DUMMYFUNCTION("""COMPUTED_VALUE"""),"")</f>
        <v/>
      </c>
      <c r="E571" s="3"/>
      <c r="F571" s="3"/>
      <c r="G571" s="3"/>
      <c r="H571" s="3"/>
      <c r="I571" s="3"/>
      <c r="J571" s="3"/>
      <c r="K571" s="3"/>
      <c r="L571" s="3"/>
      <c r="M571" s="3"/>
      <c r="N571" s="3"/>
      <c r="O571" s="3"/>
    </row>
    <row r="572">
      <c r="A572" s="3" t="b">
        <f>IFERROR(__xludf.DUMMYFUNCTION("""COMPUTED_VALUE"""),FALSE)</f>
        <v>0</v>
      </c>
      <c r="B572" s="3" t="str">
        <f>IFERROR(__xludf.DUMMYFUNCTION("""COMPUTED_VALUE"""),"")</f>
        <v/>
      </c>
      <c r="C572" s="3"/>
      <c r="D572" s="3" t="str">
        <f>IFERROR(__xludf.DUMMYFUNCTION("""COMPUTED_VALUE"""),"")</f>
        <v/>
      </c>
      <c r="E572" s="3"/>
      <c r="F572" s="3"/>
      <c r="G572" s="3"/>
      <c r="H572" s="3"/>
      <c r="I572" s="3"/>
      <c r="J572" s="3"/>
      <c r="K572" s="3"/>
      <c r="L572" s="3"/>
      <c r="M572" s="3"/>
      <c r="N572" s="3"/>
      <c r="O572" s="3"/>
    </row>
    <row r="573">
      <c r="A573" s="3" t="b">
        <f>IFERROR(__xludf.DUMMYFUNCTION("""COMPUTED_VALUE"""),FALSE)</f>
        <v>0</v>
      </c>
      <c r="B573" s="3" t="str">
        <f>IFERROR(__xludf.DUMMYFUNCTION("""COMPUTED_VALUE"""),"")</f>
        <v/>
      </c>
      <c r="C573" s="3"/>
      <c r="D573" s="3" t="str">
        <f>IFERROR(__xludf.DUMMYFUNCTION("""COMPUTED_VALUE"""),"")</f>
        <v/>
      </c>
      <c r="E573" s="3"/>
      <c r="F573" s="3"/>
      <c r="G573" s="3"/>
      <c r="H573" s="3"/>
      <c r="I573" s="3"/>
      <c r="J573" s="3"/>
      <c r="K573" s="3"/>
      <c r="L573" s="3"/>
      <c r="M573" s="3"/>
      <c r="N573" s="3"/>
      <c r="O573" s="3"/>
    </row>
    <row r="574">
      <c r="A574" s="3" t="b">
        <f>IFERROR(__xludf.DUMMYFUNCTION("""COMPUTED_VALUE"""),FALSE)</f>
        <v>0</v>
      </c>
      <c r="B574" s="3" t="str">
        <f>IFERROR(__xludf.DUMMYFUNCTION("""COMPUTED_VALUE"""),"")</f>
        <v/>
      </c>
      <c r="C574" s="3"/>
      <c r="D574" s="3" t="str">
        <f>IFERROR(__xludf.DUMMYFUNCTION("""COMPUTED_VALUE"""),"")</f>
        <v/>
      </c>
      <c r="E574" s="3"/>
      <c r="F574" s="3"/>
      <c r="G574" s="3"/>
      <c r="H574" s="3"/>
      <c r="I574" s="3"/>
      <c r="J574" s="3"/>
      <c r="K574" s="3"/>
      <c r="L574" s="3"/>
      <c r="M574" s="3"/>
      <c r="N574" s="3"/>
      <c r="O574" s="3"/>
    </row>
    <row r="575">
      <c r="A575" s="3" t="b">
        <f>IFERROR(__xludf.DUMMYFUNCTION("""COMPUTED_VALUE"""),FALSE)</f>
        <v>0</v>
      </c>
      <c r="B575" s="3" t="str">
        <f>IFERROR(__xludf.DUMMYFUNCTION("""COMPUTED_VALUE"""),"")</f>
        <v/>
      </c>
      <c r="C575" s="3"/>
      <c r="D575" s="3" t="str">
        <f>IFERROR(__xludf.DUMMYFUNCTION("""COMPUTED_VALUE"""),"")</f>
        <v/>
      </c>
      <c r="E575" s="3"/>
      <c r="F575" s="3"/>
      <c r="G575" s="3"/>
      <c r="H575" s="3"/>
      <c r="I575" s="3"/>
      <c r="J575" s="3"/>
      <c r="K575" s="3"/>
      <c r="L575" s="3"/>
      <c r="M575" s="3"/>
      <c r="N575" s="3"/>
      <c r="O575" s="3"/>
    </row>
    <row r="576">
      <c r="A576" s="3" t="b">
        <f>IFERROR(__xludf.DUMMYFUNCTION("""COMPUTED_VALUE"""),FALSE)</f>
        <v>0</v>
      </c>
      <c r="B576" s="3" t="str">
        <f>IFERROR(__xludf.DUMMYFUNCTION("""COMPUTED_VALUE"""),"")</f>
        <v/>
      </c>
      <c r="C576" s="3"/>
      <c r="D576" s="3" t="str">
        <f>IFERROR(__xludf.DUMMYFUNCTION("""COMPUTED_VALUE"""),"")</f>
        <v/>
      </c>
      <c r="E576" s="3"/>
      <c r="F576" s="3"/>
      <c r="G576" s="3"/>
      <c r="H576" s="3"/>
      <c r="I576" s="3"/>
      <c r="J576" s="3"/>
      <c r="K576" s="3"/>
      <c r="L576" s="3"/>
      <c r="M576" s="3"/>
      <c r="N576" s="3"/>
      <c r="O576" s="3"/>
    </row>
    <row r="577">
      <c r="A577" s="3" t="b">
        <f>IFERROR(__xludf.DUMMYFUNCTION("""COMPUTED_VALUE"""),FALSE)</f>
        <v>0</v>
      </c>
      <c r="B577" s="3" t="str">
        <f>IFERROR(__xludf.DUMMYFUNCTION("""COMPUTED_VALUE"""),"")</f>
        <v/>
      </c>
      <c r="C577" s="3"/>
      <c r="D577" s="3" t="str">
        <f>IFERROR(__xludf.DUMMYFUNCTION("""COMPUTED_VALUE"""),"")</f>
        <v/>
      </c>
      <c r="E577" s="3"/>
      <c r="F577" s="3"/>
      <c r="G577" s="3"/>
      <c r="H577" s="3"/>
      <c r="I577" s="3"/>
      <c r="J577" s="3"/>
      <c r="K577" s="3"/>
      <c r="L577" s="3"/>
      <c r="M577" s="3"/>
      <c r="N577" s="3"/>
      <c r="O577" s="3"/>
    </row>
    <row r="578">
      <c r="A578" s="3" t="b">
        <f>IFERROR(__xludf.DUMMYFUNCTION("""COMPUTED_VALUE"""),FALSE)</f>
        <v>0</v>
      </c>
      <c r="B578" s="3" t="str">
        <f>IFERROR(__xludf.DUMMYFUNCTION("""COMPUTED_VALUE"""),"")</f>
        <v/>
      </c>
      <c r="C578" s="3"/>
      <c r="D578" s="3" t="str">
        <f>IFERROR(__xludf.DUMMYFUNCTION("""COMPUTED_VALUE"""),"")</f>
        <v/>
      </c>
      <c r="E578" s="3"/>
      <c r="F578" s="3"/>
      <c r="G578" s="3"/>
      <c r="H578" s="3"/>
      <c r="I578" s="3"/>
      <c r="J578" s="3"/>
      <c r="K578" s="3"/>
      <c r="L578" s="3"/>
      <c r="M578" s="3"/>
      <c r="N578" s="3"/>
      <c r="O578" s="3"/>
    </row>
    <row r="579">
      <c r="A579" s="3" t="b">
        <f>IFERROR(__xludf.DUMMYFUNCTION("""COMPUTED_VALUE"""),FALSE)</f>
        <v>0</v>
      </c>
      <c r="B579" s="3" t="str">
        <f>IFERROR(__xludf.DUMMYFUNCTION("""COMPUTED_VALUE"""),"")</f>
        <v/>
      </c>
      <c r="C579" s="3"/>
      <c r="D579" s="3" t="str">
        <f>IFERROR(__xludf.DUMMYFUNCTION("""COMPUTED_VALUE"""),"")</f>
        <v/>
      </c>
      <c r="E579" s="3"/>
      <c r="F579" s="3"/>
      <c r="G579" s="3"/>
      <c r="H579" s="3"/>
      <c r="I579" s="3"/>
      <c r="J579" s="3"/>
      <c r="K579" s="3"/>
      <c r="L579" s="3"/>
      <c r="M579" s="3"/>
      <c r="N579" s="3"/>
      <c r="O579" s="3"/>
    </row>
    <row r="580">
      <c r="A580" s="3" t="b">
        <f>IFERROR(__xludf.DUMMYFUNCTION("""COMPUTED_VALUE"""),FALSE)</f>
        <v>0</v>
      </c>
      <c r="B580" s="3" t="str">
        <f>IFERROR(__xludf.DUMMYFUNCTION("""COMPUTED_VALUE"""),"")</f>
        <v/>
      </c>
      <c r="C580" s="3"/>
      <c r="D580" s="3" t="str">
        <f>IFERROR(__xludf.DUMMYFUNCTION("""COMPUTED_VALUE"""),"")</f>
        <v/>
      </c>
      <c r="E580" s="3"/>
      <c r="F580" s="3"/>
      <c r="G580" s="3"/>
      <c r="H580" s="3"/>
      <c r="I580" s="3"/>
      <c r="J580" s="3"/>
      <c r="K580" s="3"/>
      <c r="L580" s="3"/>
      <c r="M580" s="3"/>
      <c r="N580" s="3"/>
      <c r="O580" s="3"/>
    </row>
    <row r="581">
      <c r="A581" s="3" t="b">
        <f>IFERROR(__xludf.DUMMYFUNCTION("""COMPUTED_VALUE"""),FALSE)</f>
        <v>0</v>
      </c>
      <c r="B581" s="3" t="str">
        <f>IFERROR(__xludf.DUMMYFUNCTION("""COMPUTED_VALUE"""),"")</f>
        <v/>
      </c>
      <c r="C581" s="3"/>
      <c r="D581" s="3" t="str">
        <f>IFERROR(__xludf.DUMMYFUNCTION("""COMPUTED_VALUE"""),"")</f>
        <v/>
      </c>
      <c r="E581" s="3"/>
      <c r="F581" s="3"/>
      <c r="G581" s="3"/>
      <c r="H581" s="3"/>
      <c r="I581" s="3"/>
      <c r="J581" s="3"/>
      <c r="K581" s="3"/>
      <c r="L581" s="3"/>
      <c r="M581" s="3"/>
      <c r="N581" s="3"/>
      <c r="O581" s="3"/>
    </row>
    <row r="582">
      <c r="A582" s="3" t="b">
        <f>IFERROR(__xludf.DUMMYFUNCTION("""COMPUTED_VALUE"""),FALSE)</f>
        <v>0</v>
      </c>
      <c r="B582" s="3" t="str">
        <f>IFERROR(__xludf.DUMMYFUNCTION("""COMPUTED_VALUE"""),"")</f>
        <v/>
      </c>
      <c r="C582" s="3"/>
      <c r="D582" s="3" t="str">
        <f>IFERROR(__xludf.DUMMYFUNCTION("""COMPUTED_VALUE"""),"")</f>
        <v/>
      </c>
      <c r="E582" s="3"/>
      <c r="F582" s="3"/>
      <c r="G582" s="3"/>
      <c r="H582" s="3"/>
      <c r="I582" s="3"/>
      <c r="J582" s="3"/>
      <c r="K582" s="3"/>
      <c r="L582" s="3"/>
      <c r="M582" s="3"/>
      <c r="N582" s="3"/>
      <c r="O582" s="3"/>
    </row>
    <row r="583">
      <c r="A583" s="3" t="b">
        <f>IFERROR(__xludf.DUMMYFUNCTION("""COMPUTED_VALUE"""),FALSE)</f>
        <v>0</v>
      </c>
      <c r="B583" s="3" t="str">
        <f>IFERROR(__xludf.DUMMYFUNCTION("""COMPUTED_VALUE"""),"")</f>
        <v/>
      </c>
      <c r="C583" s="3"/>
      <c r="D583" s="3" t="str">
        <f>IFERROR(__xludf.DUMMYFUNCTION("""COMPUTED_VALUE"""),"")</f>
        <v/>
      </c>
      <c r="E583" s="3"/>
      <c r="F583" s="3"/>
      <c r="G583" s="3"/>
      <c r="H583" s="3"/>
      <c r="I583" s="3"/>
      <c r="J583" s="3"/>
      <c r="K583" s="3"/>
      <c r="L583" s="3"/>
      <c r="M583" s="3"/>
      <c r="N583" s="3"/>
      <c r="O583" s="3"/>
    </row>
    <row r="584">
      <c r="A584" s="3" t="b">
        <f>IFERROR(__xludf.DUMMYFUNCTION("""COMPUTED_VALUE"""),FALSE)</f>
        <v>0</v>
      </c>
      <c r="B584" s="3" t="str">
        <f>IFERROR(__xludf.DUMMYFUNCTION("""COMPUTED_VALUE"""),"")</f>
        <v/>
      </c>
      <c r="C584" s="3"/>
      <c r="D584" s="3" t="str">
        <f>IFERROR(__xludf.DUMMYFUNCTION("""COMPUTED_VALUE"""),"")</f>
        <v/>
      </c>
      <c r="E584" s="3"/>
      <c r="F584" s="3"/>
      <c r="G584" s="3"/>
      <c r="H584" s="3"/>
      <c r="I584" s="3"/>
      <c r="J584" s="3"/>
      <c r="K584" s="3"/>
      <c r="L584" s="3"/>
      <c r="M584" s="3"/>
      <c r="N584" s="3"/>
      <c r="O584" s="3"/>
    </row>
    <row r="585">
      <c r="A585" s="3" t="b">
        <f>IFERROR(__xludf.DUMMYFUNCTION("""COMPUTED_VALUE"""),FALSE)</f>
        <v>0</v>
      </c>
      <c r="B585" s="3" t="str">
        <f>IFERROR(__xludf.DUMMYFUNCTION("""COMPUTED_VALUE"""),"")</f>
        <v/>
      </c>
      <c r="C585" s="3"/>
      <c r="D585" s="3" t="str">
        <f>IFERROR(__xludf.DUMMYFUNCTION("""COMPUTED_VALUE"""),"")</f>
        <v/>
      </c>
      <c r="E585" s="3"/>
      <c r="F585" s="3"/>
      <c r="G585" s="3"/>
      <c r="H585" s="3"/>
      <c r="I585" s="3"/>
      <c r="J585" s="3"/>
      <c r="K585" s="3"/>
      <c r="L585" s="3"/>
      <c r="M585" s="3"/>
      <c r="N585" s="3"/>
      <c r="O585" s="3"/>
    </row>
    <row r="586">
      <c r="A586" s="3" t="b">
        <f>IFERROR(__xludf.DUMMYFUNCTION("""COMPUTED_VALUE"""),FALSE)</f>
        <v>0</v>
      </c>
      <c r="B586" s="3" t="str">
        <f>IFERROR(__xludf.DUMMYFUNCTION("""COMPUTED_VALUE"""),"")</f>
        <v/>
      </c>
      <c r="C586" s="3"/>
      <c r="D586" s="3" t="str">
        <f>IFERROR(__xludf.DUMMYFUNCTION("""COMPUTED_VALUE"""),"")</f>
        <v/>
      </c>
      <c r="E586" s="3"/>
      <c r="F586" s="3"/>
      <c r="G586" s="3"/>
      <c r="H586" s="3"/>
      <c r="I586" s="3"/>
      <c r="J586" s="3"/>
      <c r="K586" s="3"/>
      <c r="L586" s="3"/>
      <c r="M586" s="3"/>
      <c r="N586" s="3"/>
      <c r="O586" s="3"/>
    </row>
    <row r="587">
      <c r="A587" s="3" t="b">
        <f>IFERROR(__xludf.DUMMYFUNCTION("""COMPUTED_VALUE"""),FALSE)</f>
        <v>0</v>
      </c>
      <c r="B587" s="3" t="str">
        <f>IFERROR(__xludf.DUMMYFUNCTION("""COMPUTED_VALUE"""),"")</f>
        <v/>
      </c>
      <c r="C587" s="3"/>
      <c r="D587" s="3" t="str">
        <f>IFERROR(__xludf.DUMMYFUNCTION("""COMPUTED_VALUE"""),"")</f>
        <v/>
      </c>
      <c r="E587" s="3"/>
      <c r="F587" s="3"/>
      <c r="G587" s="3"/>
      <c r="H587" s="3"/>
      <c r="I587" s="3"/>
      <c r="J587" s="3"/>
      <c r="K587" s="3"/>
      <c r="L587" s="3"/>
      <c r="M587" s="3"/>
      <c r="N587" s="3"/>
      <c r="O587" s="3"/>
    </row>
    <row r="588">
      <c r="A588" s="3" t="b">
        <f>IFERROR(__xludf.DUMMYFUNCTION("""COMPUTED_VALUE"""),FALSE)</f>
        <v>0</v>
      </c>
      <c r="B588" s="3" t="str">
        <f>IFERROR(__xludf.DUMMYFUNCTION("""COMPUTED_VALUE"""),"")</f>
        <v/>
      </c>
      <c r="C588" s="3"/>
      <c r="D588" s="3" t="str">
        <f>IFERROR(__xludf.DUMMYFUNCTION("""COMPUTED_VALUE"""),"")</f>
        <v/>
      </c>
      <c r="E588" s="3"/>
      <c r="F588" s="3"/>
      <c r="G588" s="3"/>
      <c r="H588" s="3"/>
      <c r="I588" s="3"/>
      <c r="J588" s="3"/>
      <c r="K588" s="3"/>
      <c r="L588" s="3"/>
      <c r="M588" s="3"/>
      <c r="N588" s="3"/>
      <c r="O588" s="3"/>
    </row>
    <row r="589">
      <c r="A589" s="3" t="b">
        <f>IFERROR(__xludf.DUMMYFUNCTION("""COMPUTED_VALUE"""),FALSE)</f>
        <v>0</v>
      </c>
      <c r="B589" s="3" t="str">
        <f>IFERROR(__xludf.DUMMYFUNCTION("""COMPUTED_VALUE"""),"")</f>
        <v/>
      </c>
      <c r="C589" s="3"/>
      <c r="D589" s="3" t="str">
        <f>IFERROR(__xludf.DUMMYFUNCTION("""COMPUTED_VALUE"""),"")</f>
        <v/>
      </c>
      <c r="E589" s="3"/>
      <c r="F589" s="3"/>
      <c r="G589" s="3"/>
      <c r="H589" s="3"/>
      <c r="I589" s="3"/>
      <c r="J589" s="3"/>
      <c r="K589" s="3"/>
      <c r="L589" s="3"/>
      <c r="M589" s="3"/>
      <c r="N589" s="3"/>
      <c r="O589" s="3"/>
    </row>
    <row r="590">
      <c r="A590" s="3" t="b">
        <f>IFERROR(__xludf.DUMMYFUNCTION("""COMPUTED_VALUE"""),FALSE)</f>
        <v>0</v>
      </c>
      <c r="B590" s="3" t="str">
        <f>IFERROR(__xludf.DUMMYFUNCTION("""COMPUTED_VALUE"""),"")</f>
        <v/>
      </c>
      <c r="C590" s="3"/>
      <c r="D590" s="3" t="str">
        <f>IFERROR(__xludf.DUMMYFUNCTION("""COMPUTED_VALUE"""),"")</f>
        <v/>
      </c>
      <c r="E590" s="3"/>
      <c r="F590" s="3"/>
      <c r="G590" s="3"/>
      <c r="H590" s="3"/>
      <c r="I590" s="3"/>
      <c r="J590" s="3"/>
      <c r="K590" s="3"/>
      <c r="L590" s="3"/>
      <c r="M590" s="3"/>
      <c r="N590" s="3"/>
      <c r="O590" s="3"/>
    </row>
    <row r="591">
      <c r="A591" s="3" t="b">
        <f>IFERROR(__xludf.DUMMYFUNCTION("""COMPUTED_VALUE"""),FALSE)</f>
        <v>0</v>
      </c>
      <c r="B591" s="3" t="str">
        <f>IFERROR(__xludf.DUMMYFUNCTION("""COMPUTED_VALUE"""),"")</f>
        <v/>
      </c>
      <c r="C591" s="3"/>
      <c r="D591" s="3" t="str">
        <f>IFERROR(__xludf.DUMMYFUNCTION("""COMPUTED_VALUE"""),"")</f>
        <v/>
      </c>
      <c r="E591" s="3"/>
      <c r="F591" s="3"/>
      <c r="G591" s="3"/>
      <c r="H591" s="3"/>
      <c r="I591" s="3"/>
      <c r="J591" s="3"/>
      <c r="K591" s="3"/>
      <c r="L591" s="3"/>
      <c r="M591" s="3"/>
      <c r="N591" s="3"/>
      <c r="O591" s="3"/>
    </row>
    <row r="592">
      <c r="A592" s="3" t="b">
        <f>IFERROR(__xludf.DUMMYFUNCTION("""COMPUTED_VALUE"""),FALSE)</f>
        <v>0</v>
      </c>
      <c r="B592" s="3" t="str">
        <f>IFERROR(__xludf.DUMMYFUNCTION("""COMPUTED_VALUE"""),"")</f>
        <v/>
      </c>
      <c r="C592" s="3"/>
      <c r="D592" s="3" t="str">
        <f>IFERROR(__xludf.DUMMYFUNCTION("""COMPUTED_VALUE"""),"")</f>
        <v/>
      </c>
      <c r="E592" s="3"/>
      <c r="F592" s="3"/>
      <c r="G592" s="3"/>
      <c r="H592" s="3"/>
      <c r="I592" s="3"/>
      <c r="J592" s="3"/>
      <c r="K592" s="3"/>
      <c r="L592" s="3"/>
      <c r="M592" s="3"/>
      <c r="N592" s="3"/>
      <c r="O592" s="3"/>
    </row>
    <row r="593">
      <c r="A593" s="3" t="b">
        <f>IFERROR(__xludf.DUMMYFUNCTION("""COMPUTED_VALUE"""),FALSE)</f>
        <v>0</v>
      </c>
      <c r="B593" s="3" t="str">
        <f>IFERROR(__xludf.DUMMYFUNCTION("""COMPUTED_VALUE"""),"")</f>
        <v/>
      </c>
      <c r="C593" s="3"/>
      <c r="D593" s="3" t="str">
        <f>IFERROR(__xludf.DUMMYFUNCTION("""COMPUTED_VALUE"""),"")</f>
        <v/>
      </c>
      <c r="E593" s="3"/>
      <c r="F593" s="3"/>
      <c r="G593" s="3"/>
      <c r="H593" s="3"/>
      <c r="I593" s="3"/>
      <c r="J593" s="3"/>
      <c r="K593" s="3"/>
      <c r="L593" s="3"/>
      <c r="M593" s="3"/>
      <c r="N593" s="3"/>
      <c r="O593" s="3"/>
    </row>
    <row r="594">
      <c r="A594" s="3" t="b">
        <f>IFERROR(__xludf.DUMMYFUNCTION("""COMPUTED_VALUE"""),FALSE)</f>
        <v>0</v>
      </c>
      <c r="B594" s="3" t="str">
        <f>IFERROR(__xludf.DUMMYFUNCTION("""COMPUTED_VALUE"""),"")</f>
        <v/>
      </c>
      <c r="C594" s="3"/>
      <c r="D594" s="3" t="str">
        <f>IFERROR(__xludf.DUMMYFUNCTION("""COMPUTED_VALUE"""),"")</f>
        <v/>
      </c>
      <c r="E594" s="3"/>
      <c r="F594" s="3"/>
      <c r="G594" s="3"/>
      <c r="H594" s="3"/>
      <c r="I594" s="3"/>
      <c r="J594" s="3"/>
      <c r="K594" s="3"/>
      <c r="L594" s="3"/>
      <c r="M594" s="3"/>
      <c r="N594" s="3"/>
      <c r="O594" s="3"/>
    </row>
    <row r="595">
      <c r="A595" s="3" t="b">
        <f>IFERROR(__xludf.DUMMYFUNCTION("""COMPUTED_VALUE"""),FALSE)</f>
        <v>0</v>
      </c>
      <c r="B595" s="3" t="str">
        <f>IFERROR(__xludf.DUMMYFUNCTION("""COMPUTED_VALUE"""),"")</f>
        <v/>
      </c>
      <c r="C595" s="3"/>
      <c r="D595" s="3" t="str">
        <f>IFERROR(__xludf.DUMMYFUNCTION("""COMPUTED_VALUE"""),"")</f>
        <v/>
      </c>
      <c r="E595" s="3"/>
      <c r="F595" s="3"/>
      <c r="G595" s="3"/>
      <c r="H595" s="3"/>
      <c r="I595" s="3"/>
      <c r="J595" s="3"/>
      <c r="K595" s="3"/>
      <c r="L595" s="3"/>
      <c r="M595" s="3"/>
      <c r="N595" s="3"/>
      <c r="O595" s="3"/>
    </row>
    <row r="596">
      <c r="A596" s="3" t="b">
        <f>IFERROR(__xludf.DUMMYFUNCTION("""COMPUTED_VALUE"""),FALSE)</f>
        <v>0</v>
      </c>
      <c r="B596" s="3" t="str">
        <f>IFERROR(__xludf.DUMMYFUNCTION("""COMPUTED_VALUE"""),"")</f>
        <v/>
      </c>
      <c r="C596" s="3"/>
      <c r="D596" s="3" t="str">
        <f>IFERROR(__xludf.DUMMYFUNCTION("""COMPUTED_VALUE"""),"")</f>
        <v/>
      </c>
      <c r="E596" s="3"/>
      <c r="F596" s="3"/>
      <c r="G596" s="3"/>
      <c r="H596" s="3"/>
      <c r="I596" s="3"/>
      <c r="J596" s="3"/>
      <c r="K596" s="3"/>
      <c r="L596" s="3"/>
      <c r="M596" s="3"/>
      <c r="N596" s="3"/>
      <c r="O596" s="3"/>
    </row>
    <row r="597">
      <c r="A597" s="3" t="b">
        <f>IFERROR(__xludf.DUMMYFUNCTION("""COMPUTED_VALUE"""),FALSE)</f>
        <v>0</v>
      </c>
      <c r="B597" s="3" t="str">
        <f>IFERROR(__xludf.DUMMYFUNCTION("""COMPUTED_VALUE"""),"")</f>
        <v/>
      </c>
      <c r="C597" s="3"/>
      <c r="D597" s="3" t="str">
        <f>IFERROR(__xludf.DUMMYFUNCTION("""COMPUTED_VALUE"""),"")</f>
        <v/>
      </c>
      <c r="E597" s="3"/>
      <c r="F597" s="3"/>
      <c r="G597" s="3"/>
      <c r="H597" s="3"/>
      <c r="I597" s="3"/>
      <c r="J597" s="3"/>
      <c r="K597" s="3"/>
      <c r="L597" s="3"/>
      <c r="M597" s="3"/>
      <c r="N597" s="3"/>
      <c r="O597" s="3"/>
    </row>
    <row r="598">
      <c r="A598" s="3" t="b">
        <f>IFERROR(__xludf.DUMMYFUNCTION("""COMPUTED_VALUE"""),FALSE)</f>
        <v>0</v>
      </c>
      <c r="B598" s="3" t="str">
        <f>IFERROR(__xludf.DUMMYFUNCTION("""COMPUTED_VALUE"""),"")</f>
        <v/>
      </c>
      <c r="C598" s="3"/>
      <c r="D598" s="3" t="str">
        <f>IFERROR(__xludf.DUMMYFUNCTION("""COMPUTED_VALUE"""),"")</f>
        <v/>
      </c>
      <c r="E598" s="3"/>
      <c r="F598" s="3"/>
      <c r="G598" s="3"/>
      <c r="H598" s="3"/>
      <c r="I598" s="3"/>
      <c r="J598" s="3"/>
      <c r="K598" s="3"/>
      <c r="L598" s="3"/>
      <c r="M598" s="3"/>
      <c r="N598" s="3"/>
      <c r="O598" s="3"/>
    </row>
    <row r="599">
      <c r="A599" s="3" t="b">
        <f>IFERROR(__xludf.DUMMYFUNCTION("""COMPUTED_VALUE"""),FALSE)</f>
        <v>0</v>
      </c>
      <c r="B599" s="3" t="str">
        <f>IFERROR(__xludf.DUMMYFUNCTION("""COMPUTED_VALUE"""),"")</f>
        <v/>
      </c>
      <c r="C599" s="3"/>
      <c r="D599" s="3" t="str">
        <f>IFERROR(__xludf.DUMMYFUNCTION("""COMPUTED_VALUE"""),"")</f>
        <v/>
      </c>
      <c r="E599" s="3"/>
      <c r="F599" s="3"/>
      <c r="G599" s="3"/>
      <c r="H599" s="3"/>
      <c r="I599" s="3"/>
      <c r="J599" s="3"/>
      <c r="K599" s="3"/>
      <c r="L599" s="3"/>
      <c r="M599" s="3"/>
      <c r="N599" s="3"/>
      <c r="O599" s="3"/>
    </row>
    <row r="600">
      <c r="A600" s="3" t="b">
        <f>IFERROR(__xludf.DUMMYFUNCTION("""COMPUTED_VALUE"""),FALSE)</f>
        <v>0</v>
      </c>
      <c r="B600" s="3" t="str">
        <f>IFERROR(__xludf.DUMMYFUNCTION("""COMPUTED_VALUE"""),"")</f>
        <v/>
      </c>
      <c r="C600" s="3"/>
      <c r="D600" s="3" t="str">
        <f>IFERROR(__xludf.DUMMYFUNCTION("""COMPUTED_VALUE"""),"")</f>
        <v/>
      </c>
      <c r="E600" s="3"/>
      <c r="F600" s="3"/>
      <c r="G600" s="3"/>
      <c r="H600" s="3"/>
      <c r="I600" s="3"/>
      <c r="J600" s="3"/>
      <c r="K600" s="3"/>
      <c r="L600" s="3"/>
      <c r="M600" s="3"/>
      <c r="N600" s="3"/>
      <c r="O600" s="3"/>
    </row>
    <row r="601">
      <c r="A601" s="3" t="b">
        <f>IFERROR(__xludf.DUMMYFUNCTION("""COMPUTED_VALUE"""),FALSE)</f>
        <v>0</v>
      </c>
      <c r="B601" s="3" t="str">
        <f>IFERROR(__xludf.DUMMYFUNCTION("""COMPUTED_VALUE"""),"")</f>
        <v/>
      </c>
      <c r="C601" s="3"/>
      <c r="D601" s="3" t="str">
        <f>IFERROR(__xludf.DUMMYFUNCTION("""COMPUTED_VALUE"""),"")</f>
        <v/>
      </c>
      <c r="E601" s="3"/>
      <c r="F601" s="3"/>
      <c r="G601" s="3"/>
      <c r="H601" s="3"/>
      <c r="I601" s="3"/>
      <c r="J601" s="3"/>
      <c r="K601" s="3"/>
      <c r="L601" s="3"/>
      <c r="M601" s="3"/>
      <c r="N601" s="3"/>
      <c r="O601" s="3"/>
    </row>
    <row r="602">
      <c r="A602" s="3" t="b">
        <f>IFERROR(__xludf.DUMMYFUNCTION("""COMPUTED_VALUE"""),FALSE)</f>
        <v>0</v>
      </c>
      <c r="B602" s="3" t="str">
        <f>IFERROR(__xludf.DUMMYFUNCTION("""COMPUTED_VALUE"""),"")</f>
        <v/>
      </c>
      <c r="C602" s="3"/>
      <c r="D602" s="3" t="str">
        <f>IFERROR(__xludf.DUMMYFUNCTION("""COMPUTED_VALUE"""),"")</f>
        <v/>
      </c>
      <c r="E602" s="3"/>
      <c r="F602" s="3"/>
      <c r="G602" s="3"/>
      <c r="H602" s="3"/>
      <c r="I602" s="3"/>
      <c r="J602" s="3"/>
      <c r="K602" s="3"/>
      <c r="L602" s="3"/>
      <c r="M602" s="3"/>
      <c r="N602" s="3"/>
      <c r="O602" s="3"/>
    </row>
    <row r="603">
      <c r="A603" s="3" t="b">
        <f>IFERROR(__xludf.DUMMYFUNCTION("""COMPUTED_VALUE"""),FALSE)</f>
        <v>0</v>
      </c>
      <c r="B603" s="3" t="str">
        <f>IFERROR(__xludf.DUMMYFUNCTION("""COMPUTED_VALUE"""),"")</f>
        <v/>
      </c>
      <c r="C603" s="3"/>
      <c r="D603" s="3" t="str">
        <f>IFERROR(__xludf.DUMMYFUNCTION("""COMPUTED_VALUE"""),"")</f>
        <v/>
      </c>
      <c r="E603" s="3"/>
      <c r="F603" s="3"/>
      <c r="G603" s="3"/>
      <c r="H603" s="3"/>
      <c r="I603" s="3"/>
      <c r="J603" s="3"/>
      <c r="K603" s="3"/>
      <c r="L603" s="3"/>
      <c r="M603" s="3"/>
      <c r="N603" s="3"/>
      <c r="O603" s="3"/>
    </row>
    <row r="604">
      <c r="A604" s="3" t="b">
        <f>IFERROR(__xludf.DUMMYFUNCTION("""COMPUTED_VALUE"""),FALSE)</f>
        <v>0</v>
      </c>
      <c r="B604" s="3" t="str">
        <f>IFERROR(__xludf.DUMMYFUNCTION("""COMPUTED_VALUE"""),"")</f>
        <v/>
      </c>
      <c r="C604" s="3"/>
      <c r="D604" s="3" t="str">
        <f>IFERROR(__xludf.DUMMYFUNCTION("""COMPUTED_VALUE"""),"")</f>
        <v/>
      </c>
      <c r="E604" s="3"/>
      <c r="F604" s="3"/>
      <c r="G604" s="3"/>
      <c r="H604" s="3"/>
      <c r="I604" s="3"/>
      <c r="J604" s="3"/>
      <c r="K604" s="3"/>
      <c r="L604" s="3"/>
      <c r="M604" s="3"/>
      <c r="N604" s="3"/>
      <c r="O604" s="3"/>
    </row>
    <row r="605">
      <c r="A605" s="3" t="b">
        <f>IFERROR(__xludf.DUMMYFUNCTION("""COMPUTED_VALUE"""),FALSE)</f>
        <v>0</v>
      </c>
      <c r="B605" s="3" t="str">
        <f>IFERROR(__xludf.DUMMYFUNCTION("""COMPUTED_VALUE"""),"")</f>
        <v/>
      </c>
      <c r="C605" s="3"/>
      <c r="D605" s="3" t="str">
        <f>IFERROR(__xludf.DUMMYFUNCTION("""COMPUTED_VALUE"""),"")</f>
        <v/>
      </c>
      <c r="E605" s="3"/>
      <c r="F605" s="3"/>
      <c r="G605" s="3"/>
      <c r="H605" s="3"/>
      <c r="I605" s="3"/>
      <c r="J605" s="3"/>
      <c r="K605" s="3"/>
      <c r="L605" s="3"/>
      <c r="M605" s="3"/>
      <c r="N605" s="3"/>
      <c r="O605" s="3"/>
    </row>
    <row r="606">
      <c r="A606" s="3" t="b">
        <f>IFERROR(__xludf.DUMMYFUNCTION("""COMPUTED_VALUE"""),FALSE)</f>
        <v>0</v>
      </c>
      <c r="B606" s="3" t="str">
        <f>IFERROR(__xludf.DUMMYFUNCTION("""COMPUTED_VALUE"""),"")</f>
        <v/>
      </c>
      <c r="C606" s="3"/>
      <c r="D606" s="3" t="str">
        <f>IFERROR(__xludf.DUMMYFUNCTION("""COMPUTED_VALUE"""),"")</f>
        <v/>
      </c>
      <c r="E606" s="3"/>
      <c r="F606" s="3"/>
      <c r="G606" s="3"/>
      <c r="H606" s="3"/>
      <c r="I606" s="3"/>
      <c r="J606" s="3"/>
      <c r="K606" s="3"/>
      <c r="L606" s="3"/>
      <c r="M606" s="3"/>
      <c r="N606" s="3"/>
      <c r="O606" s="3"/>
    </row>
    <row r="607">
      <c r="A607" s="3" t="b">
        <f>IFERROR(__xludf.DUMMYFUNCTION("""COMPUTED_VALUE"""),FALSE)</f>
        <v>0</v>
      </c>
      <c r="B607" s="3" t="str">
        <f>IFERROR(__xludf.DUMMYFUNCTION("""COMPUTED_VALUE"""),"")</f>
        <v/>
      </c>
      <c r="C607" s="3"/>
      <c r="D607" s="3" t="str">
        <f>IFERROR(__xludf.DUMMYFUNCTION("""COMPUTED_VALUE"""),"")</f>
        <v/>
      </c>
      <c r="E607" s="3"/>
      <c r="F607" s="3"/>
      <c r="G607" s="3"/>
      <c r="H607" s="3"/>
      <c r="I607" s="3"/>
      <c r="J607" s="3"/>
      <c r="K607" s="3"/>
      <c r="L607" s="3"/>
      <c r="M607" s="3"/>
      <c r="N607" s="3"/>
      <c r="O607" s="3"/>
    </row>
    <row r="608">
      <c r="A608" s="3" t="b">
        <f>IFERROR(__xludf.DUMMYFUNCTION("""COMPUTED_VALUE"""),FALSE)</f>
        <v>0</v>
      </c>
      <c r="B608" s="3" t="str">
        <f>IFERROR(__xludf.DUMMYFUNCTION("""COMPUTED_VALUE"""),"")</f>
        <v/>
      </c>
      <c r="C608" s="3"/>
      <c r="D608" s="3" t="str">
        <f>IFERROR(__xludf.DUMMYFUNCTION("""COMPUTED_VALUE"""),"")</f>
        <v/>
      </c>
      <c r="E608" s="3"/>
      <c r="F608" s="3"/>
      <c r="G608" s="3"/>
      <c r="H608" s="3"/>
      <c r="I608" s="3"/>
      <c r="J608" s="3"/>
      <c r="K608" s="3"/>
      <c r="L608" s="3"/>
      <c r="M608" s="3"/>
      <c r="N608" s="3"/>
      <c r="O608" s="3"/>
    </row>
    <row r="609">
      <c r="A609" s="3" t="b">
        <f>IFERROR(__xludf.DUMMYFUNCTION("""COMPUTED_VALUE"""),FALSE)</f>
        <v>0</v>
      </c>
      <c r="B609" s="3" t="str">
        <f>IFERROR(__xludf.DUMMYFUNCTION("""COMPUTED_VALUE"""),"")</f>
        <v/>
      </c>
      <c r="C609" s="3"/>
      <c r="D609" s="3" t="str">
        <f>IFERROR(__xludf.DUMMYFUNCTION("""COMPUTED_VALUE"""),"")</f>
        <v/>
      </c>
      <c r="E609" s="3"/>
      <c r="F609" s="3"/>
      <c r="G609" s="3"/>
      <c r="H609" s="3"/>
      <c r="I609" s="3"/>
      <c r="J609" s="3"/>
      <c r="K609" s="3"/>
      <c r="L609" s="3"/>
      <c r="M609" s="3"/>
      <c r="N609" s="3"/>
      <c r="O609" s="3"/>
    </row>
    <row r="610">
      <c r="A610" s="3" t="b">
        <f>IFERROR(__xludf.DUMMYFUNCTION("""COMPUTED_VALUE"""),FALSE)</f>
        <v>0</v>
      </c>
      <c r="B610" s="3" t="str">
        <f>IFERROR(__xludf.DUMMYFUNCTION("""COMPUTED_VALUE"""),"")</f>
        <v/>
      </c>
      <c r="C610" s="3"/>
      <c r="D610" s="3" t="str">
        <f>IFERROR(__xludf.DUMMYFUNCTION("""COMPUTED_VALUE"""),"")</f>
        <v/>
      </c>
      <c r="E610" s="3"/>
      <c r="F610" s="3"/>
      <c r="G610" s="3"/>
      <c r="H610" s="3"/>
      <c r="I610" s="3"/>
      <c r="J610" s="3"/>
      <c r="K610" s="3"/>
      <c r="L610" s="3"/>
      <c r="M610" s="3"/>
      <c r="N610" s="3"/>
      <c r="O610" s="3"/>
    </row>
    <row r="611">
      <c r="A611" s="3" t="b">
        <f>IFERROR(__xludf.DUMMYFUNCTION("""COMPUTED_VALUE"""),FALSE)</f>
        <v>0</v>
      </c>
      <c r="B611" s="3" t="str">
        <f>IFERROR(__xludf.DUMMYFUNCTION("""COMPUTED_VALUE"""),"")</f>
        <v/>
      </c>
      <c r="C611" s="3"/>
      <c r="D611" s="3" t="str">
        <f>IFERROR(__xludf.DUMMYFUNCTION("""COMPUTED_VALUE"""),"")</f>
        <v/>
      </c>
      <c r="E611" s="3"/>
      <c r="F611" s="3"/>
      <c r="G611" s="3"/>
      <c r="H611" s="3"/>
      <c r="I611" s="3"/>
      <c r="J611" s="3"/>
      <c r="K611" s="3"/>
      <c r="L611" s="3"/>
      <c r="M611" s="3"/>
      <c r="N611" s="3"/>
      <c r="O611" s="3"/>
    </row>
    <row r="612">
      <c r="A612" s="3" t="b">
        <f>IFERROR(__xludf.DUMMYFUNCTION("""COMPUTED_VALUE"""),FALSE)</f>
        <v>0</v>
      </c>
      <c r="B612" s="3" t="str">
        <f>IFERROR(__xludf.DUMMYFUNCTION("""COMPUTED_VALUE"""),"")</f>
        <v/>
      </c>
      <c r="C612" s="3"/>
      <c r="D612" s="3" t="str">
        <f>IFERROR(__xludf.DUMMYFUNCTION("""COMPUTED_VALUE"""),"")</f>
        <v/>
      </c>
      <c r="E612" s="3"/>
      <c r="F612" s="3"/>
      <c r="G612" s="3"/>
      <c r="H612" s="3"/>
      <c r="I612" s="3"/>
      <c r="J612" s="3"/>
      <c r="K612" s="3"/>
      <c r="L612" s="3"/>
      <c r="M612" s="3"/>
      <c r="N612" s="3"/>
      <c r="O612" s="3"/>
    </row>
    <row r="613">
      <c r="A613" s="3" t="b">
        <f>IFERROR(__xludf.DUMMYFUNCTION("""COMPUTED_VALUE"""),FALSE)</f>
        <v>0</v>
      </c>
      <c r="B613" s="3" t="str">
        <f>IFERROR(__xludf.DUMMYFUNCTION("""COMPUTED_VALUE"""),"")</f>
        <v/>
      </c>
      <c r="C613" s="3"/>
      <c r="D613" s="3" t="str">
        <f>IFERROR(__xludf.DUMMYFUNCTION("""COMPUTED_VALUE"""),"")</f>
        <v/>
      </c>
      <c r="E613" s="3"/>
      <c r="F613" s="3"/>
      <c r="G613" s="3"/>
      <c r="H613" s="3"/>
      <c r="I613" s="3"/>
      <c r="J613" s="3"/>
      <c r="K613" s="3"/>
      <c r="L613" s="3"/>
      <c r="M613" s="3"/>
      <c r="N613" s="3"/>
      <c r="O613" s="3"/>
    </row>
    <row r="614">
      <c r="A614" s="3" t="b">
        <f>IFERROR(__xludf.DUMMYFUNCTION("""COMPUTED_VALUE"""),FALSE)</f>
        <v>0</v>
      </c>
      <c r="B614" s="3" t="str">
        <f>IFERROR(__xludf.DUMMYFUNCTION("""COMPUTED_VALUE"""),"")</f>
        <v/>
      </c>
      <c r="C614" s="3"/>
      <c r="D614" s="3" t="str">
        <f>IFERROR(__xludf.DUMMYFUNCTION("""COMPUTED_VALUE"""),"")</f>
        <v/>
      </c>
      <c r="E614" s="3"/>
      <c r="F614" s="3"/>
      <c r="G614" s="3"/>
      <c r="H614" s="3"/>
      <c r="I614" s="3"/>
      <c r="J614" s="3"/>
      <c r="K614" s="3"/>
      <c r="L614" s="3"/>
      <c r="M614" s="3"/>
      <c r="N614" s="3"/>
      <c r="O614" s="3"/>
    </row>
    <row r="615">
      <c r="A615" s="3" t="b">
        <f>IFERROR(__xludf.DUMMYFUNCTION("""COMPUTED_VALUE"""),FALSE)</f>
        <v>0</v>
      </c>
      <c r="B615" s="3" t="str">
        <f>IFERROR(__xludf.DUMMYFUNCTION("""COMPUTED_VALUE"""),"")</f>
        <v/>
      </c>
      <c r="C615" s="3"/>
      <c r="D615" s="3" t="str">
        <f>IFERROR(__xludf.DUMMYFUNCTION("""COMPUTED_VALUE"""),"")</f>
        <v/>
      </c>
      <c r="E615" s="3"/>
      <c r="F615" s="3"/>
      <c r="G615" s="3"/>
      <c r="H615" s="3"/>
      <c r="I615" s="3"/>
      <c r="J615" s="3"/>
      <c r="K615" s="3"/>
      <c r="L615" s="3"/>
      <c r="M615" s="3"/>
      <c r="N615" s="3"/>
      <c r="O615" s="3"/>
    </row>
    <row r="616">
      <c r="A616" s="3" t="b">
        <f>IFERROR(__xludf.DUMMYFUNCTION("""COMPUTED_VALUE"""),FALSE)</f>
        <v>0</v>
      </c>
      <c r="B616" s="3" t="str">
        <f>IFERROR(__xludf.DUMMYFUNCTION("""COMPUTED_VALUE"""),"")</f>
        <v/>
      </c>
      <c r="C616" s="3"/>
      <c r="D616" s="3" t="str">
        <f>IFERROR(__xludf.DUMMYFUNCTION("""COMPUTED_VALUE"""),"")</f>
        <v/>
      </c>
      <c r="E616" s="3"/>
      <c r="F616" s="3"/>
      <c r="G616" s="3"/>
      <c r="H616" s="3"/>
      <c r="I616" s="3"/>
      <c r="J616" s="3"/>
      <c r="K616" s="3"/>
      <c r="L616" s="3"/>
      <c r="M616" s="3"/>
      <c r="N616" s="3"/>
      <c r="O616" s="3"/>
    </row>
    <row r="617">
      <c r="A617" s="3" t="b">
        <f>IFERROR(__xludf.DUMMYFUNCTION("""COMPUTED_VALUE"""),FALSE)</f>
        <v>0</v>
      </c>
      <c r="B617" s="3" t="str">
        <f>IFERROR(__xludf.DUMMYFUNCTION("""COMPUTED_VALUE"""),"")</f>
        <v/>
      </c>
      <c r="C617" s="3"/>
      <c r="D617" s="3" t="str">
        <f>IFERROR(__xludf.DUMMYFUNCTION("""COMPUTED_VALUE"""),"")</f>
        <v/>
      </c>
      <c r="E617" s="3"/>
      <c r="F617" s="3"/>
      <c r="G617" s="3"/>
      <c r="H617" s="3"/>
      <c r="I617" s="3"/>
      <c r="J617" s="3"/>
      <c r="K617" s="3"/>
      <c r="L617" s="3"/>
      <c r="M617" s="3"/>
      <c r="N617" s="3"/>
      <c r="O617" s="3"/>
    </row>
    <row r="618">
      <c r="A618" s="3" t="b">
        <f>IFERROR(__xludf.DUMMYFUNCTION("""COMPUTED_VALUE"""),FALSE)</f>
        <v>0</v>
      </c>
      <c r="B618" s="3" t="str">
        <f>IFERROR(__xludf.DUMMYFUNCTION("""COMPUTED_VALUE"""),"")</f>
        <v/>
      </c>
      <c r="C618" s="3"/>
      <c r="D618" s="3" t="str">
        <f>IFERROR(__xludf.DUMMYFUNCTION("""COMPUTED_VALUE"""),"")</f>
        <v/>
      </c>
      <c r="E618" s="3"/>
      <c r="F618" s="3"/>
      <c r="G618" s="3"/>
      <c r="H618" s="3"/>
      <c r="I618" s="3"/>
      <c r="J618" s="3"/>
      <c r="K618" s="3"/>
      <c r="L618" s="3"/>
      <c r="M618" s="3"/>
      <c r="N618" s="3"/>
      <c r="O618" s="3"/>
    </row>
    <row r="619">
      <c r="A619" s="3" t="b">
        <f>IFERROR(__xludf.DUMMYFUNCTION("""COMPUTED_VALUE"""),FALSE)</f>
        <v>0</v>
      </c>
      <c r="B619" s="3" t="str">
        <f>IFERROR(__xludf.DUMMYFUNCTION("""COMPUTED_VALUE"""),"")</f>
        <v/>
      </c>
      <c r="C619" s="3"/>
      <c r="D619" s="3" t="str">
        <f>IFERROR(__xludf.DUMMYFUNCTION("""COMPUTED_VALUE"""),"")</f>
        <v/>
      </c>
      <c r="E619" s="3"/>
      <c r="F619" s="3"/>
      <c r="G619" s="3"/>
      <c r="H619" s="3"/>
      <c r="I619" s="3"/>
      <c r="J619" s="3"/>
      <c r="K619" s="3"/>
      <c r="L619" s="3"/>
      <c r="M619" s="3"/>
      <c r="N619" s="3"/>
      <c r="O619" s="3"/>
    </row>
    <row r="620">
      <c r="A620" s="3" t="b">
        <f>IFERROR(__xludf.DUMMYFUNCTION("""COMPUTED_VALUE"""),FALSE)</f>
        <v>0</v>
      </c>
      <c r="B620" s="3" t="str">
        <f>IFERROR(__xludf.DUMMYFUNCTION("""COMPUTED_VALUE"""),"")</f>
        <v/>
      </c>
      <c r="C620" s="3"/>
      <c r="D620" s="3" t="str">
        <f>IFERROR(__xludf.DUMMYFUNCTION("""COMPUTED_VALUE"""),"")</f>
        <v/>
      </c>
      <c r="E620" s="3"/>
      <c r="F620" s="3"/>
      <c r="G620" s="3"/>
      <c r="H620" s="3"/>
      <c r="I620" s="3"/>
      <c r="J620" s="3"/>
      <c r="K620" s="3"/>
      <c r="L620" s="3"/>
      <c r="M620" s="3"/>
      <c r="N620" s="3"/>
      <c r="O620" s="3"/>
    </row>
    <row r="621">
      <c r="A621" s="3" t="b">
        <f>IFERROR(__xludf.DUMMYFUNCTION("""COMPUTED_VALUE"""),FALSE)</f>
        <v>0</v>
      </c>
      <c r="B621" s="3" t="str">
        <f>IFERROR(__xludf.DUMMYFUNCTION("""COMPUTED_VALUE"""),"")</f>
        <v/>
      </c>
      <c r="C621" s="3"/>
      <c r="D621" s="3" t="str">
        <f>IFERROR(__xludf.DUMMYFUNCTION("""COMPUTED_VALUE"""),"")</f>
        <v/>
      </c>
      <c r="E621" s="3"/>
      <c r="F621" s="3"/>
      <c r="G621" s="3"/>
      <c r="H621" s="3"/>
      <c r="I621" s="3"/>
      <c r="J621" s="3"/>
      <c r="K621" s="3"/>
      <c r="L621" s="3"/>
      <c r="M621" s="3"/>
      <c r="N621" s="3"/>
      <c r="O621" s="3"/>
    </row>
    <row r="622">
      <c r="A622" s="3" t="b">
        <f>IFERROR(__xludf.DUMMYFUNCTION("""COMPUTED_VALUE"""),FALSE)</f>
        <v>0</v>
      </c>
      <c r="B622" s="3" t="str">
        <f>IFERROR(__xludf.DUMMYFUNCTION("""COMPUTED_VALUE"""),"")</f>
        <v/>
      </c>
      <c r="C622" s="3"/>
      <c r="D622" s="3" t="str">
        <f>IFERROR(__xludf.DUMMYFUNCTION("""COMPUTED_VALUE"""),"")</f>
        <v/>
      </c>
      <c r="E622" s="3"/>
      <c r="F622" s="3"/>
      <c r="G622" s="3"/>
      <c r="H622" s="3"/>
      <c r="I622" s="3"/>
      <c r="J622" s="3"/>
      <c r="K622" s="3"/>
      <c r="L622" s="3"/>
      <c r="M622" s="3"/>
      <c r="N622" s="3"/>
      <c r="O622" s="3"/>
    </row>
    <row r="623">
      <c r="A623" s="3" t="b">
        <f>IFERROR(__xludf.DUMMYFUNCTION("""COMPUTED_VALUE"""),FALSE)</f>
        <v>0</v>
      </c>
      <c r="B623" s="3" t="str">
        <f>IFERROR(__xludf.DUMMYFUNCTION("""COMPUTED_VALUE"""),"")</f>
        <v/>
      </c>
      <c r="C623" s="3"/>
      <c r="D623" s="3" t="str">
        <f>IFERROR(__xludf.DUMMYFUNCTION("""COMPUTED_VALUE"""),"")</f>
        <v/>
      </c>
      <c r="E623" s="3"/>
      <c r="F623" s="3"/>
      <c r="G623" s="3"/>
      <c r="H623" s="3"/>
      <c r="I623" s="3"/>
      <c r="J623" s="3"/>
      <c r="K623" s="3"/>
      <c r="L623" s="3"/>
      <c r="M623" s="3"/>
      <c r="N623" s="3"/>
      <c r="O623" s="3"/>
    </row>
    <row r="624">
      <c r="A624" s="3" t="b">
        <f>IFERROR(__xludf.DUMMYFUNCTION("""COMPUTED_VALUE"""),FALSE)</f>
        <v>0</v>
      </c>
      <c r="B624" s="3" t="str">
        <f>IFERROR(__xludf.DUMMYFUNCTION("""COMPUTED_VALUE"""),"")</f>
        <v/>
      </c>
      <c r="C624" s="3"/>
      <c r="D624" s="3" t="str">
        <f>IFERROR(__xludf.DUMMYFUNCTION("""COMPUTED_VALUE"""),"")</f>
        <v/>
      </c>
      <c r="E624" s="3"/>
      <c r="F624" s="3"/>
      <c r="G624" s="3"/>
      <c r="H624" s="3"/>
      <c r="I624" s="3"/>
      <c r="J624" s="3"/>
      <c r="K624" s="3"/>
      <c r="L624" s="3"/>
      <c r="M624" s="3"/>
      <c r="N624" s="3"/>
      <c r="O624" s="3"/>
    </row>
    <row r="625">
      <c r="A625" s="3" t="b">
        <f>IFERROR(__xludf.DUMMYFUNCTION("""COMPUTED_VALUE"""),FALSE)</f>
        <v>0</v>
      </c>
      <c r="B625" s="3" t="str">
        <f>IFERROR(__xludf.DUMMYFUNCTION("""COMPUTED_VALUE"""),"")</f>
        <v/>
      </c>
      <c r="C625" s="3"/>
      <c r="D625" s="3" t="str">
        <f>IFERROR(__xludf.DUMMYFUNCTION("""COMPUTED_VALUE"""),"")</f>
        <v/>
      </c>
      <c r="E625" s="3"/>
      <c r="F625" s="3"/>
      <c r="G625" s="3"/>
      <c r="H625" s="3"/>
      <c r="I625" s="3"/>
      <c r="J625" s="3"/>
      <c r="K625" s="3"/>
      <c r="L625" s="3"/>
      <c r="M625" s="3"/>
      <c r="N625" s="3"/>
      <c r="O625" s="3"/>
    </row>
    <row r="626">
      <c r="A626" s="3" t="b">
        <f>IFERROR(__xludf.DUMMYFUNCTION("""COMPUTED_VALUE"""),FALSE)</f>
        <v>0</v>
      </c>
      <c r="B626" s="3" t="str">
        <f>IFERROR(__xludf.DUMMYFUNCTION("""COMPUTED_VALUE"""),"")</f>
        <v/>
      </c>
      <c r="C626" s="3"/>
      <c r="D626" s="3" t="str">
        <f>IFERROR(__xludf.DUMMYFUNCTION("""COMPUTED_VALUE"""),"")</f>
        <v/>
      </c>
      <c r="E626" s="3"/>
      <c r="F626" s="3"/>
      <c r="G626" s="3"/>
      <c r="H626" s="3"/>
      <c r="I626" s="3"/>
      <c r="J626" s="3"/>
      <c r="K626" s="3"/>
      <c r="L626" s="3"/>
      <c r="M626" s="3"/>
      <c r="N626" s="3"/>
      <c r="O626" s="3"/>
    </row>
    <row r="627">
      <c r="A627" s="3" t="b">
        <f>IFERROR(__xludf.DUMMYFUNCTION("""COMPUTED_VALUE"""),FALSE)</f>
        <v>0</v>
      </c>
      <c r="B627" s="3" t="str">
        <f>IFERROR(__xludf.DUMMYFUNCTION("""COMPUTED_VALUE"""),"")</f>
        <v/>
      </c>
      <c r="C627" s="3"/>
      <c r="D627" s="3" t="str">
        <f>IFERROR(__xludf.DUMMYFUNCTION("""COMPUTED_VALUE"""),"")</f>
        <v/>
      </c>
      <c r="E627" s="3"/>
      <c r="F627" s="3"/>
      <c r="G627" s="3"/>
      <c r="H627" s="3"/>
      <c r="I627" s="3"/>
      <c r="J627" s="3"/>
      <c r="K627" s="3"/>
      <c r="L627" s="3"/>
      <c r="M627" s="3"/>
      <c r="N627" s="3"/>
      <c r="O627" s="3"/>
    </row>
    <row r="628">
      <c r="A628" s="3" t="b">
        <f>IFERROR(__xludf.DUMMYFUNCTION("""COMPUTED_VALUE"""),FALSE)</f>
        <v>0</v>
      </c>
      <c r="B628" s="3" t="str">
        <f>IFERROR(__xludf.DUMMYFUNCTION("""COMPUTED_VALUE"""),"")</f>
        <v/>
      </c>
      <c r="C628" s="3"/>
      <c r="D628" s="3" t="str">
        <f>IFERROR(__xludf.DUMMYFUNCTION("""COMPUTED_VALUE"""),"")</f>
        <v/>
      </c>
      <c r="E628" s="3"/>
      <c r="F628" s="3"/>
      <c r="G628" s="3"/>
      <c r="H628" s="3"/>
      <c r="I628" s="3"/>
      <c r="J628" s="3"/>
      <c r="K628" s="3"/>
      <c r="L628" s="3"/>
      <c r="M628" s="3"/>
      <c r="N628" s="3"/>
      <c r="O628" s="3"/>
    </row>
    <row r="629">
      <c r="A629" s="3" t="b">
        <f>IFERROR(__xludf.DUMMYFUNCTION("""COMPUTED_VALUE"""),FALSE)</f>
        <v>0</v>
      </c>
      <c r="B629" s="3" t="str">
        <f>IFERROR(__xludf.DUMMYFUNCTION("""COMPUTED_VALUE"""),"")</f>
        <v/>
      </c>
      <c r="C629" s="3"/>
      <c r="D629" s="3" t="str">
        <f>IFERROR(__xludf.DUMMYFUNCTION("""COMPUTED_VALUE"""),"")</f>
        <v/>
      </c>
      <c r="E629" s="3"/>
      <c r="F629" s="3"/>
      <c r="G629" s="3"/>
      <c r="H629" s="3"/>
      <c r="I629" s="3"/>
      <c r="J629" s="3"/>
      <c r="K629" s="3"/>
      <c r="L629" s="3"/>
      <c r="M629" s="3"/>
      <c r="N629" s="3"/>
      <c r="O629" s="3"/>
    </row>
    <row r="630">
      <c r="A630" s="3" t="b">
        <f>IFERROR(__xludf.DUMMYFUNCTION("""COMPUTED_VALUE"""),FALSE)</f>
        <v>0</v>
      </c>
      <c r="B630" s="3" t="str">
        <f>IFERROR(__xludf.DUMMYFUNCTION("""COMPUTED_VALUE"""),"")</f>
        <v/>
      </c>
      <c r="C630" s="3"/>
      <c r="D630" s="3" t="str">
        <f>IFERROR(__xludf.DUMMYFUNCTION("""COMPUTED_VALUE"""),"")</f>
        <v/>
      </c>
      <c r="E630" s="3"/>
      <c r="F630" s="3"/>
      <c r="G630" s="3"/>
      <c r="H630" s="3"/>
      <c r="I630" s="3"/>
      <c r="J630" s="3"/>
      <c r="K630" s="3"/>
      <c r="L630" s="3"/>
      <c r="M630" s="3"/>
      <c r="N630" s="3"/>
      <c r="O630" s="3"/>
    </row>
    <row r="631">
      <c r="A631" s="3" t="b">
        <f>IFERROR(__xludf.DUMMYFUNCTION("""COMPUTED_VALUE"""),FALSE)</f>
        <v>0</v>
      </c>
      <c r="B631" s="3" t="str">
        <f>IFERROR(__xludf.DUMMYFUNCTION("""COMPUTED_VALUE"""),"")</f>
        <v/>
      </c>
      <c r="C631" s="3"/>
      <c r="D631" s="3" t="str">
        <f>IFERROR(__xludf.DUMMYFUNCTION("""COMPUTED_VALUE"""),"")</f>
        <v/>
      </c>
      <c r="E631" s="3"/>
      <c r="F631" s="3"/>
      <c r="G631" s="3"/>
      <c r="H631" s="3"/>
      <c r="I631" s="3"/>
      <c r="J631" s="3"/>
      <c r="K631" s="3"/>
      <c r="L631" s="3"/>
      <c r="M631" s="3"/>
      <c r="N631" s="3"/>
      <c r="O631" s="3"/>
    </row>
    <row r="632">
      <c r="A632" s="3" t="b">
        <f>IFERROR(__xludf.DUMMYFUNCTION("""COMPUTED_VALUE"""),FALSE)</f>
        <v>0</v>
      </c>
      <c r="B632" s="3" t="str">
        <f>IFERROR(__xludf.DUMMYFUNCTION("""COMPUTED_VALUE"""),"")</f>
        <v/>
      </c>
      <c r="C632" s="3"/>
      <c r="D632" s="3" t="str">
        <f>IFERROR(__xludf.DUMMYFUNCTION("""COMPUTED_VALUE"""),"")</f>
        <v/>
      </c>
      <c r="E632" s="3"/>
      <c r="F632" s="3"/>
      <c r="G632" s="3"/>
      <c r="H632" s="3"/>
      <c r="I632" s="3"/>
      <c r="J632" s="3"/>
      <c r="K632" s="3"/>
      <c r="L632" s="3"/>
      <c r="M632" s="3"/>
      <c r="N632" s="3"/>
      <c r="O632" s="3"/>
    </row>
    <row r="633">
      <c r="A633" s="3" t="b">
        <f>IFERROR(__xludf.DUMMYFUNCTION("""COMPUTED_VALUE"""),FALSE)</f>
        <v>0</v>
      </c>
      <c r="B633" s="3" t="str">
        <f>IFERROR(__xludf.DUMMYFUNCTION("""COMPUTED_VALUE"""),"")</f>
        <v/>
      </c>
      <c r="C633" s="3"/>
      <c r="D633" s="3" t="str">
        <f>IFERROR(__xludf.DUMMYFUNCTION("""COMPUTED_VALUE"""),"")</f>
        <v/>
      </c>
      <c r="E633" s="3"/>
      <c r="F633" s="3"/>
      <c r="G633" s="3"/>
      <c r="H633" s="3"/>
      <c r="I633" s="3"/>
      <c r="J633" s="3"/>
      <c r="K633" s="3"/>
      <c r="L633" s="3"/>
      <c r="M633" s="3"/>
      <c r="N633" s="3"/>
      <c r="O633" s="3"/>
    </row>
    <row r="634">
      <c r="A634" s="3" t="b">
        <f>IFERROR(__xludf.DUMMYFUNCTION("""COMPUTED_VALUE"""),FALSE)</f>
        <v>0</v>
      </c>
      <c r="B634" s="3" t="str">
        <f>IFERROR(__xludf.DUMMYFUNCTION("""COMPUTED_VALUE"""),"")</f>
        <v/>
      </c>
      <c r="C634" s="3"/>
      <c r="D634" s="3" t="str">
        <f>IFERROR(__xludf.DUMMYFUNCTION("""COMPUTED_VALUE"""),"")</f>
        <v/>
      </c>
      <c r="E634" s="3"/>
      <c r="F634" s="3"/>
      <c r="G634" s="3"/>
      <c r="H634" s="3"/>
      <c r="I634" s="3"/>
      <c r="J634" s="3"/>
      <c r="K634" s="3"/>
      <c r="L634" s="3"/>
      <c r="M634" s="3"/>
      <c r="N634" s="3"/>
      <c r="O634" s="3"/>
    </row>
    <row r="635">
      <c r="A635" s="3" t="b">
        <f>IFERROR(__xludf.DUMMYFUNCTION("""COMPUTED_VALUE"""),FALSE)</f>
        <v>0</v>
      </c>
      <c r="B635" s="3" t="str">
        <f>IFERROR(__xludf.DUMMYFUNCTION("""COMPUTED_VALUE"""),"")</f>
        <v/>
      </c>
      <c r="C635" s="3"/>
      <c r="D635" s="3" t="str">
        <f>IFERROR(__xludf.DUMMYFUNCTION("""COMPUTED_VALUE"""),"")</f>
        <v/>
      </c>
      <c r="E635" s="3"/>
      <c r="F635" s="3"/>
      <c r="G635" s="3"/>
      <c r="H635" s="3"/>
      <c r="I635" s="3"/>
      <c r="J635" s="3"/>
      <c r="K635" s="3"/>
      <c r="L635" s="3"/>
      <c r="M635" s="3"/>
      <c r="N635" s="3"/>
      <c r="O635" s="3"/>
    </row>
    <row r="636">
      <c r="A636" s="3" t="b">
        <f>IFERROR(__xludf.DUMMYFUNCTION("""COMPUTED_VALUE"""),FALSE)</f>
        <v>0</v>
      </c>
      <c r="B636" s="3" t="str">
        <f>IFERROR(__xludf.DUMMYFUNCTION("""COMPUTED_VALUE"""),"")</f>
        <v/>
      </c>
      <c r="C636" s="3"/>
      <c r="D636" s="3" t="str">
        <f>IFERROR(__xludf.DUMMYFUNCTION("""COMPUTED_VALUE"""),"")</f>
        <v/>
      </c>
      <c r="E636" s="3"/>
      <c r="F636" s="3"/>
      <c r="G636" s="3"/>
      <c r="H636" s="3"/>
      <c r="I636" s="3"/>
      <c r="J636" s="3"/>
      <c r="K636" s="3"/>
      <c r="L636" s="3"/>
      <c r="M636" s="3"/>
      <c r="N636" s="3"/>
      <c r="O636" s="3"/>
    </row>
    <row r="637">
      <c r="A637" s="3" t="b">
        <f>IFERROR(__xludf.DUMMYFUNCTION("""COMPUTED_VALUE"""),FALSE)</f>
        <v>0</v>
      </c>
      <c r="B637" s="3" t="str">
        <f>IFERROR(__xludf.DUMMYFUNCTION("""COMPUTED_VALUE"""),"")</f>
        <v/>
      </c>
      <c r="C637" s="3"/>
      <c r="D637" s="3" t="str">
        <f>IFERROR(__xludf.DUMMYFUNCTION("""COMPUTED_VALUE"""),"")</f>
        <v/>
      </c>
      <c r="E637" s="3"/>
      <c r="F637" s="3"/>
      <c r="G637" s="3"/>
      <c r="H637" s="3"/>
      <c r="I637" s="3"/>
      <c r="J637" s="3"/>
      <c r="K637" s="3"/>
      <c r="L637" s="3"/>
      <c r="M637" s="3"/>
      <c r="N637" s="3"/>
      <c r="O637" s="3"/>
    </row>
    <row r="638">
      <c r="A638" s="3" t="b">
        <f>IFERROR(__xludf.DUMMYFUNCTION("""COMPUTED_VALUE"""),FALSE)</f>
        <v>0</v>
      </c>
      <c r="B638" s="3" t="str">
        <f>IFERROR(__xludf.DUMMYFUNCTION("""COMPUTED_VALUE"""),"")</f>
        <v/>
      </c>
      <c r="C638" s="3"/>
      <c r="D638" s="3" t="str">
        <f>IFERROR(__xludf.DUMMYFUNCTION("""COMPUTED_VALUE"""),"")</f>
        <v/>
      </c>
      <c r="E638" s="3"/>
      <c r="F638" s="3"/>
      <c r="G638" s="3"/>
      <c r="H638" s="3"/>
      <c r="I638" s="3"/>
      <c r="J638" s="3"/>
      <c r="K638" s="3"/>
      <c r="L638" s="3"/>
      <c r="M638" s="3"/>
      <c r="N638" s="3"/>
      <c r="O638" s="3"/>
    </row>
    <row r="639">
      <c r="A639" s="3" t="b">
        <f>IFERROR(__xludf.DUMMYFUNCTION("""COMPUTED_VALUE"""),FALSE)</f>
        <v>0</v>
      </c>
      <c r="B639" s="3" t="str">
        <f>IFERROR(__xludf.DUMMYFUNCTION("""COMPUTED_VALUE"""),"")</f>
        <v/>
      </c>
      <c r="C639" s="3"/>
      <c r="D639" s="3" t="str">
        <f>IFERROR(__xludf.DUMMYFUNCTION("""COMPUTED_VALUE"""),"")</f>
        <v/>
      </c>
      <c r="E639" s="3"/>
      <c r="F639" s="3"/>
      <c r="G639" s="3"/>
      <c r="H639" s="3"/>
      <c r="I639" s="3"/>
      <c r="J639" s="3"/>
      <c r="K639" s="3"/>
      <c r="L639" s="3"/>
      <c r="M639" s="3"/>
      <c r="N639" s="3"/>
      <c r="O639" s="3"/>
    </row>
    <row r="640">
      <c r="A640" s="3" t="b">
        <f>IFERROR(__xludf.DUMMYFUNCTION("""COMPUTED_VALUE"""),FALSE)</f>
        <v>0</v>
      </c>
      <c r="B640" s="3" t="str">
        <f>IFERROR(__xludf.DUMMYFUNCTION("""COMPUTED_VALUE"""),"")</f>
        <v/>
      </c>
      <c r="C640" s="3"/>
      <c r="D640" s="3" t="str">
        <f>IFERROR(__xludf.DUMMYFUNCTION("""COMPUTED_VALUE"""),"")</f>
        <v/>
      </c>
      <c r="E640" s="3"/>
      <c r="F640" s="3"/>
      <c r="G640" s="3"/>
      <c r="H640" s="3"/>
      <c r="I640" s="3"/>
      <c r="J640" s="3"/>
      <c r="K640" s="3"/>
      <c r="L640" s="3"/>
      <c r="M640" s="3"/>
      <c r="N640" s="3"/>
      <c r="O640" s="3"/>
    </row>
    <row r="641">
      <c r="A641" s="3" t="b">
        <f>IFERROR(__xludf.DUMMYFUNCTION("""COMPUTED_VALUE"""),FALSE)</f>
        <v>0</v>
      </c>
      <c r="B641" s="3" t="str">
        <f>IFERROR(__xludf.DUMMYFUNCTION("""COMPUTED_VALUE"""),"")</f>
        <v/>
      </c>
      <c r="C641" s="3"/>
      <c r="D641" s="3" t="str">
        <f>IFERROR(__xludf.DUMMYFUNCTION("""COMPUTED_VALUE"""),"")</f>
        <v/>
      </c>
      <c r="E641" s="3"/>
      <c r="F641" s="3"/>
      <c r="G641" s="3"/>
      <c r="H641" s="3"/>
      <c r="I641" s="3"/>
      <c r="J641" s="3"/>
      <c r="K641" s="3"/>
      <c r="L641" s="3"/>
      <c r="M641" s="3"/>
      <c r="N641" s="3"/>
      <c r="O641" s="3"/>
    </row>
    <row r="642">
      <c r="A642" s="3" t="b">
        <f>IFERROR(__xludf.DUMMYFUNCTION("""COMPUTED_VALUE"""),FALSE)</f>
        <v>0</v>
      </c>
      <c r="B642" s="3" t="str">
        <f>IFERROR(__xludf.DUMMYFUNCTION("""COMPUTED_VALUE"""),"")</f>
        <v/>
      </c>
      <c r="C642" s="3"/>
      <c r="D642" s="3" t="str">
        <f>IFERROR(__xludf.DUMMYFUNCTION("""COMPUTED_VALUE"""),"")</f>
        <v/>
      </c>
      <c r="E642" s="3"/>
      <c r="F642" s="3"/>
      <c r="G642" s="3"/>
      <c r="H642" s="3"/>
      <c r="I642" s="3"/>
      <c r="J642" s="3"/>
      <c r="K642" s="3"/>
      <c r="L642" s="3"/>
      <c r="M642" s="3"/>
      <c r="N642" s="3"/>
      <c r="O642" s="3"/>
    </row>
    <row r="643">
      <c r="A643" s="3" t="b">
        <f>IFERROR(__xludf.DUMMYFUNCTION("""COMPUTED_VALUE"""),FALSE)</f>
        <v>0</v>
      </c>
      <c r="B643" s="3" t="str">
        <f>IFERROR(__xludf.DUMMYFUNCTION("""COMPUTED_VALUE"""),"")</f>
        <v/>
      </c>
      <c r="C643" s="3"/>
      <c r="D643" s="3" t="str">
        <f>IFERROR(__xludf.DUMMYFUNCTION("""COMPUTED_VALUE"""),"")</f>
        <v/>
      </c>
      <c r="E643" s="3"/>
      <c r="F643" s="3"/>
      <c r="G643" s="3"/>
      <c r="H643" s="3"/>
      <c r="I643" s="3"/>
      <c r="J643" s="3"/>
      <c r="K643" s="3"/>
      <c r="L643" s="3"/>
      <c r="M643" s="3"/>
      <c r="N643" s="3"/>
      <c r="O643" s="3"/>
    </row>
    <row r="644">
      <c r="A644" s="3" t="b">
        <f>IFERROR(__xludf.DUMMYFUNCTION("""COMPUTED_VALUE"""),FALSE)</f>
        <v>0</v>
      </c>
      <c r="B644" s="3" t="str">
        <f>IFERROR(__xludf.DUMMYFUNCTION("""COMPUTED_VALUE"""),"")</f>
        <v/>
      </c>
      <c r="C644" s="3"/>
      <c r="D644" s="3" t="str">
        <f>IFERROR(__xludf.DUMMYFUNCTION("""COMPUTED_VALUE"""),"")</f>
        <v/>
      </c>
      <c r="E644" s="3"/>
      <c r="F644" s="3"/>
      <c r="G644" s="3"/>
      <c r="H644" s="3"/>
      <c r="I644" s="3"/>
      <c r="J644" s="3"/>
      <c r="K644" s="3"/>
      <c r="L644" s="3"/>
      <c r="M644" s="3"/>
      <c r="N644" s="3"/>
      <c r="O644" s="3"/>
    </row>
    <row r="645">
      <c r="A645" s="3" t="b">
        <f>IFERROR(__xludf.DUMMYFUNCTION("""COMPUTED_VALUE"""),FALSE)</f>
        <v>0</v>
      </c>
      <c r="B645" s="3" t="str">
        <f>IFERROR(__xludf.DUMMYFUNCTION("""COMPUTED_VALUE"""),"")</f>
        <v/>
      </c>
      <c r="C645" s="3"/>
      <c r="D645" s="3" t="str">
        <f>IFERROR(__xludf.DUMMYFUNCTION("""COMPUTED_VALUE"""),"")</f>
        <v/>
      </c>
      <c r="E645" s="3"/>
      <c r="F645" s="3"/>
      <c r="G645" s="3"/>
      <c r="H645" s="3"/>
      <c r="I645" s="3"/>
      <c r="J645" s="3"/>
      <c r="K645" s="3"/>
      <c r="L645" s="3"/>
      <c r="M645" s="3"/>
      <c r="N645" s="3"/>
      <c r="O645" s="3"/>
    </row>
    <row r="646">
      <c r="A646" s="3" t="b">
        <f>IFERROR(__xludf.DUMMYFUNCTION("""COMPUTED_VALUE"""),FALSE)</f>
        <v>0</v>
      </c>
      <c r="B646" s="3" t="str">
        <f>IFERROR(__xludf.DUMMYFUNCTION("""COMPUTED_VALUE"""),"")</f>
        <v/>
      </c>
      <c r="C646" s="3"/>
      <c r="D646" s="3" t="str">
        <f>IFERROR(__xludf.DUMMYFUNCTION("""COMPUTED_VALUE"""),"")</f>
        <v/>
      </c>
      <c r="E646" s="3"/>
      <c r="F646" s="3"/>
      <c r="G646" s="3"/>
      <c r="H646" s="3"/>
      <c r="I646" s="3"/>
      <c r="J646" s="3"/>
      <c r="K646" s="3"/>
      <c r="L646" s="3"/>
      <c r="M646" s="3"/>
      <c r="N646" s="3"/>
      <c r="O646" s="3"/>
    </row>
    <row r="647">
      <c r="A647" s="3" t="b">
        <f>IFERROR(__xludf.DUMMYFUNCTION("""COMPUTED_VALUE"""),FALSE)</f>
        <v>0</v>
      </c>
      <c r="B647" s="3" t="str">
        <f>IFERROR(__xludf.DUMMYFUNCTION("""COMPUTED_VALUE"""),"")</f>
        <v/>
      </c>
      <c r="C647" s="3"/>
      <c r="D647" s="3" t="str">
        <f>IFERROR(__xludf.DUMMYFUNCTION("""COMPUTED_VALUE"""),"")</f>
        <v/>
      </c>
      <c r="E647" s="3"/>
      <c r="F647" s="3"/>
      <c r="G647" s="3"/>
      <c r="H647" s="3"/>
      <c r="I647" s="3"/>
      <c r="J647" s="3"/>
      <c r="K647" s="3"/>
      <c r="L647" s="3"/>
      <c r="M647" s="3"/>
      <c r="N647" s="3"/>
      <c r="O647" s="3"/>
    </row>
    <row r="648">
      <c r="A648" s="3" t="b">
        <f>IFERROR(__xludf.DUMMYFUNCTION("""COMPUTED_VALUE"""),FALSE)</f>
        <v>0</v>
      </c>
      <c r="B648" s="3" t="str">
        <f>IFERROR(__xludf.DUMMYFUNCTION("""COMPUTED_VALUE"""),"")</f>
        <v/>
      </c>
      <c r="C648" s="3"/>
      <c r="D648" s="3" t="str">
        <f>IFERROR(__xludf.DUMMYFUNCTION("""COMPUTED_VALUE"""),"")</f>
        <v/>
      </c>
      <c r="E648" s="3"/>
      <c r="F648" s="3"/>
      <c r="G648" s="3"/>
      <c r="H648" s="3"/>
      <c r="I648" s="3"/>
      <c r="J648" s="3"/>
      <c r="K648" s="3"/>
      <c r="L648" s="3"/>
      <c r="M648" s="3"/>
      <c r="N648" s="3"/>
      <c r="O648" s="3"/>
    </row>
    <row r="649">
      <c r="A649" s="3" t="b">
        <f>IFERROR(__xludf.DUMMYFUNCTION("""COMPUTED_VALUE"""),FALSE)</f>
        <v>0</v>
      </c>
      <c r="B649" s="3" t="str">
        <f>IFERROR(__xludf.DUMMYFUNCTION("""COMPUTED_VALUE"""),"")</f>
        <v/>
      </c>
      <c r="C649" s="3"/>
      <c r="D649" s="3" t="str">
        <f>IFERROR(__xludf.DUMMYFUNCTION("""COMPUTED_VALUE"""),"")</f>
        <v/>
      </c>
      <c r="E649" s="3"/>
      <c r="F649" s="3"/>
      <c r="G649" s="3"/>
      <c r="H649" s="3"/>
      <c r="I649" s="3"/>
      <c r="J649" s="3"/>
      <c r="K649" s="3"/>
      <c r="L649" s="3"/>
      <c r="M649" s="3"/>
      <c r="N649" s="3"/>
      <c r="O649" s="3"/>
    </row>
    <row r="650">
      <c r="A650" s="3" t="b">
        <f>IFERROR(__xludf.DUMMYFUNCTION("""COMPUTED_VALUE"""),FALSE)</f>
        <v>0</v>
      </c>
      <c r="B650" s="3" t="str">
        <f>IFERROR(__xludf.DUMMYFUNCTION("""COMPUTED_VALUE"""),"")</f>
        <v/>
      </c>
      <c r="C650" s="3"/>
      <c r="D650" s="3" t="str">
        <f>IFERROR(__xludf.DUMMYFUNCTION("""COMPUTED_VALUE"""),"")</f>
        <v/>
      </c>
      <c r="E650" s="3"/>
      <c r="F650" s="3"/>
      <c r="G650" s="3"/>
      <c r="H650" s="3"/>
      <c r="I650" s="3"/>
      <c r="J650" s="3"/>
      <c r="K650" s="3"/>
      <c r="L650" s="3"/>
      <c r="M650" s="3"/>
      <c r="N650" s="3"/>
      <c r="O650" s="3"/>
    </row>
    <row r="651">
      <c r="A651" s="3" t="b">
        <f>IFERROR(__xludf.DUMMYFUNCTION("""COMPUTED_VALUE"""),FALSE)</f>
        <v>0</v>
      </c>
      <c r="B651" s="3" t="str">
        <f>IFERROR(__xludf.DUMMYFUNCTION("""COMPUTED_VALUE"""),"")</f>
        <v/>
      </c>
      <c r="C651" s="3"/>
      <c r="D651" s="3" t="str">
        <f>IFERROR(__xludf.DUMMYFUNCTION("""COMPUTED_VALUE"""),"")</f>
        <v/>
      </c>
      <c r="E651" s="3"/>
      <c r="F651" s="3"/>
      <c r="G651" s="3"/>
      <c r="H651" s="3"/>
      <c r="I651" s="3"/>
      <c r="J651" s="3"/>
      <c r="K651" s="3"/>
      <c r="L651" s="3"/>
      <c r="M651" s="3"/>
      <c r="N651" s="3"/>
      <c r="O651" s="3"/>
    </row>
    <row r="652">
      <c r="A652" s="3" t="b">
        <f>IFERROR(__xludf.DUMMYFUNCTION("""COMPUTED_VALUE"""),FALSE)</f>
        <v>0</v>
      </c>
      <c r="B652" s="3" t="str">
        <f>IFERROR(__xludf.DUMMYFUNCTION("""COMPUTED_VALUE"""),"")</f>
        <v/>
      </c>
      <c r="C652" s="3"/>
      <c r="D652" s="3" t="str">
        <f>IFERROR(__xludf.DUMMYFUNCTION("""COMPUTED_VALUE"""),"")</f>
        <v/>
      </c>
      <c r="E652" s="3"/>
      <c r="F652" s="3"/>
      <c r="G652" s="3"/>
      <c r="H652" s="3"/>
      <c r="I652" s="3"/>
      <c r="J652" s="3"/>
      <c r="K652" s="3"/>
      <c r="L652" s="3"/>
      <c r="M652" s="3"/>
      <c r="N652" s="3"/>
      <c r="O652" s="3"/>
    </row>
    <row r="653">
      <c r="A653" s="3" t="b">
        <f>IFERROR(__xludf.DUMMYFUNCTION("""COMPUTED_VALUE"""),FALSE)</f>
        <v>0</v>
      </c>
      <c r="B653" s="3" t="str">
        <f>IFERROR(__xludf.DUMMYFUNCTION("""COMPUTED_VALUE"""),"")</f>
        <v/>
      </c>
      <c r="C653" s="3"/>
      <c r="D653" s="3" t="str">
        <f>IFERROR(__xludf.DUMMYFUNCTION("""COMPUTED_VALUE"""),"")</f>
        <v/>
      </c>
      <c r="E653" s="3"/>
      <c r="F653" s="3"/>
      <c r="G653" s="3"/>
      <c r="H653" s="3"/>
      <c r="I653" s="3"/>
      <c r="J653" s="3"/>
      <c r="K653" s="3"/>
      <c r="L653" s="3"/>
      <c r="M653" s="3"/>
      <c r="N653" s="3"/>
      <c r="O653" s="3"/>
    </row>
    <row r="654">
      <c r="A654" s="3" t="b">
        <f>IFERROR(__xludf.DUMMYFUNCTION("""COMPUTED_VALUE"""),FALSE)</f>
        <v>0</v>
      </c>
      <c r="B654" s="3" t="str">
        <f>IFERROR(__xludf.DUMMYFUNCTION("""COMPUTED_VALUE"""),"")</f>
        <v/>
      </c>
      <c r="C654" s="3"/>
      <c r="D654" s="3" t="str">
        <f>IFERROR(__xludf.DUMMYFUNCTION("""COMPUTED_VALUE"""),"")</f>
        <v/>
      </c>
      <c r="E654" s="3"/>
      <c r="F654" s="3"/>
      <c r="G654" s="3"/>
      <c r="H654" s="3"/>
      <c r="I654" s="3"/>
      <c r="J654" s="3"/>
      <c r="K654" s="3"/>
      <c r="L654" s="3"/>
      <c r="M654" s="3"/>
      <c r="N654" s="3"/>
      <c r="O654" s="3"/>
    </row>
    <row r="655">
      <c r="A655" s="3" t="b">
        <f>IFERROR(__xludf.DUMMYFUNCTION("""COMPUTED_VALUE"""),FALSE)</f>
        <v>0</v>
      </c>
      <c r="B655" s="3" t="str">
        <f>IFERROR(__xludf.DUMMYFUNCTION("""COMPUTED_VALUE"""),"")</f>
        <v/>
      </c>
      <c r="C655" s="3"/>
      <c r="D655" s="3" t="str">
        <f>IFERROR(__xludf.DUMMYFUNCTION("""COMPUTED_VALUE"""),"")</f>
        <v/>
      </c>
      <c r="E655" s="3"/>
      <c r="F655" s="3"/>
      <c r="G655" s="3"/>
      <c r="H655" s="3"/>
      <c r="I655" s="3"/>
      <c r="J655" s="3"/>
      <c r="K655" s="3"/>
      <c r="L655" s="3"/>
      <c r="M655" s="3"/>
      <c r="N655" s="3"/>
      <c r="O655" s="3"/>
    </row>
    <row r="656">
      <c r="A656" s="3" t="b">
        <f>IFERROR(__xludf.DUMMYFUNCTION("""COMPUTED_VALUE"""),FALSE)</f>
        <v>0</v>
      </c>
      <c r="B656" s="3" t="str">
        <f>IFERROR(__xludf.DUMMYFUNCTION("""COMPUTED_VALUE"""),"")</f>
        <v/>
      </c>
      <c r="C656" s="3"/>
      <c r="D656" s="3" t="str">
        <f>IFERROR(__xludf.DUMMYFUNCTION("""COMPUTED_VALUE"""),"")</f>
        <v/>
      </c>
      <c r="E656" s="3"/>
      <c r="F656" s="3"/>
      <c r="G656" s="3"/>
      <c r="H656" s="3"/>
      <c r="I656" s="3"/>
      <c r="J656" s="3"/>
      <c r="K656" s="3"/>
      <c r="L656" s="3"/>
      <c r="M656" s="3"/>
      <c r="N656" s="3"/>
      <c r="O656" s="3"/>
    </row>
    <row r="657">
      <c r="A657" s="3" t="b">
        <f>IFERROR(__xludf.DUMMYFUNCTION("""COMPUTED_VALUE"""),FALSE)</f>
        <v>0</v>
      </c>
      <c r="B657" s="3" t="str">
        <f>IFERROR(__xludf.DUMMYFUNCTION("""COMPUTED_VALUE"""),"")</f>
        <v/>
      </c>
      <c r="C657" s="3"/>
      <c r="D657" s="3" t="str">
        <f>IFERROR(__xludf.DUMMYFUNCTION("""COMPUTED_VALUE"""),"")</f>
        <v/>
      </c>
      <c r="E657" s="3"/>
      <c r="F657" s="3"/>
      <c r="G657" s="3"/>
      <c r="H657" s="3"/>
      <c r="I657" s="3"/>
      <c r="J657" s="3"/>
      <c r="K657" s="3"/>
      <c r="L657" s="3"/>
      <c r="M657" s="3"/>
      <c r="N657" s="3"/>
      <c r="O657" s="3"/>
    </row>
    <row r="658">
      <c r="A658" s="3" t="b">
        <f>IFERROR(__xludf.DUMMYFUNCTION("""COMPUTED_VALUE"""),FALSE)</f>
        <v>0</v>
      </c>
      <c r="B658" s="3" t="str">
        <f>IFERROR(__xludf.DUMMYFUNCTION("""COMPUTED_VALUE"""),"")</f>
        <v/>
      </c>
      <c r="C658" s="3"/>
      <c r="D658" s="3" t="str">
        <f>IFERROR(__xludf.DUMMYFUNCTION("""COMPUTED_VALUE"""),"")</f>
        <v/>
      </c>
      <c r="E658" s="3"/>
      <c r="F658" s="3"/>
      <c r="G658" s="3"/>
      <c r="H658" s="3"/>
      <c r="I658" s="3"/>
      <c r="J658" s="3"/>
      <c r="K658" s="3"/>
      <c r="L658" s="3"/>
      <c r="M658" s="3"/>
      <c r="N658" s="3"/>
      <c r="O658" s="3"/>
    </row>
    <row r="659">
      <c r="A659" s="3" t="b">
        <f>IFERROR(__xludf.DUMMYFUNCTION("""COMPUTED_VALUE"""),FALSE)</f>
        <v>0</v>
      </c>
      <c r="B659" s="3" t="str">
        <f>IFERROR(__xludf.DUMMYFUNCTION("""COMPUTED_VALUE"""),"")</f>
        <v/>
      </c>
      <c r="C659" s="3"/>
      <c r="D659" s="3" t="str">
        <f>IFERROR(__xludf.DUMMYFUNCTION("""COMPUTED_VALUE"""),"")</f>
        <v/>
      </c>
      <c r="E659" s="3"/>
      <c r="F659" s="3"/>
      <c r="G659" s="3"/>
      <c r="H659" s="3"/>
      <c r="I659" s="3"/>
      <c r="J659" s="3"/>
      <c r="K659" s="3"/>
      <c r="L659" s="3"/>
      <c r="M659" s="3"/>
      <c r="N659" s="3"/>
      <c r="O659" s="3"/>
    </row>
    <row r="660">
      <c r="A660" s="3" t="b">
        <f>IFERROR(__xludf.DUMMYFUNCTION("""COMPUTED_VALUE"""),FALSE)</f>
        <v>0</v>
      </c>
      <c r="B660" s="3" t="str">
        <f>IFERROR(__xludf.DUMMYFUNCTION("""COMPUTED_VALUE"""),"")</f>
        <v/>
      </c>
      <c r="C660" s="3"/>
      <c r="D660" s="3" t="str">
        <f>IFERROR(__xludf.DUMMYFUNCTION("""COMPUTED_VALUE"""),"")</f>
        <v/>
      </c>
      <c r="E660" s="3"/>
      <c r="F660" s="3"/>
      <c r="G660" s="3"/>
      <c r="H660" s="3"/>
      <c r="I660" s="3"/>
      <c r="J660" s="3"/>
      <c r="K660" s="3"/>
      <c r="L660" s="3"/>
      <c r="M660" s="3"/>
      <c r="N660" s="3"/>
      <c r="O660" s="3"/>
    </row>
    <row r="661">
      <c r="A661" s="3" t="b">
        <f>IFERROR(__xludf.DUMMYFUNCTION("""COMPUTED_VALUE"""),FALSE)</f>
        <v>0</v>
      </c>
      <c r="B661" s="3" t="str">
        <f>IFERROR(__xludf.DUMMYFUNCTION("""COMPUTED_VALUE"""),"")</f>
        <v/>
      </c>
      <c r="C661" s="3"/>
      <c r="D661" s="3" t="str">
        <f>IFERROR(__xludf.DUMMYFUNCTION("""COMPUTED_VALUE"""),"")</f>
        <v/>
      </c>
      <c r="E661" s="3"/>
      <c r="F661" s="3"/>
      <c r="G661" s="3"/>
      <c r="H661" s="3"/>
      <c r="I661" s="3"/>
      <c r="J661" s="3"/>
      <c r="K661" s="3"/>
      <c r="L661" s="3"/>
      <c r="M661" s="3"/>
      <c r="N661" s="3"/>
      <c r="O661" s="3"/>
    </row>
    <row r="662">
      <c r="A662" s="3" t="b">
        <f>IFERROR(__xludf.DUMMYFUNCTION("""COMPUTED_VALUE"""),FALSE)</f>
        <v>0</v>
      </c>
      <c r="B662" s="3" t="str">
        <f>IFERROR(__xludf.DUMMYFUNCTION("""COMPUTED_VALUE"""),"")</f>
        <v/>
      </c>
      <c r="C662" s="3"/>
      <c r="D662" s="3" t="str">
        <f>IFERROR(__xludf.DUMMYFUNCTION("""COMPUTED_VALUE"""),"")</f>
        <v/>
      </c>
      <c r="E662" s="3"/>
      <c r="F662" s="3"/>
      <c r="G662" s="3"/>
      <c r="H662" s="3"/>
      <c r="I662" s="3"/>
      <c r="J662" s="3"/>
      <c r="K662" s="3"/>
      <c r="L662" s="3"/>
      <c r="M662" s="3"/>
      <c r="N662" s="3"/>
      <c r="O662" s="3"/>
    </row>
    <row r="663">
      <c r="A663" s="3" t="b">
        <f>IFERROR(__xludf.DUMMYFUNCTION("""COMPUTED_VALUE"""),FALSE)</f>
        <v>0</v>
      </c>
      <c r="B663" s="3" t="str">
        <f>IFERROR(__xludf.DUMMYFUNCTION("""COMPUTED_VALUE"""),"")</f>
        <v/>
      </c>
      <c r="C663" s="3"/>
      <c r="D663" s="3" t="str">
        <f>IFERROR(__xludf.DUMMYFUNCTION("""COMPUTED_VALUE"""),"")</f>
        <v/>
      </c>
      <c r="E663" s="3"/>
      <c r="F663" s="3"/>
      <c r="G663" s="3"/>
      <c r="H663" s="3"/>
      <c r="I663" s="3"/>
      <c r="J663" s="3"/>
      <c r="K663" s="3"/>
      <c r="L663" s="3"/>
      <c r="M663" s="3"/>
      <c r="N663" s="3"/>
      <c r="O663" s="3"/>
    </row>
    <row r="664">
      <c r="A664" s="3" t="b">
        <f>IFERROR(__xludf.DUMMYFUNCTION("""COMPUTED_VALUE"""),FALSE)</f>
        <v>0</v>
      </c>
      <c r="B664" s="3" t="str">
        <f>IFERROR(__xludf.DUMMYFUNCTION("""COMPUTED_VALUE"""),"")</f>
        <v/>
      </c>
      <c r="C664" s="3"/>
      <c r="D664" s="3" t="str">
        <f>IFERROR(__xludf.DUMMYFUNCTION("""COMPUTED_VALUE"""),"")</f>
        <v/>
      </c>
      <c r="E664" s="3"/>
      <c r="F664" s="3"/>
      <c r="G664" s="3"/>
      <c r="H664" s="3"/>
      <c r="I664" s="3"/>
      <c r="J664" s="3"/>
      <c r="K664" s="3"/>
      <c r="L664" s="3"/>
      <c r="M664" s="3"/>
      <c r="N664" s="3"/>
      <c r="O664" s="3"/>
    </row>
    <row r="665">
      <c r="A665" s="3" t="b">
        <f>IFERROR(__xludf.DUMMYFUNCTION("""COMPUTED_VALUE"""),FALSE)</f>
        <v>0</v>
      </c>
      <c r="B665" s="3" t="str">
        <f>IFERROR(__xludf.DUMMYFUNCTION("""COMPUTED_VALUE"""),"")</f>
        <v/>
      </c>
      <c r="C665" s="3"/>
      <c r="D665" s="3" t="str">
        <f>IFERROR(__xludf.DUMMYFUNCTION("""COMPUTED_VALUE"""),"")</f>
        <v/>
      </c>
      <c r="E665" s="3"/>
      <c r="F665" s="3"/>
      <c r="G665" s="3"/>
      <c r="H665" s="3"/>
      <c r="I665" s="3"/>
      <c r="J665" s="3"/>
      <c r="K665" s="3"/>
      <c r="L665" s="3"/>
      <c r="M665" s="3"/>
      <c r="N665" s="3"/>
      <c r="O665" s="3"/>
    </row>
    <row r="666">
      <c r="A666" s="3" t="b">
        <f>IFERROR(__xludf.DUMMYFUNCTION("""COMPUTED_VALUE"""),FALSE)</f>
        <v>0</v>
      </c>
      <c r="B666" s="3" t="str">
        <f>IFERROR(__xludf.DUMMYFUNCTION("""COMPUTED_VALUE"""),"")</f>
        <v/>
      </c>
      <c r="C666" s="3"/>
      <c r="D666" s="3" t="str">
        <f>IFERROR(__xludf.DUMMYFUNCTION("""COMPUTED_VALUE"""),"")</f>
        <v/>
      </c>
      <c r="E666" s="3"/>
      <c r="F666" s="3"/>
      <c r="G666" s="3"/>
      <c r="H666" s="3"/>
      <c r="I666" s="3"/>
      <c r="J666" s="3"/>
      <c r="K666" s="3"/>
      <c r="L666" s="3"/>
      <c r="M666" s="3"/>
      <c r="N666" s="3"/>
      <c r="O666" s="3"/>
    </row>
    <row r="667">
      <c r="A667" s="3" t="b">
        <f>IFERROR(__xludf.DUMMYFUNCTION("""COMPUTED_VALUE"""),FALSE)</f>
        <v>0</v>
      </c>
      <c r="B667" s="3" t="str">
        <f>IFERROR(__xludf.DUMMYFUNCTION("""COMPUTED_VALUE"""),"")</f>
        <v/>
      </c>
      <c r="C667" s="3"/>
      <c r="D667" s="3" t="str">
        <f>IFERROR(__xludf.DUMMYFUNCTION("""COMPUTED_VALUE"""),"")</f>
        <v/>
      </c>
      <c r="E667" s="3"/>
      <c r="F667" s="3"/>
      <c r="G667" s="3"/>
      <c r="H667" s="3"/>
      <c r="I667" s="3"/>
      <c r="J667" s="3"/>
      <c r="K667" s="3"/>
      <c r="L667" s="3"/>
      <c r="M667" s="3"/>
      <c r="N667" s="3"/>
      <c r="O667" s="3"/>
    </row>
    <row r="668">
      <c r="A668" s="3" t="b">
        <f>IFERROR(__xludf.DUMMYFUNCTION("""COMPUTED_VALUE"""),FALSE)</f>
        <v>0</v>
      </c>
      <c r="B668" s="3" t="str">
        <f>IFERROR(__xludf.DUMMYFUNCTION("""COMPUTED_VALUE"""),"")</f>
        <v/>
      </c>
      <c r="C668" s="3"/>
      <c r="D668" s="3" t="str">
        <f>IFERROR(__xludf.DUMMYFUNCTION("""COMPUTED_VALUE"""),"")</f>
        <v/>
      </c>
      <c r="E668" s="3"/>
      <c r="F668" s="3"/>
      <c r="G668" s="3"/>
      <c r="H668" s="3"/>
      <c r="I668" s="3"/>
      <c r="J668" s="3"/>
      <c r="K668" s="3"/>
      <c r="L668" s="3"/>
      <c r="M668" s="3"/>
      <c r="N668" s="3"/>
      <c r="O668" s="3"/>
    </row>
    <row r="669">
      <c r="A669" s="3" t="b">
        <f>IFERROR(__xludf.DUMMYFUNCTION("""COMPUTED_VALUE"""),FALSE)</f>
        <v>0</v>
      </c>
      <c r="B669" s="3" t="str">
        <f>IFERROR(__xludf.DUMMYFUNCTION("""COMPUTED_VALUE"""),"")</f>
        <v/>
      </c>
      <c r="C669" s="3"/>
      <c r="D669" s="3" t="str">
        <f>IFERROR(__xludf.DUMMYFUNCTION("""COMPUTED_VALUE"""),"")</f>
        <v/>
      </c>
      <c r="E669" s="3"/>
      <c r="F669" s="3"/>
      <c r="G669" s="3"/>
      <c r="H669" s="3"/>
      <c r="I669" s="3"/>
      <c r="J669" s="3"/>
      <c r="K669" s="3"/>
      <c r="L669" s="3"/>
      <c r="M669" s="3"/>
      <c r="N669" s="3"/>
      <c r="O669" s="3"/>
    </row>
    <row r="670">
      <c r="A670" s="3" t="b">
        <f>IFERROR(__xludf.DUMMYFUNCTION("""COMPUTED_VALUE"""),FALSE)</f>
        <v>0</v>
      </c>
      <c r="B670" s="3" t="str">
        <f>IFERROR(__xludf.DUMMYFUNCTION("""COMPUTED_VALUE"""),"")</f>
        <v/>
      </c>
      <c r="C670" s="3"/>
      <c r="D670" s="3" t="str">
        <f>IFERROR(__xludf.DUMMYFUNCTION("""COMPUTED_VALUE"""),"")</f>
        <v/>
      </c>
      <c r="E670" s="3"/>
      <c r="F670" s="3"/>
      <c r="G670" s="3"/>
      <c r="H670" s="3"/>
      <c r="I670" s="3"/>
      <c r="J670" s="3"/>
      <c r="K670" s="3"/>
      <c r="L670" s="3"/>
      <c r="M670" s="3"/>
      <c r="N670" s="3"/>
      <c r="O670" s="3"/>
    </row>
    <row r="671">
      <c r="A671" s="3" t="b">
        <f>IFERROR(__xludf.DUMMYFUNCTION("""COMPUTED_VALUE"""),FALSE)</f>
        <v>0</v>
      </c>
      <c r="B671" s="3" t="str">
        <f>IFERROR(__xludf.DUMMYFUNCTION("""COMPUTED_VALUE"""),"")</f>
        <v/>
      </c>
      <c r="C671" s="3"/>
      <c r="D671" s="3" t="str">
        <f>IFERROR(__xludf.DUMMYFUNCTION("""COMPUTED_VALUE"""),"")</f>
        <v/>
      </c>
      <c r="E671" s="3"/>
      <c r="F671" s="3"/>
      <c r="G671" s="3"/>
      <c r="H671" s="3"/>
      <c r="I671" s="3"/>
      <c r="J671" s="3"/>
      <c r="K671" s="3"/>
      <c r="L671" s="3"/>
      <c r="M671" s="3"/>
      <c r="N671" s="3"/>
      <c r="O671" s="3"/>
    </row>
    <row r="672">
      <c r="A672" s="3" t="b">
        <f>IFERROR(__xludf.DUMMYFUNCTION("""COMPUTED_VALUE"""),FALSE)</f>
        <v>0</v>
      </c>
      <c r="B672" s="3" t="str">
        <f>IFERROR(__xludf.DUMMYFUNCTION("""COMPUTED_VALUE"""),"")</f>
        <v/>
      </c>
      <c r="C672" s="3"/>
      <c r="D672" s="3" t="str">
        <f>IFERROR(__xludf.DUMMYFUNCTION("""COMPUTED_VALUE"""),"")</f>
        <v/>
      </c>
      <c r="E672" s="3"/>
      <c r="F672" s="3"/>
      <c r="G672" s="3"/>
      <c r="H672" s="3"/>
      <c r="I672" s="3"/>
      <c r="J672" s="3"/>
      <c r="K672" s="3"/>
      <c r="L672" s="3"/>
      <c r="M672" s="3"/>
      <c r="N672" s="3"/>
      <c r="O672" s="3"/>
    </row>
    <row r="673">
      <c r="A673" s="3" t="b">
        <f>IFERROR(__xludf.DUMMYFUNCTION("""COMPUTED_VALUE"""),FALSE)</f>
        <v>0</v>
      </c>
      <c r="B673" s="3" t="str">
        <f>IFERROR(__xludf.DUMMYFUNCTION("""COMPUTED_VALUE"""),"")</f>
        <v/>
      </c>
      <c r="C673" s="3"/>
      <c r="D673" s="3" t="str">
        <f>IFERROR(__xludf.DUMMYFUNCTION("""COMPUTED_VALUE"""),"")</f>
        <v/>
      </c>
      <c r="E673" s="3"/>
      <c r="F673" s="3"/>
      <c r="G673" s="3"/>
      <c r="H673" s="3"/>
      <c r="I673" s="3"/>
      <c r="J673" s="3"/>
      <c r="K673" s="3"/>
      <c r="L673" s="3"/>
      <c r="M673" s="3"/>
      <c r="N673" s="3"/>
      <c r="O673" s="3"/>
    </row>
    <row r="674">
      <c r="A674" s="3" t="b">
        <f>IFERROR(__xludf.DUMMYFUNCTION("""COMPUTED_VALUE"""),FALSE)</f>
        <v>0</v>
      </c>
      <c r="B674" s="3" t="str">
        <f>IFERROR(__xludf.DUMMYFUNCTION("""COMPUTED_VALUE"""),"")</f>
        <v/>
      </c>
      <c r="C674" s="3"/>
      <c r="D674" s="3" t="str">
        <f>IFERROR(__xludf.DUMMYFUNCTION("""COMPUTED_VALUE"""),"")</f>
        <v/>
      </c>
      <c r="E674" s="3"/>
      <c r="F674" s="3"/>
      <c r="G674" s="3"/>
      <c r="H674" s="3"/>
      <c r="I674" s="3"/>
      <c r="J674" s="3"/>
      <c r="K674" s="3"/>
      <c r="L674" s="3"/>
      <c r="M674" s="3"/>
      <c r="N674" s="3"/>
      <c r="O674" s="3"/>
    </row>
    <row r="675">
      <c r="A675" s="3" t="b">
        <f>IFERROR(__xludf.DUMMYFUNCTION("""COMPUTED_VALUE"""),FALSE)</f>
        <v>0</v>
      </c>
      <c r="B675" s="3" t="str">
        <f>IFERROR(__xludf.DUMMYFUNCTION("""COMPUTED_VALUE"""),"")</f>
        <v/>
      </c>
      <c r="C675" s="3"/>
      <c r="D675" s="3" t="str">
        <f>IFERROR(__xludf.DUMMYFUNCTION("""COMPUTED_VALUE"""),"")</f>
        <v/>
      </c>
      <c r="E675" s="3"/>
      <c r="F675" s="3"/>
      <c r="G675" s="3"/>
      <c r="H675" s="3"/>
      <c r="I675" s="3"/>
      <c r="J675" s="3"/>
      <c r="K675" s="3"/>
      <c r="L675" s="3"/>
      <c r="M675" s="3"/>
      <c r="N675" s="3"/>
      <c r="O675" s="3"/>
    </row>
    <row r="676">
      <c r="A676" s="3" t="b">
        <f>IFERROR(__xludf.DUMMYFUNCTION("""COMPUTED_VALUE"""),FALSE)</f>
        <v>0</v>
      </c>
      <c r="B676" s="3" t="str">
        <f>IFERROR(__xludf.DUMMYFUNCTION("""COMPUTED_VALUE"""),"")</f>
        <v/>
      </c>
      <c r="C676" s="3"/>
      <c r="D676" s="3" t="str">
        <f>IFERROR(__xludf.DUMMYFUNCTION("""COMPUTED_VALUE"""),"")</f>
        <v/>
      </c>
      <c r="E676" s="3"/>
      <c r="F676" s="3"/>
      <c r="G676" s="3"/>
      <c r="H676" s="3"/>
      <c r="I676" s="3"/>
      <c r="J676" s="3"/>
      <c r="K676" s="3"/>
      <c r="L676" s="3"/>
      <c r="M676" s="3"/>
      <c r="N676" s="3"/>
      <c r="O676" s="3"/>
    </row>
    <row r="677">
      <c r="A677" s="3" t="b">
        <f>IFERROR(__xludf.DUMMYFUNCTION("""COMPUTED_VALUE"""),FALSE)</f>
        <v>0</v>
      </c>
      <c r="B677" s="3" t="str">
        <f>IFERROR(__xludf.DUMMYFUNCTION("""COMPUTED_VALUE"""),"")</f>
        <v/>
      </c>
      <c r="C677" s="3"/>
      <c r="D677" s="3" t="str">
        <f>IFERROR(__xludf.DUMMYFUNCTION("""COMPUTED_VALUE"""),"")</f>
        <v/>
      </c>
      <c r="E677" s="3"/>
      <c r="F677" s="3"/>
      <c r="G677" s="3"/>
      <c r="H677" s="3"/>
      <c r="I677" s="3"/>
      <c r="J677" s="3"/>
      <c r="K677" s="3"/>
      <c r="L677" s="3"/>
      <c r="M677" s="3"/>
      <c r="N677" s="3"/>
      <c r="O677" s="3"/>
    </row>
    <row r="678">
      <c r="A678" s="3" t="b">
        <f>IFERROR(__xludf.DUMMYFUNCTION("""COMPUTED_VALUE"""),FALSE)</f>
        <v>0</v>
      </c>
      <c r="B678" s="3" t="str">
        <f>IFERROR(__xludf.DUMMYFUNCTION("""COMPUTED_VALUE"""),"")</f>
        <v/>
      </c>
      <c r="C678" s="3"/>
      <c r="D678" s="3" t="str">
        <f>IFERROR(__xludf.DUMMYFUNCTION("""COMPUTED_VALUE"""),"")</f>
        <v/>
      </c>
      <c r="E678" s="3"/>
      <c r="F678" s="3"/>
      <c r="G678" s="3"/>
      <c r="H678" s="3"/>
      <c r="I678" s="3"/>
      <c r="J678" s="3"/>
      <c r="K678" s="3"/>
      <c r="L678" s="3"/>
      <c r="M678" s="3"/>
      <c r="N678" s="3"/>
      <c r="O678" s="3"/>
    </row>
    <row r="679">
      <c r="A679" s="3" t="b">
        <f>IFERROR(__xludf.DUMMYFUNCTION("""COMPUTED_VALUE"""),FALSE)</f>
        <v>0</v>
      </c>
      <c r="B679" s="3" t="str">
        <f>IFERROR(__xludf.DUMMYFUNCTION("""COMPUTED_VALUE"""),"")</f>
        <v/>
      </c>
      <c r="C679" s="3"/>
      <c r="D679" s="3" t="str">
        <f>IFERROR(__xludf.DUMMYFUNCTION("""COMPUTED_VALUE"""),"")</f>
        <v/>
      </c>
      <c r="E679" s="3"/>
      <c r="F679" s="3"/>
      <c r="G679" s="3"/>
      <c r="H679" s="3"/>
      <c r="I679" s="3"/>
      <c r="J679" s="3"/>
      <c r="K679" s="3"/>
      <c r="L679" s="3"/>
      <c r="M679" s="3"/>
      <c r="N679" s="3"/>
      <c r="O679" s="3"/>
    </row>
    <row r="680">
      <c r="A680" s="3" t="b">
        <f>IFERROR(__xludf.DUMMYFUNCTION("""COMPUTED_VALUE"""),FALSE)</f>
        <v>0</v>
      </c>
      <c r="B680" s="3" t="str">
        <f>IFERROR(__xludf.DUMMYFUNCTION("""COMPUTED_VALUE"""),"")</f>
        <v/>
      </c>
      <c r="C680" s="3"/>
      <c r="D680" s="3" t="str">
        <f>IFERROR(__xludf.DUMMYFUNCTION("""COMPUTED_VALUE"""),"")</f>
        <v/>
      </c>
      <c r="E680" s="3"/>
      <c r="F680" s="3"/>
      <c r="G680" s="3"/>
      <c r="H680" s="3"/>
      <c r="I680" s="3"/>
      <c r="J680" s="3"/>
      <c r="K680" s="3"/>
      <c r="L680" s="3"/>
      <c r="M680" s="3"/>
      <c r="N680" s="3"/>
      <c r="O680" s="3"/>
    </row>
    <row r="681">
      <c r="A681" s="3" t="b">
        <f>IFERROR(__xludf.DUMMYFUNCTION("""COMPUTED_VALUE"""),FALSE)</f>
        <v>0</v>
      </c>
      <c r="B681" s="3" t="str">
        <f>IFERROR(__xludf.DUMMYFUNCTION("""COMPUTED_VALUE"""),"")</f>
        <v/>
      </c>
      <c r="C681" s="3"/>
      <c r="D681" s="3" t="str">
        <f>IFERROR(__xludf.DUMMYFUNCTION("""COMPUTED_VALUE"""),"")</f>
        <v/>
      </c>
      <c r="E681" s="3"/>
      <c r="F681" s="3"/>
      <c r="G681" s="3"/>
      <c r="H681" s="3"/>
      <c r="I681" s="3"/>
      <c r="J681" s="3"/>
      <c r="K681" s="3"/>
      <c r="L681" s="3"/>
      <c r="M681" s="3"/>
      <c r="N681" s="3"/>
      <c r="O681" s="3"/>
    </row>
    <row r="682">
      <c r="A682" s="3" t="b">
        <f>IFERROR(__xludf.DUMMYFUNCTION("""COMPUTED_VALUE"""),FALSE)</f>
        <v>0</v>
      </c>
      <c r="B682" s="3" t="str">
        <f>IFERROR(__xludf.DUMMYFUNCTION("""COMPUTED_VALUE"""),"")</f>
        <v/>
      </c>
      <c r="C682" s="3"/>
      <c r="D682" s="3" t="str">
        <f>IFERROR(__xludf.DUMMYFUNCTION("""COMPUTED_VALUE"""),"")</f>
        <v/>
      </c>
      <c r="E682" s="3"/>
      <c r="F682" s="3"/>
      <c r="G682" s="3"/>
      <c r="H682" s="3"/>
      <c r="I682" s="3"/>
      <c r="J682" s="3"/>
      <c r="K682" s="3"/>
      <c r="L682" s="3"/>
      <c r="M682" s="3"/>
      <c r="N682" s="3"/>
      <c r="O682" s="3"/>
    </row>
    <row r="683">
      <c r="A683" s="3" t="b">
        <f>IFERROR(__xludf.DUMMYFUNCTION("""COMPUTED_VALUE"""),FALSE)</f>
        <v>0</v>
      </c>
      <c r="B683" s="3" t="str">
        <f>IFERROR(__xludf.DUMMYFUNCTION("""COMPUTED_VALUE"""),"")</f>
        <v/>
      </c>
      <c r="C683" s="3"/>
      <c r="D683" s="3" t="str">
        <f>IFERROR(__xludf.DUMMYFUNCTION("""COMPUTED_VALUE"""),"")</f>
        <v/>
      </c>
      <c r="E683" s="3"/>
      <c r="F683" s="3"/>
      <c r="G683" s="3"/>
      <c r="H683" s="3"/>
      <c r="I683" s="3"/>
      <c r="J683" s="3"/>
      <c r="K683" s="3"/>
      <c r="L683" s="3"/>
      <c r="M683" s="3"/>
      <c r="N683" s="3"/>
      <c r="O683" s="3"/>
    </row>
    <row r="684">
      <c r="A684" s="3" t="b">
        <f>IFERROR(__xludf.DUMMYFUNCTION("""COMPUTED_VALUE"""),FALSE)</f>
        <v>0</v>
      </c>
      <c r="B684" s="3" t="str">
        <f>IFERROR(__xludf.DUMMYFUNCTION("""COMPUTED_VALUE"""),"")</f>
        <v/>
      </c>
      <c r="C684" s="3"/>
      <c r="D684" s="3" t="str">
        <f>IFERROR(__xludf.DUMMYFUNCTION("""COMPUTED_VALUE"""),"")</f>
        <v/>
      </c>
      <c r="E684" s="3"/>
      <c r="F684" s="3"/>
      <c r="G684" s="3"/>
      <c r="H684" s="3"/>
      <c r="I684" s="3"/>
      <c r="J684" s="3"/>
      <c r="K684" s="3"/>
      <c r="L684" s="3"/>
      <c r="M684" s="3"/>
      <c r="N684" s="3"/>
      <c r="O684" s="3"/>
    </row>
    <row r="685">
      <c r="A685" s="3" t="b">
        <f>IFERROR(__xludf.DUMMYFUNCTION("""COMPUTED_VALUE"""),FALSE)</f>
        <v>0</v>
      </c>
      <c r="B685" s="3" t="str">
        <f>IFERROR(__xludf.DUMMYFUNCTION("""COMPUTED_VALUE"""),"")</f>
        <v/>
      </c>
      <c r="C685" s="3"/>
      <c r="D685" s="3" t="str">
        <f>IFERROR(__xludf.DUMMYFUNCTION("""COMPUTED_VALUE"""),"")</f>
        <v/>
      </c>
      <c r="E685" s="3"/>
      <c r="F685" s="3"/>
      <c r="G685" s="3"/>
      <c r="H685" s="3"/>
      <c r="I685" s="3"/>
      <c r="J685" s="3"/>
      <c r="K685" s="3"/>
      <c r="L685" s="3"/>
      <c r="M685" s="3"/>
      <c r="N685" s="3"/>
      <c r="O685" s="3"/>
    </row>
    <row r="686">
      <c r="A686" s="3" t="b">
        <f>IFERROR(__xludf.DUMMYFUNCTION("""COMPUTED_VALUE"""),FALSE)</f>
        <v>0</v>
      </c>
      <c r="B686" s="3" t="str">
        <f>IFERROR(__xludf.DUMMYFUNCTION("""COMPUTED_VALUE"""),"")</f>
        <v/>
      </c>
      <c r="C686" s="3"/>
      <c r="D686" s="3" t="str">
        <f>IFERROR(__xludf.DUMMYFUNCTION("""COMPUTED_VALUE"""),"")</f>
        <v/>
      </c>
      <c r="E686" s="3"/>
      <c r="F686" s="3"/>
      <c r="G686" s="3"/>
      <c r="H686" s="3"/>
      <c r="I686" s="3"/>
      <c r="J686" s="3"/>
      <c r="K686" s="3"/>
      <c r="L686" s="3"/>
      <c r="M686" s="3"/>
      <c r="N686" s="3"/>
      <c r="O686" s="3"/>
    </row>
    <row r="687">
      <c r="A687" s="3" t="b">
        <f>IFERROR(__xludf.DUMMYFUNCTION("""COMPUTED_VALUE"""),FALSE)</f>
        <v>0</v>
      </c>
      <c r="B687" s="3" t="str">
        <f>IFERROR(__xludf.DUMMYFUNCTION("""COMPUTED_VALUE"""),"")</f>
        <v/>
      </c>
      <c r="C687" s="3"/>
      <c r="D687" s="3" t="str">
        <f>IFERROR(__xludf.DUMMYFUNCTION("""COMPUTED_VALUE"""),"")</f>
        <v/>
      </c>
      <c r="E687" s="3"/>
      <c r="F687" s="3"/>
      <c r="G687" s="3"/>
      <c r="H687" s="3"/>
      <c r="I687" s="3"/>
      <c r="J687" s="3"/>
      <c r="K687" s="3"/>
      <c r="L687" s="3"/>
      <c r="M687" s="3"/>
      <c r="N687" s="3"/>
      <c r="O687" s="3"/>
    </row>
    <row r="688">
      <c r="A688" s="3" t="b">
        <f>IFERROR(__xludf.DUMMYFUNCTION("""COMPUTED_VALUE"""),FALSE)</f>
        <v>0</v>
      </c>
      <c r="B688" s="3" t="str">
        <f>IFERROR(__xludf.DUMMYFUNCTION("""COMPUTED_VALUE"""),"")</f>
        <v/>
      </c>
      <c r="C688" s="3"/>
      <c r="D688" s="3" t="str">
        <f>IFERROR(__xludf.DUMMYFUNCTION("""COMPUTED_VALUE"""),"")</f>
        <v/>
      </c>
      <c r="E688" s="3"/>
      <c r="F688" s="3"/>
      <c r="G688" s="3"/>
      <c r="H688" s="3"/>
      <c r="I688" s="3"/>
      <c r="J688" s="3"/>
      <c r="K688" s="3"/>
      <c r="L688" s="3"/>
      <c r="M688" s="3"/>
      <c r="N688" s="3"/>
      <c r="O688" s="3"/>
    </row>
    <row r="689">
      <c r="A689" s="3" t="b">
        <f>IFERROR(__xludf.DUMMYFUNCTION("""COMPUTED_VALUE"""),FALSE)</f>
        <v>0</v>
      </c>
      <c r="B689" s="3" t="str">
        <f>IFERROR(__xludf.DUMMYFUNCTION("""COMPUTED_VALUE"""),"")</f>
        <v/>
      </c>
      <c r="C689" s="3"/>
      <c r="D689" s="3" t="str">
        <f>IFERROR(__xludf.DUMMYFUNCTION("""COMPUTED_VALUE"""),"")</f>
        <v/>
      </c>
      <c r="E689" s="3"/>
      <c r="F689" s="3"/>
      <c r="G689" s="3"/>
      <c r="H689" s="3"/>
      <c r="I689" s="3"/>
      <c r="J689" s="3"/>
      <c r="K689" s="3"/>
      <c r="L689" s="3"/>
      <c r="M689" s="3"/>
      <c r="N689" s="3"/>
      <c r="O689" s="3"/>
    </row>
    <row r="690">
      <c r="A690" s="3" t="b">
        <f>IFERROR(__xludf.DUMMYFUNCTION("""COMPUTED_VALUE"""),FALSE)</f>
        <v>0</v>
      </c>
      <c r="B690" s="3" t="str">
        <f>IFERROR(__xludf.DUMMYFUNCTION("""COMPUTED_VALUE"""),"")</f>
        <v/>
      </c>
      <c r="C690" s="3"/>
      <c r="D690" s="3" t="str">
        <f>IFERROR(__xludf.DUMMYFUNCTION("""COMPUTED_VALUE"""),"")</f>
        <v/>
      </c>
      <c r="E690" s="3"/>
      <c r="F690" s="3"/>
      <c r="G690" s="3"/>
      <c r="H690" s="3"/>
      <c r="I690" s="3"/>
      <c r="J690" s="3"/>
      <c r="K690" s="3"/>
      <c r="L690" s="3"/>
      <c r="M690" s="3"/>
      <c r="N690" s="3"/>
      <c r="O690" s="3"/>
    </row>
    <row r="691">
      <c r="A691" s="3" t="b">
        <f>IFERROR(__xludf.DUMMYFUNCTION("""COMPUTED_VALUE"""),FALSE)</f>
        <v>0</v>
      </c>
      <c r="B691" s="3" t="str">
        <f>IFERROR(__xludf.DUMMYFUNCTION("""COMPUTED_VALUE"""),"")</f>
        <v/>
      </c>
      <c r="C691" s="3"/>
      <c r="D691" s="3" t="str">
        <f>IFERROR(__xludf.DUMMYFUNCTION("""COMPUTED_VALUE"""),"")</f>
        <v/>
      </c>
      <c r="E691" s="3"/>
      <c r="F691" s="3"/>
      <c r="G691" s="3"/>
      <c r="H691" s="3"/>
      <c r="I691" s="3"/>
      <c r="J691" s="3"/>
      <c r="K691" s="3"/>
      <c r="L691" s="3"/>
      <c r="M691" s="3"/>
      <c r="N691" s="3"/>
      <c r="O691" s="3"/>
    </row>
    <row r="692">
      <c r="A692" s="3" t="b">
        <f>IFERROR(__xludf.DUMMYFUNCTION("""COMPUTED_VALUE"""),FALSE)</f>
        <v>0</v>
      </c>
      <c r="B692" s="3" t="str">
        <f>IFERROR(__xludf.DUMMYFUNCTION("""COMPUTED_VALUE"""),"")</f>
        <v/>
      </c>
      <c r="C692" s="3"/>
      <c r="D692" s="3" t="str">
        <f>IFERROR(__xludf.DUMMYFUNCTION("""COMPUTED_VALUE"""),"")</f>
        <v/>
      </c>
      <c r="E692" s="3"/>
      <c r="F692" s="3"/>
      <c r="G692" s="3"/>
      <c r="H692" s="3"/>
      <c r="I692" s="3"/>
      <c r="J692" s="3"/>
      <c r="K692" s="3"/>
      <c r="L692" s="3"/>
      <c r="M692" s="3"/>
      <c r="N692" s="3"/>
      <c r="O692" s="3"/>
    </row>
    <row r="693">
      <c r="A693" s="3" t="b">
        <f>IFERROR(__xludf.DUMMYFUNCTION("""COMPUTED_VALUE"""),FALSE)</f>
        <v>0</v>
      </c>
      <c r="B693" s="3" t="str">
        <f>IFERROR(__xludf.DUMMYFUNCTION("""COMPUTED_VALUE"""),"")</f>
        <v/>
      </c>
      <c r="C693" s="3"/>
      <c r="D693" s="3" t="str">
        <f>IFERROR(__xludf.DUMMYFUNCTION("""COMPUTED_VALUE"""),"")</f>
        <v/>
      </c>
      <c r="E693" s="3"/>
      <c r="F693" s="3"/>
      <c r="G693" s="3"/>
      <c r="H693" s="3"/>
      <c r="I693" s="3"/>
      <c r="J693" s="3"/>
      <c r="K693" s="3"/>
      <c r="L693" s="3"/>
      <c r="M693" s="3"/>
      <c r="N693" s="3"/>
      <c r="O693" s="3"/>
    </row>
    <row r="694">
      <c r="A694" s="3" t="b">
        <f>IFERROR(__xludf.DUMMYFUNCTION("""COMPUTED_VALUE"""),FALSE)</f>
        <v>0</v>
      </c>
      <c r="B694" s="3" t="str">
        <f>IFERROR(__xludf.DUMMYFUNCTION("""COMPUTED_VALUE"""),"")</f>
        <v/>
      </c>
      <c r="C694" s="3"/>
      <c r="D694" s="3" t="str">
        <f>IFERROR(__xludf.DUMMYFUNCTION("""COMPUTED_VALUE"""),"")</f>
        <v/>
      </c>
      <c r="E694" s="3"/>
      <c r="F694" s="3"/>
      <c r="G694" s="3"/>
      <c r="H694" s="3"/>
      <c r="I694" s="3"/>
      <c r="J694" s="3"/>
      <c r="K694" s="3"/>
      <c r="L694" s="3"/>
      <c r="M694" s="3"/>
      <c r="N694" s="3"/>
      <c r="O694" s="3"/>
    </row>
    <row r="695">
      <c r="A695" s="3" t="b">
        <f>IFERROR(__xludf.DUMMYFUNCTION("""COMPUTED_VALUE"""),FALSE)</f>
        <v>0</v>
      </c>
      <c r="B695" s="3" t="str">
        <f>IFERROR(__xludf.DUMMYFUNCTION("""COMPUTED_VALUE"""),"")</f>
        <v/>
      </c>
      <c r="C695" s="3"/>
      <c r="D695" s="3" t="str">
        <f>IFERROR(__xludf.DUMMYFUNCTION("""COMPUTED_VALUE"""),"")</f>
        <v/>
      </c>
      <c r="E695" s="3"/>
      <c r="F695" s="3"/>
      <c r="G695" s="3"/>
      <c r="H695" s="3"/>
      <c r="I695" s="3"/>
      <c r="J695" s="3"/>
      <c r="K695" s="3"/>
      <c r="L695" s="3"/>
      <c r="M695" s="3"/>
      <c r="N695" s="3"/>
      <c r="O695" s="3"/>
    </row>
    <row r="696">
      <c r="A696" s="3" t="b">
        <f>IFERROR(__xludf.DUMMYFUNCTION("""COMPUTED_VALUE"""),FALSE)</f>
        <v>0</v>
      </c>
      <c r="B696" s="3" t="str">
        <f>IFERROR(__xludf.DUMMYFUNCTION("""COMPUTED_VALUE"""),"")</f>
        <v/>
      </c>
      <c r="C696" s="3"/>
      <c r="D696" s="3" t="str">
        <f>IFERROR(__xludf.DUMMYFUNCTION("""COMPUTED_VALUE"""),"")</f>
        <v/>
      </c>
      <c r="E696" s="3"/>
      <c r="F696" s="3"/>
      <c r="G696" s="3"/>
      <c r="H696" s="3"/>
      <c r="I696" s="3"/>
      <c r="J696" s="3"/>
      <c r="K696" s="3"/>
      <c r="L696" s="3"/>
      <c r="M696" s="3"/>
      <c r="N696" s="3"/>
      <c r="O696" s="3"/>
    </row>
    <row r="697">
      <c r="A697" s="3" t="b">
        <f>IFERROR(__xludf.DUMMYFUNCTION("""COMPUTED_VALUE"""),FALSE)</f>
        <v>0</v>
      </c>
      <c r="B697" s="3" t="str">
        <f>IFERROR(__xludf.DUMMYFUNCTION("""COMPUTED_VALUE"""),"")</f>
        <v/>
      </c>
      <c r="C697" s="3"/>
      <c r="D697" s="3" t="str">
        <f>IFERROR(__xludf.DUMMYFUNCTION("""COMPUTED_VALUE"""),"")</f>
        <v/>
      </c>
      <c r="E697" s="3"/>
      <c r="F697" s="3"/>
      <c r="G697" s="3"/>
      <c r="H697" s="3"/>
      <c r="I697" s="3"/>
      <c r="J697" s="3"/>
      <c r="K697" s="3"/>
      <c r="L697" s="3"/>
      <c r="M697" s="3"/>
      <c r="N697" s="3"/>
      <c r="O697" s="3"/>
    </row>
    <row r="698">
      <c r="A698" s="3" t="b">
        <f>IFERROR(__xludf.DUMMYFUNCTION("""COMPUTED_VALUE"""),FALSE)</f>
        <v>0</v>
      </c>
      <c r="B698" s="3" t="str">
        <f>IFERROR(__xludf.DUMMYFUNCTION("""COMPUTED_VALUE"""),"")</f>
        <v/>
      </c>
      <c r="C698" s="3"/>
      <c r="D698" s="3" t="str">
        <f>IFERROR(__xludf.DUMMYFUNCTION("""COMPUTED_VALUE"""),"")</f>
        <v/>
      </c>
      <c r="E698" s="3"/>
      <c r="F698" s="3"/>
      <c r="G698" s="3"/>
      <c r="H698" s="3"/>
      <c r="I698" s="3"/>
      <c r="J698" s="3"/>
      <c r="K698" s="3"/>
      <c r="L698" s="3"/>
      <c r="M698" s="3"/>
      <c r="N698" s="3"/>
      <c r="O698" s="3"/>
    </row>
    <row r="699">
      <c r="A699" s="3" t="b">
        <f>IFERROR(__xludf.DUMMYFUNCTION("""COMPUTED_VALUE"""),FALSE)</f>
        <v>0</v>
      </c>
      <c r="B699" s="3" t="str">
        <f>IFERROR(__xludf.DUMMYFUNCTION("""COMPUTED_VALUE"""),"")</f>
        <v/>
      </c>
      <c r="C699" s="3"/>
      <c r="D699" s="3" t="str">
        <f>IFERROR(__xludf.DUMMYFUNCTION("""COMPUTED_VALUE"""),"")</f>
        <v/>
      </c>
      <c r="E699" s="3"/>
      <c r="F699" s="3"/>
      <c r="G699" s="3"/>
      <c r="H699" s="3"/>
      <c r="I699" s="3"/>
      <c r="J699" s="3"/>
      <c r="K699" s="3"/>
      <c r="L699" s="3"/>
      <c r="M699" s="3"/>
      <c r="N699" s="3"/>
      <c r="O699" s="3"/>
    </row>
    <row r="700">
      <c r="A700" s="3" t="b">
        <f>IFERROR(__xludf.DUMMYFUNCTION("""COMPUTED_VALUE"""),FALSE)</f>
        <v>0</v>
      </c>
      <c r="B700" s="3" t="str">
        <f>IFERROR(__xludf.DUMMYFUNCTION("""COMPUTED_VALUE"""),"")</f>
        <v/>
      </c>
      <c r="C700" s="3"/>
      <c r="D700" s="3" t="str">
        <f>IFERROR(__xludf.DUMMYFUNCTION("""COMPUTED_VALUE"""),"")</f>
        <v/>
      </c>
      <c r="E700" s="3"/>
      <c r="F700" s="3"/>
      <c r="G700" s="3"/>
      <c r="H700" s="3"/>
      <c r="I700" s="3"/>
      <c r="J700" s="3"/>
      <c r="K700" s="3"/>
      <c r="L700" s="3"/>
      <c r="M700" s="3"/>
      <c r="N700" s="3"/>
      <c r="O700" s="3"/>
    </row>
    <row r="701">
      <c r="A701" s="3" t="b">
        <f>IFERROR(__xludf.DUMMYFUNCTION("""COMPUTED_VALUE"""),FALSE)</f>
        <v>0</v>
      </c>
      <c r="B701" s="3" t="str">
        <f>IFERROR(__xludf.DUMMYFUNCTION("""COMPUTED_VALUE"""),"")</f>
        <v/>
      </c>
      <c r="C701" s="3"/>
      <c r="D701" s="3" t="str">
        <f>IFERROR(__xludf.DUMMYFUNCTION("""COMPUTED_VALUE"""),"")</f>
        <v/>
      </c>
      <c r="E701" s="3"/>
      <c r="F701" s="3"/>
      <c r="G701" s="3"/>
      <c r="H701" s="3"/>
      <c r="I701" s="3"/>
      <c r="J701" s="3"/>
      <c r="K701" s="3"/>
      <c r="L701" s="3"/>
      <c r="M701" s="3"/>
      <c r="N701" s="3"/>
      <c r="O701" s="3"/>
    </row>
    <row r="702">
      <c r="A702" s="3" t="b">
        <f>IFERROR(__xludf.DUMMYFUNCTION("""COMPUTED_VALUE"""),FALSE)</f>
        <v>0</v>
      </c>
      <c r="B702" s="3" t="str">
        <f>IFERROR(__xludf.DUMMYFUNCTION("""COMPUTED_VALUE"""),"")</f>
        <v/>
      </c>
      <c r="C702" s="3"/>
      <c r="D702" s="3" t="str">
        <f>IFERROR(__xludf.DUMMYFUNCTION("""COMPUTED_VALUE"""),"")</f>
        <v/>
      </c>
      <c r="E702" s="3"/>
      <c r="F702" s="3"/>
      <c r="G702" s="3"/>
      <c r="H702" s="3"/>
      <c r="I702" s="3"/>
      <c r="J702" s="3"/>
      <c r="K702" s="3"/>
      <c r="L702" s="3"/>
      <c r="M702" s="3"/>
      <c r="N702" s="3"/>
      <c r="O702" s="3"/>
    </row>
    <row r="703">
      <c r="A703" s="3" t="b">
        <f>IFERROR(__xludf.DUMMYFUNCTION("""COMPUTED_VALUE"""),FALSE)</f>
        <v>0</v>
      </c>
      <c r="B703" s="3" t="str">
        <f>IFERROR(__xludf.DUMMYFUNCTION("""COMPUTED_VALUE"""),"")</f>
        <v/>
      </c>
      <c r="C703" s="3"/>
      <c r="D703" s="3" t="str">
        <f>IFERROR(__xludf.DUMMYFUNCTION("""COMPUTED_VALUE"""),"")</f>
        <v/>
      </c>
      <c r="E703" s="3"/>
      <c r="F703" s="3"/>
      <c r="G703" s="3"/>
      <c r="H703" s="3"/>
      <c r="I703" s="3"/>
      <c r="J703" s="3"/>
      <c r="K703" s="3"/>
      <c r="L703" s="3"/>
      <c r="M703" s="3"/>
      <c r="N703" s="3"/>
      <c r="O703" s="3"/>
    </row>
    <row r="704">
      <c r="A704" s="3" t="b">
        <f>IFERROR(__xludf.DUMMYFUNCTION("""COMPUTED_VALUE"""),FALSE)</f>
        <v>0</v>
      </c>
      <c r="B704" s="3" t="str">
        <f>IFERROR(__xludf.DUMMYFUNCTION("""COMPUTED_VALUE"""),"")</f>
        <v/>
      </c>
      <c r="C704" s="3"/>
      <c r="D704" s="3" t="str">
        <f>IFERROR(__xludf.DUMMYFUNCTION("""COMPUTED_VALUE"""),"")</f>
        <v/>
      </c>
      <c r="E704" s="3"/>
      <c r="F704" s="3"/>
      <c r="G704" s="3"/>
      <c r="H704" s="3"/>
      <c r="I704" s="3"/>
      <c r="J704" s="3"/>
      <c r="K704" s="3"/>
      <c r="L704" s="3"/>
      <c r="M704" s="3"/>
      <c r="N704" s="3"/>
      <c r="O704" s="3"/>
    </row>
    <row r="705">
      <c r="A705" s="3" t="b">
        <f>IFERROR(__xludf.DUMMYFUNCTION("""COMPUTED_VALUE"""),FALSE)</f>
        <v>0</v>
      </c>
      <c r="B705" s="3" t="str">
        <f>IFERROR(__xludf.DUMMYFUNCTION("""COMPUTED_VALUE"""),"")</f>
        <v/>
      </c>
      <c r="C705" s="3"/>
      <c r="D705" s="3" t="str">
        <f>IFERROR(__xludf.DUMMYFUNCTION("""COMPUTED_VALUE"""),"")</f>
        <v/>
      </c>
      <c r="E705" s="3"/>
      <c r="F705" s="3"/>
      <c r="G705" s="3"/>
      <c r="H705" s="3"/>
      <c r="I705" s="3"/>
      <c r="J705" s="3"/>
      <c r="K705" s="3"/>
      <c r="L705" s="3"/>
      <c r="M705" s="3"/>
      <c r="N705" s="3"/>
      <c r="O705" s="3"/>
    </row>
    <row r="706">
      <c r="A706" s="3" t="b">
        <f>IFERROR(__xludf.DUMMYFUNCTION("""COMPUTED_VALUE"""),FALSE)</f>
        <v>0</v>
      </c>
      <c r="B706" s="3" t="str">
        <f>IFERROR(__xludf.DUMMYFUNCTION("""COMPUTED_VALUE"""),"")</f>
        <v/>
      </c>
      <c r="C706" s="3"/>
      <c r="D706" s="3" t="str">
        <f>IFERROR(__xludf.DUMMYFUNCTION("""COMPUTED_VALUE"""),"")</f>
        <v/>
      </c>
      <c r="E706" s="3"/>
      <c r="F706" s="3"/>
      <c r="G706" s="3"/>
      <c r="H706" s="3"/>
      <c r="I706" s="3"/>
      <c r="J706" s="3"/>
      <c r="K706" s="3"/>
      <c r="L706" s="3"/>
      <c r="M706" s="3"/>
      <c r="N706" s="3"/>
      <c r="O706" s="3"/>
    </row>
    <row r="707">
      <c r="A707" s="3" t="b">
        <f>IFERROR(__xludf.DUMMYFUNCTION("""COMPUTED_VALUE"""),FALSE)</f>
        <v>0</v>
      </c>
      <c r="B707" s="3" t="str">
        <f>IFERROR(__xludf.DUMMYFUNCTION("""COMPUTED_VALUE"""),"")</f>
        <v/>
      </c>
      <c r="C707" s="3"/>
      <c r="D707" s="3" t="str">
        <f>IFERROR(__xludf.DUMMYFUNCTION("""COMPUTED_VALUE"""),"")</f>
        <v/>
      </c>
      <c r="E707" s="3"/>
      <c r="F707" s="3"/>
      <c r="G707" s="3"/>
      <c r="H707" s="3"/>
      <c r="I707" s="3"/>
      <c r="J707" s="3"/>
      <c r="K707" s="3"/>
      <c r="L707" s="3"/>
      <c r="M707" s="3"/>
      <c r="N707" s="3"/>
      <c r="O707" s="3"/>
    </row>
    <row r="708">
      <c r="A708" s="3" t="b">
        <f>IFERROR(__xludf.DUMMYFUNCTION("""COMPUTED_VALUE"""),FALSE)</f>
        <v>0</v>
      </c>
      <c r="B708" s="3" t="str">
        <f>IFERROR(__xludf.DUMMYFUNCTION("""COMPUTED_VALUE"""),"")</f>
        <v/>
      </c>
      <c r="C708" s="3"/>
      <c r="D708" s="3" t="str">
        <f>IFERROR(__xludf.DUMMYFUNCTION("""COMPUTED_VALUE"""),"")</f>
        <v/>
      </c>
      <c r="E708" s="3"/>
      <c r="F708" s="3"/>
      <c r="G708" s="3"/>
      <c r="H708" s="3"/>
      <c r="I708" s="3"/>
      <c r="J708" s="3"/>
      <c r="K708" s="3"/>
      <c r="L708" s="3"/>
      <c r="M708" s="3"/>
      <c r="N708" s="3"/>
      <c r="O708" s="3"/>
    </row>
    <row r="709">
      <c r="A709" s="3" t="b">
        <f>IFERROR(__xludf.DUMMYFUNCTION("""COMPUTED_VALUE"""),FALSE)</f>
        <v>0</v>
      </c>
      <c r="B709" s="3" t="str">
        <f>IFERROR(__xludf.DUMMYFUNCTION("""COMPUTED_VALUE"""),"")</f>
        <v/>
      </c>
      <c r="C709" s="3"/>
      <c r="D709" s="3" t="str">
        <f>IFERROR(__xludf.DUMMYFUNCTION("""COMPUTED_VALUE"""),"")</f>
        <v/>
      </c>
      <c r="E709" s="3"/>
      <c r="F709" s="3"/>
      <c r="G709" s="3"/>
      <c r="H709" s="3"/>
      <c r="I709" s="3"/>
      <c r="J709" s="3"/>
      <c r="K709" s="3"/>
      <c r="L709" s="3"/>
      <c r="M709" s="3"/>
      <c r="N709" s="3"/>
      <c r="O709" s="3"/>
    </row>
    <row r="710">
      <c r="A710" s="3" t="b">
        <f>IFERROR(__xludf.DUMMYFUNCTION("""COMPUTED_VALUE"""),FALSE)</f>
        <v>0</v>
      </c>
      <c r="B710" s="3" t="str">
        <f>IFERROR(__xludf.DUMMYFUNCTION("""COMPUTED_VALUE"""),"")</f>
        <v/>
      </c>
      <c r="C710" s="3"/>
      <c r="D710" s="3" t="str">
        <f>IFERROR(__xludf.DUMMYFUNCTION("""COMPUTED_VALUE"""),"")</f>
        <v/>
      </c>
      <c r="E710" s="3"/>
      <c r="F710" s="3"/>
      <c r="G710" s="3"/>
      <c r="H710" s="3"/>
      <c r="I710" s="3"/>
      <c r="J710" s="3"/>
      <c r="K710" s="3"/>
      <c r="L710" s="3"/>
      <c r="M710" s="3"/>
      <c r="N710" s="3"/>
      <c r="O710" s="3"/>
    </row>
    <row r="711">
      <c r="A711" s="3" t="b">
        <f>IFERROR(__xludf.DUMMYFUNCTION("""COMPUTED_VALUE"""),FALSE)</f>
        <v>0</v>
      </c>
      <c r="B711" s="3" t="str">
        <f>IFERROR(__xludf.DUMMYFUNCTION("""COMPUTED_VALUE"""),"")</f>
        <v/>
      </c>
      <c r="C711" s="3"/>
      <c r="D711" s="3" t="str">
        <f>IFERROR(__xludf.DUMMYFUNCTION("""COMPUTED_VALUE"""),"")</f>
        <v/>
      </c>
      <c r="E711" s="3"/>
      <c r="F711" s="3"/>
      <c r="G711" s="3"/>
      <c r="H711" s="3"/>
      <c r="I711" s="3"/>
      <c r="J711" s="3"/>
      <c r="K711" s="3"/>
      <c r="L711" s="3"/>
      <c r="M711" s="3"/>
      <c r="N711" s="3"/>
      <c r="O711" s="3"/>
    </row>
    <row r="712">
      <c r="A712" s="3" t="b">
        <f>IFERROR(__xludf.DUMMYFUNCTION("""COMPUTED_VALUE"""),FALSE)</f>
        <v>0</v>
      </c>
      <c r="B712" s="3" t="str">
        <f>IFERROR(__xludf.DUMMYFUNCTION("""COMPUTED_VALUE"""),"")</f>
        <v/>
      </c>
      <c r="C712" s="3"/>
      <c r="D712" s="3" t="str">
        <f>IFERROR(__xludf.DUMMYFUNCTION("""COMPUTED_VALUE"""),"")</f>
        <v/>
      </c>
      <c r="E712" s="3"/>
      <c r="F712" s="3"/>
      <c r="G712" s="3"/>
      <c r="H712" s="3"/>
      <c r="I712" s="3"/>
      <c r="J712" s="3"/>
      <c r="K712" s="3"/>
      <c r="L712" s="3"/>
      <c r="M712" s="3"/>
      <c r="N712" s="3"/>
      <c r="O712" s="3"/>
    </row>
    <row r="713">
      <c r="A713" s="3" t="b">
        <f>IFERROR(__xludf.DUMMYFUNCTION("""COMPUTED_VALUE"""),FALSE)</f>
        <v>0</v>
      </c>
      <c r="B713" s="3" t="str">
        <f>IFERROR(__xludf.DUMMYFUNCTION("""COMPUTED_VALUE"""),"")</f>
        <v/>
      </c>
      <c r="C713" s="3"/>
      <c r="D713" s="3" t="str">
        <f>IFERROR(__xludf.DUMMYFUNCTION("""COMPUTED_VALUE"""),"")</f>
        <v/>
      </c>
      <c r="E713" s="3"/>
      <c r="F713" s="3"/>
      <c r="G713" s="3"/>
      <c r="H713" s="3"/>
      <c r="I713" s="3"/>
      <c r="J713" s="3"/>
      <c r="K713" s="3"/>
      <c r="L713" s="3"/>
      <c r="M713" s="3"/>
      <c r="N713" s="3"/>
      <c r="O713" s="3"/>
    </row>
    <row r="714">
      <c r="A714" s="3" t="b">
        <f>IFERROR(__xludf.DUMMYFUNCTION("""COMPUTED_VALUE"""),FALSE)</f>
        <v>0</v>
      </c>
      <c r="B714" s="3" t="str">
        <f>IFERROR(__xludf.DUMMYFUNCTION("""COMPUTED_VALUE"""),"")</f>
        <v/>
      </c>
      <c r="C714" s="3"/>
      <c r="D714" s="3" t="str">
        <f>IFERROR(__xludf.DUMMYFUNCTION("""COMPUTED_VALUE"""),"")</f>
        <v/>
      </c>
      <c r="E714" s="3"/>
      <c r="F714" s="3"/>
      <c r="G714" s="3"/>
      <c r="H714" s="3"/>
      <c r="I714" s="3"/>
      <c r="J714" s="3"/>
      <c r="K714" s="3"/>
      <c r="L714" s="3"/>
      <c r="M714" s="3"/>
      <c r="N714" s="3"/>
      <c r="O714" s="3"/>
    </row>
    <row r="715">
      <c r="A715" s="3" t="b">
        <f>IFERROR(__xludf.DUMMYFUNCTION("""COMPUTED_VALUE"""),FALSE)</f>
        <v>0</v>
      </c>
      <c r="B715" s="3" t="str">
        <f>IFERROR(__xludf.DUMMYFUNCTION("""COMPUTED_VALUE"""),"")</f>
        <v/>
      </c>
      <c r="C715" s="3"/>
      <c r="D715" s="3" t="str">
        <f>IFERROR(__xludf.DUMMYFUNCTION("""COMPUTED_VALUE"""),"")</f>
        <v/>
      </c>
      <c r="E715" s="3"/>
      <c r="F715" s="3"/>
      <c r="G715" s="3"/>
      <c r="H715" s="3"/>
      <c r="I715" s="3"/>
      <c r="J715" s="3"/>
      <c r="K715" s="3"/>
      <c r="L715" s="3"/>
      <c r="M715" s="3"/>
      <c r="N715" s="3"/>
      <c r="O715" s="3"/>
    </row>
    <row r="716">
      <c r="A716" s="3" t="b">
        <f>IFERROR(__xludf.DUMMYFUNCTION("""COMPUTED_VALUE"""),FALSE)</f>
        <v>0</v>
      </c>
      <c r="B716" s="3" t="str">
        <f>IFERROR(__xludf.DUMMYFUNCTION("""COMPUTED_VALUE"""),"")</f>
        <v/>
      </c>
      <c r="C716" s="3"/>
      <c r="D716" s="3" t="str">
        <f>IFERROR(__xludf.DUMMYFUNCTION("""COMPUTED_VALUE"""),"")</f>
        <v/>
      </c>
      <c r="E716" s="3"/>
      <c r="F716" s="3"/>
      <c r="G716" s="3"/>
      <c r="H716" s="3"/>
      <c r="I716" s="3"/>
      <c r="J716" s="3"/>
      <c r="K716" s="3"/>
      <c r="L716" s="3"/>
      <c r="M716" s="3"/>
      <c r="N716" s="3"/>
      <c r="O716" s="3"/>
    </row>
    <row r="717">
      <c r="A717" s="3" t="b">
        <f>IFERROR(__xludf.DUMMYFUNCTION("""COMPUTED_VALUE"""),FALSE)</f>
        <v>0</v>
      </c>
      <c r="B717" s="3" t="str">
        <f>IFERROR(__xludf.DUMMYFUNCTION("""COMPUTED_VALUE"""),"")</f>
        <v/>
      </c>
      <c r="C717" s="3"/>
      <c r="D717" s="3" t="str">
        <f>IFERROR(__xludf.DUMMYFUNCTION("""COMPUTED_VALUE"""),"")</f>
        <v/>
      </c>
      <c r="E717" s="3"/>
      <c r="F717" s="3"/>
      <c r="G717" s="3"/>
      <c r="H717" s="3"/>
      <c r="I717" s="3"/>
      <c r="J717" s="3"/>
      <c r="K717" s="3"/>
      <c r="L717" s="3"/>
      <c r="M717" s="3"/>
      <c r="N717" s="3"/>
      <c r="O717" s="3"/>
    </row>
    <row r="718">
      <c r="A718" s="3" t="b">
        <f>IFERROR(__xludf.DUMMYFUNCTION("""COMPUTED_VALUE"""),FALSE)</f>
        <v>0</v>
      </c>
      <c r="B718" s="3" t="str">
        <f>IFERROR(__xludf.DUMMYFUNCTION("""COMPUTED_VALUE"""),"")</f>
        <v/>
      </c>
      <c r="C718" s="3"/>
      <c r="D718" s="3" t="str">
        <f>IFERROR(__xludf.DUMMYFUNCTION("""COMPUTED_VALUE"""),"")</f>
        <v/>
      </c>
      <c r="E718" s="3"/>
      <c r="F718" s="3"/>
      <c r="G718" s="3"/>
      <c r="H718" s="3"/>
      <c r="I718" s="3"/>
      <c r="J718" s="3"/>
      <c r="K718" s="3"/>
      <c r="L718" s="3"/>
      <c r="M718" s="3"/>
      <c r="N718" s="3"/>
      <c r="O718" s="3"/>
    </row>
    <row r="719">
      <c r="A719" s="3" t="b">
        <f>IFERROR(__xludf.DUMMYFUNCTION("""COMPUTED_VALUE"""),FALSE)</f>
        <v>0</v>
      </c>
      <c r="B719" s="3" t="str">
        <f>IFERROR(__xludf.DUMMYFUNCTION("""COMPUTED_VALUE"""),"")</f>
        <v/>
      </c>
      <c r="C719" s="3"/>
      <c r="D719" s="3" t="str">
        <f>IFERROR(__xludf.DUMMYFUNCTION("""COMPUTED_VALUE"""),"")</f>
        <v/>
      </c>
      <c r="E719" s="3"/>
      <c r="F719" s="3"/>
      <c r="G719" s="3"/>
      <c r="H719" s="3"/>
      <c r="I719" s="3"/>
      <c r="J719" s="3"/>
      <c r="K719" s="3"/>
      <c r="L719" s="3"/>
      <c r="M719" s="3"/>
      <c r="N719" s="3"/>
      <c r="O719" s="3"/>
    </row>
    <row r="720">
      <c r="A720" s="3" t="b">
        <f>IFERROR(__xludf.DUMMYFUNCTION("""COMPUTED_VALUE"""),FALSE)</f>
        <v>0</v>
      </c>
      <c r="B720" s="3" t="str">
        <f>IFERROR(__xludf.DUMMYFUNCTION("""COMPUTED_VALUE"""),"")</f>
        <v/>
      </c>
      <c r="C720" s="3"/>
      <c r="D720" s="3" t="str">
        <f>IFERROR(__xludf.DUMMYFUNCTION("""COMPUTED_VALUE"""),"")</f>
        <v/>
      </c>
      <c r="E720" s="3"/>
      <c r="F720" s="3"/>
      <c r="G720" s="3"/>
      <c r="H720" s="3"/>
      <c r="I720" s="3"/>
      <c r="J720" s="3"/>
      <c r="K720" s="3"/>
      <c r="L720" s="3"/>
      <c r="M720" s="3"/>
      <c r="N720" s="3"/>
      <c r="O720" s="3"/>
    </row>
    <row r="721">
      <c r="A721" s="3" t="b">
        <f>IFERROR(__xludf.DUMMYFUNCTION("""COMPUTED_VALUE"""),FALSE)</f>
        <v>0</v>
      </c>
      <c r="B721" s="3" t="str">
        <f>IFERROR(__xludf.DUMMYFUNCTION("""COMPUTED_VALUE"""),"")</f>
        <v/>
      </c>
      <c r="C721" s="3"/>
      <c r="D721" s="3" t="str">
        <f>IFERROR(__xludf.DUMMYFUNCTION("""COMPUTED_VALUE"""),"")</f>
        <v/>
      </c>
      <c r="E721" s="3"/>
      <c r="F721" s="3"/>
      <c r="G721" s="3"/>
      <c r="H721" s="3"/>
      <c r="I721" s="3"/>
      <c r="J721" s="3"/>
      <c r="K721" s="3"/>
      <c r="L721" s="3"/>
      <c r="M721" s="3"/>
      <c r="N721" s="3"/>
      <c r="O721" s="3"/>
    </row>
    <row r="722">
      <c r="A722" s="3" t="b">
        <f>IFERROR(__xludf.DUMMYFUNCTION("""COMPUTED_VALUE"""),FALSE)</f>
        <v>0</v>
      </c>
      <c r="B722" s="3" t="str">
        <f>IFERROR(__xludf.DUMMYFUNCTION("""COMPUTED_VALUE"""),"")</f>
        <v/>
      </c>
      <c r="C722" s="3"/>
      <c r="D722" s="3" t="str">
        <f>IFERROR(__xludf.DUMMYFUNCTION("""COMPUTED_VALUE"""),"")</f>
        <v/>
      </c>
      <c r="E722" s="3"/>
      <c r="F722" s="3"/>
      <c r="G722" s="3"/>
      <c r="H722" s="3"/>
      <c r="I722" s="3"/>
      <c r="J722" s="3"/>
      <c r="K722" s="3"/>
      <c r="L722" s="3"/>
      <c r="M722" s="3"/>
      <c r="N722" s="3"/>
      <c r="O722" s="3"/>
    </row>
    <row r="723">
      <c r="A723" s="3" t="b">
        <f>IFERROR(__xludf.DUMMYFUNCTION("""COMPUTED_VALUE"""),FALSE)</f>
        <v>0</v>
      </c>
      <c r="B723" s="3" t="str">
        <f>IFERROR(__xludf.DUMMYFUNCTION("""COMPUTED_VALUE"""),"")</f>
        <v/>
      </c>
      <c r="C723" s="3"/>
      <c r="D723" s="3" t="str">
        <f>IFERROR(__xludf.DUMMYFUNCTION("""COMPUTED_VALUE"""),"")</f>
        <v/>
      </c>
      <c r="E723" s="3"/>
      <c r="F723" s="3"/>
      <c r="G723" s="3"/>
      <c r="H723" s="3"/>
      <c r="I723" s="3"/>
      <c r="J723" s="3"/>
      <c r="K723" s="3"/>
      <c r="L723" s="3"/>
      <c r="M723" s="3"/>
      <c r="N723" s="3"/>
      <c r="O723" s="3"/>
    </row>
    <row r="724">
      <c r="A724" s="3" t="b">
        <f>IFERROR(__xludf.DUMMYFUNCTION("""COMPUTED_VALUE"""),FALSE)</f>
        <v>0</v>
      </c>
      <c r="B724" s="3" t="str">
        <f>IFERROR(__xludf.DUMMYFUNCTION("""COMPUTED_VALUE"""),"")</f>
        <v/>
      </c>
      <c r="C724" s="3"/>
      <c r="D724" s="3" t="str">
        <f>IFERROR(__xludf.DUMMYFUNCTION("""COMPUTED_VALUE"""),"")</f>
        <v/>
      </c>
      <c r="E724" s="3"/>
      <c r="F724" s="3"/>
      <c r="G724" s="3"/>
      <c r="H724" s="3"/>
      <c r="I724" s="3"/>
      <c r="J724" s="3"/>
      <c r="K724" s="3"/>
      <c r="L724" s="3"/>
      <c r="M724" s="3"/>
      <c r="N724" s="3"/>
      <c r="O724" s="3"/>
    </row>
    <row r="725">
      <c r="A725" s="3" t="b">
        <f>IFERROR(__xludf.DUMMYFUNCTION("""COMPUTED_VALUE"""),FALSE)</f>
        <v>0</v>
      </c>
      <c r="B725" s="3" t="str">
        <f>IFERROR(__xludf.DUMMYFUNCTION("""COMPUTED_VALUE"""),"")</f>
        <v/>
      </c>
      <c r="C725" s="3"/>
      <c r="D725" s="3" t="str">
        <f>IFERROR(__xludf.DUMMYFUNCTION("""COMPUTED_VALUE"""),"")</f>
        <v/>
      </c>
      <c r="E725" s="3"/>
      <c r="F725" s="3"/>
      <c r="G725" s="3"/>
      <c r="H725" s="3"/>
      <c r="I725" s="3"/>
      <c r="J725" s="3"/>
      <c r="K725" s="3"/>
      <c r="L725" s="3"/>
      <c r="M725" s="3"/>
      <c r="N725" s="3"/>
      <c r="O725" s="3"/>
    </row>
    <row r="726">
      <c r="A726" s="3" t="b">
        <f>IFERROR(__xludf.DUMMYFUNCTION("""COMPUTED_VALUE"""),FALSE)</f>
        <v>0</v>
      </c>
      <c r="B726" s="3" t="str">
        <f>IFERROR(__xludf.DUMMYFUNCTION("""COMPUTED_VALUE"""),"")</f>
        <v/>
      </c>
      <c r="C726" s="3"/>
      <c r="D726" s="3" t="str">
        <f>IFERROR(__xludf.DUMMYFUNCTION("""COMPUTED_VALUE"""),"")</f>
        <v/>
      </c>
      <c r="E726" s="3"/>
      <c r="F726" s="3"/>
      <c r="G726" s="3"/>
      <c r="H726" s="3"/>
      <c r="I726" s="3"/>
      <c r="J726" s="3"/>
      <c r="K726" s="3"/>
      <c r="L726" s="3"/>
      <c r="M726" s="3"/>
      <c r="N726" s="3"/>
      <c r="O726" s="3"/>
    </row>
    <row r="727">
      <c r="A727" s="3" t="b">
        <f>IFERROR(__xludf.DUMMYFUNCTION("""COMPUTED_VALUE"""),FALSE)</f>
        <v>0</v>
      </c>
      <c r="B727" s="3" t="str">
        <f>IFERROR(__xludf.DUMMYFUNCTION("""COMPUTED_VALUE"""),"")</f>
        <v/>
      </c>
      <c r="C727" s="3"/>
      <c r="D727" s="3" t="str">
        <f>IFERROR(__xludf.DUMMYFUNCTION("""COMPUTED_VALUE"""),"")</f>
        <v/>
      </c>
      <c r="E727" s="3"/>
      <c r="F727" s="3"/>
      <c r="G727" s="3"/>
      <c r="H727" s="3"/>
      <c r="I727" s="3"/>
      <c r="J727" s="3"/>
      <c r="K727" s="3"/>
      <c r="L727" s="3"/>
      <c r="M727" s="3"/>
      <c r="N727" s="3"/>
      <c r="O727" s="3"/>
    </row>
    <row r="728">
      <c r="A728" s="3" t="b">
        <f>IFERROR(__xludf.DUMMYFUNCTION("""COMPUTED_VALUE"""),FALSE)</f>
        <v>0</v>
      </c>
      <c r="B728" s="3" t="str">
        <f>IFERROR(__xludf.DUMMYFUNCTION("""COMPUTED_VALUE"""),"")</f>
        <v/>
      </c>
      <c r="C728" s="3"/>
      <c r="D728" s="3" t="str">
        <f>IFERROR(__xludf.DUMMYFUNCTION("""COMPUTED_VALUE"""),"")</f>
        <v/>
      </c>
      <c r="E728" s="3"/>
      <c r="F728" s="3"/>
      <c r="G728" s="3"/>
      <c r="H728" s="3"/>
      <c r="I728" s="3"/>
      <c r="J728" s="3"/>
      <c r="K728" s="3"/>
      <c r="L728" s="3"/>
      <c r="M728" s="3"/>
      <c r="N728" s="3"/>
      <c r="O728" s="3"/>
    </row>
    <row r="729">
      <c r="A729" s="3" t="b">
        <f>IFERROR(__xludf.DUMMYFUNCTION("""COMPUTED_VALUE"""),FALSE)</f>
        <v>0</v>
      </c>
      <c r="B729" s="3" t="str">
        <f>IFERROR(__xludf.DUMMYFUNCTION("""COMPUTED_VALUE"""),"")</f>
        <v/>
      </c>
      <c r="C729" s="3"/>
      <c r="D729" s="3" t="str">
        <f>IFERROR(__xludf.DUMMYFUNCTION("""COMPUTED_VALUE"""),"")</f>
        <v/>
      </c>
      <c r="E729" s="3"/>
      <c r="F729" s="3"/>
      <c r="G729" s="3"/>
      <c r="H729" s="3"/>
      <c r="I729" s="3"/>
      <c r="J729" s="3"/>
      <c r="K729" s="3"/>
      <c r="L729" s="3"/>
      <c r="M729" s="3"/>
      <c r="N729" s="3"/>
      <c r="O729" s="3"/>
    </row>
    <row r="730">
      <c r="A730" s="3" t="b">
        <f>IFERROR(__xludf.DUMMYFUNCTION("""COMPUTED_VALUE"""),FALSE)</f>
        <v>0</v>
      </c>
      <c r="B730" s="3" t="str">
        <f>IFERROR(__xludf.DUMMYFUNCTION("""COMPUTED_VALUE"""),"")</f>
        <v/>
      </c>
      <c r="C730" s="3"/>
      <c r="D730" s="3" t="str">
        <f>IFERROR(__xludf.DUMMYFUNCTION("""COMPUTED_VALUE"""),"")</f>
        <v/>
      </c>
      <c r="E730" s="3"/>
      <c r="F730" s="3"/>
      <c r="G730" s="3"/>
      <c r="H730" s="3"/>
      <c r="I730" s="3"/>
      <c r="J730" s="3"/>
      <c r="K730" s="3"/>
      <c r="L730" s="3"/>
      <c r="M730" s="3"/>
      <c r="N730" s="3"/>
      <c r="O730" s="3"/>
    </row>
    <row r="731">
      <c r="A731" s="3" t="b">
        <f>IFERROR(__xludf.DUMMYFUNCTION("""COMPUTED_VALUE"""),FALSE)</f>
        <v>0</v>
      </c>
      <c r="B731" s="3" t="str">
        <f>IFERROR(__xludf.DUMMYFUNCTION("""COMPUTED_VALUE"""),"")</f>
        <v/>
      </c>
      <c r="C731" s="3"/>
      <c r="D731" s="3" t="str">
        <f>IFERROR(__xludf.DUMMYFUNCTION("""COMPUTED_VALUE"""),"")</f>
        <v/>
      </c>
      <c r="E731" s="3"/>
      <c r="F731" s="3"/>
      <c r="G731" s="3"/>
      <c r="H731" s="3"/>
      <c r="I731" s="3"/>
      <c r="J731" s="3"/>
      <c r="K731" s="3"/>
      <c r="L731" s="3"/>
      <c r="M731" s="3"/>
      <c r="N731" s="3"/>
      <c r="O731" s="3"/>
    </row>
    <row r="732">
      <c r="A732" s="3" t="b">
        <f>IFERROR(__xludf.DUMMYFUNCTION("""COMPUTED_VALUE"""),FALSE)</f>
        <v>0</v>
      </c>
      <c r="B732" s="3" t="str">
        <f>IFERROR(__xludf.DUMMYFUNCTION("""COMPUTED_VALUE"""),"")</f>
        <v/>
      </c>
      <c r="C732" s="3"/>
      <c r="D732" s="3" t="str">
        <f>IFERROR(__xludf.DUMMYFUNCTION("""COMPUTED_VALUE"""),"")</f>
        <v/>
      </c>
      <c r="E732" s="3"/>
      <c r="F732" s="3"/>
      <c r="G732" s="3"/>
      <c r="H732" s="3"/>
      <c r="I732" s="3"/>
      <c r="J732" s="3"/>
      <c r="K732" s="3"/>
      <c r="L732" s="3"/>
      <c r="M732" s="3"/>
      <c r="N732" s="3"/>
      <c r="O732" s="3"/>
    </row>
    <row r="733">
      <c r="A733" s="3" t="b">
        <f>IFERROR(__xludf.DUMMYFUNCTION("""COMPUTED_VALUE"""),FALSE)</f>
        <v>0</v>
      </c>
      <c r="B733" s="3" t="str">
        <f>IFERROR(__xludf.DUMMYFUNCTION("""COMPUTED_VALUE"""),"")</f>
        <v/>
      </c>
      <c r="C733" s="3"/>
      <c r="D733" s="3" t="str">
        <f>IFERROR(__xludf.DUMMYFUNCTION("""COMPUTED_VALUE"""),"")</f>
        <v/>
      </c>
      <c r="E733" s="3"/>
      <c r="F733" s="3"/>
      <c r="G733" s="3"/>
      <c r="H733" s="3"/>
      <c r="I733" s="3"/>
      <c r="J733" s="3"/>
      <c r="K733" s="3"/>
      <c r="L733" s="3"/>
      <c r="M733" s="3"/>
      <c r="N733" s="3"/>
      <c r="O733" s="3"/>
    </row>
    <row r="734">
      <c r="A734" s="3" t="b">
        <f>IFERROR(__xludf.DUMMYFUNCTION("""COMPUTED_VALUE"""),FALSE)</f>
        <v>0</v>
      </c>
      <c r="B734" s="3" t="str">
        <f>IFERROR(__xludf.DUMMYFUNCTION("""COMPUTED_VALUE"""),"")</f>
        <v/>
      </c>
      <c r="C734" s="3"/>
      <c r="D734" s="3" t="str">
        <f>IFERROR(__xludf.DUMMYFUNCTION("""COMPUTED_VALUE"""),"")</f>
        <v/>
      </c>
      <c r="E734" s="3"/>
      <c r="F734" s="3"/>
      <c r="G734" s="3"/>
      <c r="H734" s="3"/>
      <c r="I734" s="3"/>
      <c r="J734" s="3"/>
      <c r="K734" s="3"/>
      <c r="L734" s="3"/>
      <c r="M734" s="3"/>
      <c r="N734" s="3"/>
      <c r="O734" s="3"/>
    </row>
    <row r="735">
      <c r="A735" s="3" t="b">
        <f>IFERROR(__xludf.DUMMYFUNCTION("""COMPUTED_VALUE"""),FALSE)</f>
        <v>0</v>
      </c>
      <c r="B735" s="3" t="str">
        <f>IFERROR(__xludf.DUMMYFUNCTION("""COMPUTED_VALUE"""),"")</f>
        <v/>
      </c>
      <c r="C735" s="3"/>
      <c r="D735" s="3" t="str">
        <f>IFERROR(__xludf.DUMMYFUNCTION("""COMPUTED_VALUE"""),"")</f>
        <v/>
      </c>
      <c r="E735" s="3"/>
      <c r="F735" s="3"/>
      <c r="G735" s="3"/>
      <c r="H735" s="3"/>
      <c r="I735" s="3"/>
      <c r="J735" s="3"/>
      <c r="K735" s="3"/>
      <c r="L735" s="3"/>
      <c r="M735" s="3"/>
      <c r="N735" s="3"/>
      <c r="O735" s="3"/>
    </row>
    <row r="736">
      <c r="A736" s="3" t="b">
        <f>IFERROR(__xludf.DUMMYFUNCTION("""COMPUTED_VALUE"""),FALSE)</f>
        <v>0</v>
      </c>
      <c r="B736" s="3" t="str">
        <f>IFERROR(__xludf.DUMMYFUNCTION("""COMPUTED_VALUE"""),"")</f>
        <v/>
      </c>
      <c r="C736" s="3"/>
      <c r="D736" s="3" t="str">
        <f>IFERROR(__xludf.DUMMYFUNCTION("""COMPUTED_VALUE"""),"")</f>
        <v/>
      </c>
      <c r="E736" s="3"/>
      <c r="F736" s="3"/>
      <c r="G736" s="3"/>
      <c r="H736" s="3"/>
      <c r="I736" s="3"/>
      <c r="J736" s="3"/>
      <c r="K736" s="3"/>
      <c r="L736" s="3"/>
      <c r="M736" s="3"/>
      <c r="N736" s="3"/>
      <c r="O736" s="3"/>
    </row>
    <row r="737">
      <c r="A737" s="3" t="b">
        <f>IFERROR(__xludf.DUMMYFUNCTION("""COMPUTED_VALUE"""),FALSE)</f>
        <v>0</v>
      </c>
      <c r="B737" s="3" t="str">
        <f>IFERROR(__xludf.DUMMYFUNCTION("""COMPUTED_VALUE"""),"")</f>
        <v/>
      </c>
      <c r="C737" s="3"/>
      <c r="D737" s="3" t="str">
        <f>IFERROR(__xludf.DUMMYFUNCTION("""COMPUTED_VALUE"""),"")</f>
        <v/>
      </c>
      <c r="E737" s="3"/>
      <c r="F737" s="3"/>
      <c r="G737" s="3"/>
      <c r="H737" s="3"/>
      <c r="I737" s="3"/>
      <c r="J737" s="3"/>
      <c r="K737" s="3"/>
      <c r="L737" s="3"/>
      <c r="M737" s="3"/>
      <c r="N737" s="3"/>
      <c r="O737" s="3"/>
    </row>
    <row r="738">
      <c r="A738" s="3" t="b">
        <f>IFERROR(__xludf.DUMMYFUNCTION("""COMPUTED_VALUE"""),FALSE)</f>
        <v>0</v>
      </c>
      <c r="B738" s="3" t="str">
        <f>IFERROR(__xludf.DUMMYFUNCTION("""COMPUTED_VALUE"""),"")</f>
        <v/>
      </c>
      <c r="C738" s="3"/>
      <c r="D738" s="3" t="str">
        <f>IFERROR(__xludf.DUMMYFUNCTION("""COMPUTED_VALUE"""),"")</f>
        <v/>
      </c>
      <c r="E738" s="3"/>
      <c r="F738" s="3"/>
      <c r="G738" s="3"/>
      <c r="H738" s="3"/>
      <c r="I738" s="3"/>
      <c r="J738" s="3"/>
      <c r="K738" s="3"/>
      <c r="L738" s="3"/>
      <c r="M738" s="3"/>
      <c r="N738" s="3"/>
      <c r="O738" s="3"/>
    </row>
    <row r="739">
      <c r="A739" s="3" t="b">
        <f>IFERROR(__xludf.DUMMYFUNCTION("""COMPUTED_VALUE"""),FALSE)</f>
        <v>0</v>
      </c>
      <c r="B739" s="3" t="str">
        <f>IFERROR(__xludf.DUMMYFUNCTION("""COMPUTED_VALUE"""),"")</f>
        <v/>
      </c>
      <c r="C739" s="3"/>
      <c r="D739" s="3" t="str">
        <f>IFERROR(__xludf.DUMMYFUNCTION("""COMPUTED_VALUE"""),"")</f>
        <v/>
      </c>
      <c r="E739" s="3"/>
      <c r="F739" s="3"/>
      <c r="G739" s="3"/>
      <c r="H739" s="3"/>
      <c r="I739" s="3"/>
      <c r="J739" s="3"/>
      <c r="K739" s="3"/>
      <c r="L739" s="3"/>
      <c r="M739" s="3"/>
      <c r="N739" s="3"/>
      <c r="O739" s="3"/>
    </row>
    <row r="740">
      <c r="A740" s="3" t="b">
        <f>IFERROR(__xludf.DUMMYFUNCTION("""COMPUTED_VALUE"""),FALSE)</f>
        <v>0</v>
      </c>
      <c r="B740" s="3" t="str">
        <f>IFERROR(__xludf.DUMMYFUNCTION("""COMPUTED_VALUE"""),"")</f>
        <v/>
      </c>
      <c r="C740" s="3"/>
      <c r="D740" s="3" t="str">
        <f>IFERROR(__xludf.DUMMYFUNCTION("""COMPUTED_VALUE"""),"")</f>
        <v/>
      </c>
      <c r="E740" s="3"/>
      <c r="F740" s="3"/>
      <c r="G740" s="3"/>
      <c r="H740" s="3"/>
      <c r="I740" s="3"/>
      <c r="J740" s="3"/>
      <c r="K740" s="3"/>
      <c r="L740" s="3"/>
      <c r="M740" s="3"/>
      <c r="N740" s="3"/>
      <c r="O740" s="3"/>
    </row>
    <row r="741">
      <c r="A741" s="3" t="b">
        <f>IFERROR(__xludf.DUMMYFUNCTION("""COMPUTED_VALUE"""),FALSE)</f>
        <v>0</v>
      </c>
      <c r="B741" s="3" t="str">
        <f>IFERROR(__xludf.DUMMYFUNCTION("""COMPUTED_VALUE"""),"")</f>
        <v/>
      </c>
      <c r="C741" s="3"/>
      <c r="D741" s="3" t="str">
        <f>IFERROR(__xludf.DUMMYFUNCTION("""COMPUTED_VALUE"""),"")</f>
        <v/>
      </c>
      <c r="E741" s="3"/>
      <c r="F741" s="3"/>
      <c r="G741" s="3"/>
      <c r="H741" s="3"/>
      <c r="I741" s="3"/>
      <c r="J741" s="3"/>
      <c r="K741" s="3"/>
      <c r="L741" s="3"/>
      <c r="M741" s="3"/>
      <c r="N741" s="3"/>
      <c r="O741" s="3"/>
    </row>
    <row r="742">
      <c r="A742" s="3" t="b">
        <f>IFERROR(__xludf.DUMMYFUNCTION("""COMPUTED_VALUE"""),FALSE)</f>
        <v>0</v>
      </c>
      <c r="B742" s="3" t="str">
        <f>IFERROR(__xludf.DUMMYFUNCTION("""COMPUTED_VALUE"""),"")</f>
        <v/>
      </c>
      <c r="C742" s="3"/>
      <c r="D742" s="3" t="str">
        <f>IFERROR(__xludf.DUMMYFUNCTION("""COMPUTED_VALUE"""),"")</f>
        <v/>
      </c>
      <c r="E742" s="3"/>
      <c r="F742" s="3"/>
      <c r="G742" s="3"/>
      <c r="H742" s="3"/>
      <c r="I742" s="3"/>
      <c r="J742" s="3"/>
      <c r="K742" s="3"/>
      <c r="L742" s="3"/>
      <c r="M742" s="3"/>
      <c r="N742" s="3"/>
      <c r="O742" s="3"/>
    </row>
    <row r="743">
      <c r="A743" s="3" t="b">
        <f>IFERROR(__xludf.DUMMYFUNCTION("""COMPUTED_VALUE"""),FALSE)</f>
        <v>0</v>
      </c>
      <c r="B743" s="3" t="str">
        <f>IFERROR(__xludf.DUMMYFUNCTION("""COMPUTED_VALUE"""),"")</f>
        <v/>
      </c>
      <c r="C743" s="3"/>
      <c r="D743" s="3" t="str">
        <f>IFERROR(__xludf.DUMMYFUNCTION("""COMPUTED_VALUE"""),"")</f>
        <v/>
      </c>
      <c r="E743" s="3"/>
      <c r="F743" s="3"/>
      <c r="G743" s="3"/>
      <c r="H743" s="3"/>
      <c r="I743" s="3"/>
      <c r="J743" s="3"/>
      <c r="K743" s="3"/>
      <c r="L743" s="3"/>
      <c r="M743" s="3"/>
      <c r="N743" s="3"/>
      <c r="O743" s="3"/>
    </row>
    <row r="744">
      <c r="A744" s="3" t="b">
        <f>IFERROR(__xludf.DUMMYFUNCTION("""COMPUTED_VALUE"""),FALSE)</f>
        <v>0</v>
      </c>
      <c r="B744" s="3" t="str">
        <f>IFERROR(__xludf.DUMMYFUNCTION("""COMPUTED_VALUE"""),"")</f>
        <v/>
      </c>
      <c r="C744" s="3"/>
      <c r="D744" s="3" t="str">
        <f>IFERROR(__xludf.DUMMYFUNCTION("""COMPUTED_VALUE"""),"")</f>
        <v/>
      </c>
      <c r="E744" s="3"/>
      <c r="F744" s="3"/>
      <c r="G744" s="3"/>
      <c r="H744" s="3"/>
      <c r="I744" s="3"/>
      <c r="J744" s="3"/>
      <c r="K744" s="3"/>
      <c r="L744" s="3"/>
      <c r="M744" s="3"/>
      <c r="N744" s="3"/>
      <c r="O744" s="3"/>
    </row>
    <row r="745">
      <c r="A745" s="3" t="b">
        <f>IFERROR(__xludf.DUMMYFUNCTION("""COMPUTED_VALUE"""),FALSE)</f>
        <v>0</v>
      </c>
      <c r="B745" s="3" t="str">
        <f>IFERROR(__xludf.DUMMYFUNCTION("""COMPUTED_VALUE"""),"")</f>
        <v/>
      </c>
      <c r="C745" s="3"/>
      <c r="D745" s="3" t="str">
        <f>IFERROR(__xludf.DUMMYFUNCTION("""COMPUTED_VALUE"""),"")</f>
        <v/>
      </c>
      <c r="E745" s="3"/>
      <c r="F745" s="3"/>
      <c r="G745" s="3"/>
      <c r="H745" s="3"/>
      <c r="I745" s="3"/>
      <c r="J745" s="3"/>
      <c r="K745" s="3"/>
      <c r="L745" s="3"/>
      <c r="M745" s="3"/>
      <c r="N745" s="3"/>
      <c r="O745" s="3"/>
    </row>
    <row r="746">
      <c r="A746" s="3" t="b">
        <f>IFERROR(__xludf.DUMMYFUNCTION("""COMPUTED_VALUE"""),FALSE)</f>
        <v>0</v>
      </c>
      <c r="B746" s="3" t="str">
        <f>IFERROR(__xludf.DUMMYFUNCTION("""COMPUTED_VALUE"""),"")</f>
        <v/>
      </c>
      <c r="C746" s="3"/>
      <c r="D746" s="3" t="str">
        <f>IFERROR(__xludf.DUMMYFUNCTION("""COMPUTED_VALUE"""),"")</f>
        <v/>
      </c>
      <c r="E746" s="3"/>
      <c r="F746" s="3"/>
      <c r="G746" s="3"/>
      <c r="H746" s="3"/>
      <c r="I746" s="3"/>
      <c r="J746" s="3"/>
      <c r="K746" s="3"/>
      <c r="L746" s="3"/>
      <c r="M746" s="3"/>
      <c r="N746" s="3"/>
      <c r="O746" s="3"/>
    </row>
    <row r="747">
      <c r="A747" s="3" t="b">
        <f>IFERROR(__xludf.DUMMYFUNCTION("""COMPUTED_VALUE"""),FALSE)</f>
        <v>0</v>
      </c>
      <c r="B747" s="3" t="str">
        <f>IFERROR(__xludf.DUMMYFUNCTION("""COMPUTED_VALUE"""),"")</f>
        <v/>
      </c>
      <c r="C747" s="3"/>
      <c r="D747" s="3" t="str">
        <f>IFERROR(__xludf.DUMMYFUNCTION("""COMPUTED_VALUE"""),"")</f>
        <v/>
      </c>
      <c r="E747" s="3"/>
      <c r="F747" s="3"/>
      <c r="G747" s="3"/>
      <c r="H747" s="3"/>
      <c r="I747" s="3"/>
      <c r="J747" s="3"/>
      <c r="K747" s="3"/>
      <c r="L747" s="3"/>
      <c r="M747" s="3"/>
      <c r="N747" s="3"/>
      <c r="O747" s="3"/>
    </row>
    <row r="748">
      <c r="A748" s="3" t="b">
        <f>IFERROR(__xludf.DUMMYFUNCTION("""COMPUTED_VALUE"""),FALSE)</f>
        <v>0</v>
      </c>
      <c r="B748" s="3" t="str">
        <f>IFERROR(__xludf.DUMMYFUNCTION("""COMPUTED_VALUE"""),"")</f>
        <v/>
      </c>
      <c r="C748" s="3"/>
      <c r="D748" s="3" t="str">
        <f>IFERROR(__xludf.DUMMYFUNCTION("""COMPUTED_VALUE"""),"")</f>
        <v/>
      </c>
      <c r="E748" s="3"/>
      <c r="F748" s="3"/>
      <c r="G748" s="3"/>
      <c r="H748" s="3"/>
      <c r="I748" s="3"/>
      <c r="J748" s="3"/>
      <c r="K748" s="3"/>
      <c r="L748" s="3"/>
      <c r="M748" s="3"/>
      <c r="N748" s="3"/>
      <c r="O748" s="3"/>
    </row>
    <row r="749">
      <c r="A749" s="3" t="b">
        <f>IFERROR(__xludf.DUMMYFUNCTION("""COMPUTED_VALUE"""),FALSE)</f>
        <v>0</v>
      </c>
      <c r="B749" s="3" t="str">
        <f>IFERROR(__xludf.DUMMYFUNCTION("""COMPUTED_VALUE"""),"")</f>
        <v/>
      </c>
      <c r="C749" s="3"/>
      <c r="D749" s="3" t="str">
        <f>IFERROR(__xludf.DUMMYFUNCTION("""COMPUTED_VALUE"""),"")</f>
        <v/>
      </c>
      <c r="E749" s="3"/>
      <c r="F749" s="3"/>
      <c r="G749" s="3"/>
      <c r="H749" s="3"/>
      <c r="I749" s="3"/>
      <c r="J749" s="3"/>
      <c r="K749" s="3"/>
      <c r="L749" s="3"/>
      <c r="M749" s="3"/>
      <c r="N749" s="3"/>
      <c r="O749" s="3"/>
    </row>
    <row r="750">
      <c r="A750" s="3" t="b">
        <f>IFERROR(__xludf.DUMMYFUNCTION("""COMPUTED_VALUE"""),FALSE)</f>
        <v>0</v>
      </c>
      <c r="B750" s="3" t="str">
        <f>IFERROR(__xludf.DUMMYFUNCTION("""COMPUTED_VALUE"""),"")</f>
        <v/>
      </c>
      <c r="C750" s="3"/>
      <c r="D750" s="3" t="str">
        <f>IFERROR(__xludf.DUMMYFUNCTION("""COMPUTED_VALUE"""),"")</f>
        <v/>
      </c>
      <c r="E750" s="3"/>
      <c r="F750" s="3"/>
      <c r="G750" s="3"/>
      <c r="H750" s="3"/>
      <c r="I750" s="3"/>
      <c r="J750" s="3"/>
      <c r="K750" s="3"/>
      <c r="L750" s="3"/>
      <c r="M750" s="3"/>
      <c r="N750" s="3"/>
      <c r="O750" s="3"/>
    </row>
    <row r="751">
      <c r="A751" s="3" t="b">
        <f>IFERROR(__xludf.DUMMYFUNCTION("""COMPUTED_VALUE"""),FALSE)</f>
        <v>0</v>
      </c>
      <c r="B751" s="3" t="str">
        <f>IFERROR(__xludf.DUMMYFUNCTION("""COMPUTED_VALUE"""),"")</f>
        <v/>
      </c>
      <c r="C751" s="3"/>
      <c r="D751" s="3"/>
      <c r="E751" s="3"/>
      <c r="F751" s="3"/>
      <c r="G751" s="3"/>
      <c r="H751" s="3"/>
      <c r="I751" s="3"/>
      <c r="J751" s="3"/>
      <c r="K751" s="3"/>
      <c r="L751" s="3"/>
      <c r="M751" s="3"/>
      <c r="N751" s="3"/>
      <c r="O751" s="3"/>
    </row>
    <row r="752">
      <c r="A752" s="3" t="b">
        <f>IFERROR(__xludf.DUMMYFUNCTION("""COMPUTED_VALUE"""),FALSE)</f>
        <v>0</v>
      </c>
      <c r="B752" s="3" t="str">
        <f>IFERROR(__xludf.DUMMYFUNCTION("""COMPUTED_VALUE"""),"")</f>
        <v/>
      </c>
      <c r="C752" s="3"/>
      <c r="D752" s="3"/>
      <c r="E752" s="3"/>
      <c r="F752" s="3"/>
      <c r="G752" s="3"/>
      <c r="H752" s="3"/>
      <c r="I752" s="3"/>
      <c r="J752" s="3"/>
      <c r="K752" s="3"/>
      <c r="L752" s="3"/>
      <c r="M752" s="3"/>
      <c r="N752" s="3"/>
      <c r="O752" s="3"/>
    </row>
  </sheetData>
  <hyperlinks>
    <hyperlink r:id="rId1" ref="D4"/>
    <hyperlink r:id="rId2" ref="D5"/>
    <hyperlink r:id="rId3" ref="D6"/>
    <hyperlink r:id="rId4" ref="D7"/>
    <hyperlink r:id="rId5" ref="D8"/>
    <hyperlink r:id="rId6" ref="D9"/>
    <hyperlink r:id="rId7" ref="D10"/>
    <hyperlink r:id="rId8" ref="D11"/>
    <hyperlink r:id="rId9" ref="D12"/>
    <hyperlink r:id="rId10" ref="D13"/>
    <hyperlink r:id="rId11" ref="D14"/>
    <hyperlink r:id="rId12" ref="D15"/>
    <hyperlink r:id="rId13" ref="D16"/>
    <hyperlink r:id="rId14" ref="D17"/>
    <hyperlink r:id="rId15" ref="D18"/>
    <hyperlink r:id="rId16" ref="D19"/>
    <hyperlink r:id="rId17" ref="D20"/>
    <hyperlink r:id="rId18" ref="D21"/>
    <hyperlink r:id="rId19" ref="D22"/>
    <hyperlink r:id="rId20" ref="D23"/>
    <hyperlink r:id="rId21" ref="D24"/>
    <hyperlink r:id="rId22" ref="D25"/>
    <hyperlink r:id="rId23" ref="D26"/>
    <hyperlink r:id="rId24" ref="D27"/>
    <hyperlink r:id="rId25" ref="D28"/>
    <hyperlink r:id="rId26" ref="D29"/>
    <hyperlink r:id="rId27" ref="D30"/>
    <hyperlink r:id="rId28" ref="D31"/>
    <hyperlink r:id="rId29" ref="D32"/>
    <hyperlink r:id="rId30" ref="D33"/>
    <hyperlink r:id="rId31" ref="D34"/>
    <hyperlink r:id="rId32" ref="D35"/>
    <hyperlink r:id="rId33" ref="D36"/>
    <hyperlink r:id="rId34" ref="D37"/>
    <hyperlink r:id="rId35" ref="D38"/>
    <hyperlink r:id="rId36" ref="D39"/>
    <hyperlink r:id="rId37" ref="D40"/>
    <hyperlink r:id="rId38" ref="D41"/>
    <hyperlink r:id="rId39" ref="D42"/>
    <hyperlink r:id="rId40" ref="D43"/>
    <hyperlink r:id="rId41" ref="D44"/>
    <hyperlink r:id="rId42" ref="D45"/>
    <hyperlink r:id="rId43" ref="D46"/>
    <hyperlink r:id="rId44" ref="D47"/>
    <hyperlink r:id="rId45" ref="D48"/>
    <hyperlink r:id="rId46" ref="D49"/>
    <hyperlink r:id="rId47" ref="D50"/>
    <hyperlink r:id="rId48" ref="D51"/>
    <hyperlink r:id="rId49" ref="D52"/>
    <hyperlink r:id="rId50" ref="D53"/>
    <hyperlink r:id="rId51" ref="D54"/>
    <hyperlink r:id="rId52" ref="D55"/>
    <hyperlink r:id="rId53" ref="D56"/>
    <hyperlink r:id="rId54" ref="D57"/>
    <hyperlink r:id="rId55" ref="D58"/>
    <hyperlink r:id="rId56" ref="D59"/>
    <hyperlink r:id="rId57" ref="D60"/>
    <hyperlink r:id="rId58" ref="D61"/>
    <hyperlink r:id="rId59" ref="D62"/>
    <hyperlink r:id="rId60" ref="D63"/>
    <hyperlink r:id="rId61" ref="D64"/>
    <hyperlink r:id="rId62" ref="D65"/>
    <hyperlink r:id="rId63" ref="D66"/>
    <hyperlink r:id="rId64" ref="D67"/>
    <hyperlink r:id="rId65" ref="D68"/>
    <hyperlink r:id="rId66" ref="D69"/>
    <hyperlink r:id="rId67" ref="D70"/>
    <hyperlink r:id="rId68" ref="D71"/>
    <hyperlink r:id="rId69" ref="D72"/>
    <hyperlink r:id="rId70" ref="D73"/>
    <hyperlink r:id="rId71" ref="D74"/>
    <hyperlink r:id="rId72" ref="D75"/>
    <hyperlink r:id="rId73" ref="D76"/>
    <hyperlink r:id="rId74" ref="D77"/>
    <hyperlink r:id="rId75" ref="D78"/>
    <hyperlink r:id="rId76" ref="D79"/>
    <hyperlink r:id="rId77" ref="D80"/>
    <hyperlink r:id="rId78" ref="D81"/>
    <hyperlink r:id="rId79" ref="D82"/>
    <hyperlink r:id="rId80" ref="D83"/>
    <hyperlink r:id="rId81" ref="D84"/>
    <hyperlink r:id="rId82" ref="D85"/>
    <hyperlink r:id="rId83" ref="D86"/>
    <hyperlink r:id="rId84" ref="D87"/>
    <hyperlink r:id="rId85" ref="D88"/>
    <hyperlink r:id="rId86" ref="D89"/>
    <hyperlink r:id="rId87" ref="D91"/>
    <hyperlink r:id="rId88" ref="D92"/>
    <hyperlink r:id="rId89" ref="D93"/>
    <hyperlink r:id="rId90" ref="D94"/>
    <hyperlink r:id="rId91" ref="D95"/>
    <hyperlink r:id="rId92" ref="D96"/>
    <hyperlink r:id="rId93" ref="D97"/>
    <hyperlink r:id="rId94" ref="D98"/>
    <hyperlink r:id="rId95" ref="D99"/>
    <hyperlink r:id="rId96" ref="D100"/>
    <hyperlink r:id="rId97" ref="D101"/>
    <hyperlink r:id="rId98" ref="D102"/>
    <hyperlink r:id="rId99" ref="D103"/>
    <hyperlink r:id="rId100" ref="D104"/>
    <hyperlink r:id="rId101" ref="D105"/>
    <hyperlink r:id="rId102" ref="D106"/>
    <hyperlink r:id="rId103" ref="D107"/>
    <hyperlink r:id="rId104" ref="D108"/>
    <hyperlink r:id="rId105" ref="D109"/>
    <hyperlink r:id="rId106" ref="D110"/>
    <hyperlink r:id="rId107" ref="D111"/>
    <hyperlink r:id="rId108" ref="D112"/>
    <hyperlink r:id="rId109" ref="D113"/>
    <hyperlink r:id="rId110" ref="D114"/>
    <hyperlink r:id="rId111" ref="D115"/>
    <hyperlink r:id="rId112" ref="D116"/>
    <hyperlink r:id="rId113" ref="D117"/>
    <hyperlink r:id="rId114" ref="D118"/>
    <hyperlink r:id="rId115" ref="D119"/>
    <hyperlink r:id="rId116" ref="D120"/>
    <hyperlink r:id="rId117" ref="D121"/>
    <hyperlink r:id="rId118" ref="D122"/>
    <hyperlink r:id="rId119" ref="D123"/>
    <hyperlink r:id="rId120" ref="D124"/>
    <hyperlink r:id="rId121" ref="D125"/>
    <hyperlink r:id="rId122" ref="D126"/>
    <hyperlink r:id="rId123" ref="D127"/>
    <hyperlink r:id="rId124" ref="D128"/>
    <hyperlink r:id="rId125" ref="D129"/>
    <hyperlink r:id="rId126" ref="D130"/>
    <hyperlink r:id="rId127" ref="D131"/>
    <hyperlink r:id="rId128" ref="D132"/>
    <hyperlink r:id="rId129" ref="D133"/>
    <hyperlink r:id="rId130" ref="D134"/>
    <hyperlink r:id="rId131" ref="D135"/>
    <hyperlink r:id="rId132" ref="D136"/>
    <hyperlink r:id="rId133" ref="D137"/>
    <hyperlink r:id="rId134" ref="D138"/>
    <hyperlink r:id="rId135" ref="D139"/>
    <hyperlink r:id="rId136" ref="D140"/>
    <hyperlink r:id="rId137" ref="D141"/>
    <hyperlink r:id="rId138" ref="D142"/>
    <hyperlink r:id="rId139" ref="D143"/>
    <hyperlink r:id="rId140" ref="D144"/>
    <hyperlink r:id="rId141" ref="D145"/>
    <hyperlink r:id="rId142" ref="D146"/>
    <hyperlink r:id="rId143" ref="D147"/>
    <hyperlink r:id="rId144" ref="D148"/>
    <hyperlink r:id="rId145" ref="D149"/>
    <hyperlink r:id="rId146" ref="D150"/>
    <hyperlink r:id="rId147" ref="D151"/>
    <hyperlink r:id="rId148" ref="D152"/>
    <hyperlink r:id="rId149" ref="D153"/>
    <hyperlink r:id="rId150" ref="D154"/>
    <hyperlink r:id="rId151" ref="D155"/>
    <hyperlink r:id="rId152" ref="D156"/>
    <hyperlink r:id="rId153" ref="D157"/>
    <hyperlink r:id="rId154" ref="D158"/>
    <hyperlink r:id="rId155" ref="D159"/>
    <hyperlink r:id="rId156" ref="D160"/>
    <hyperlink r:id="rId157" ref="D161"/>
    <hyperlink r:id="rId158" ref="D162"/>
    <hyperlink r:id="rId159" ref="D163"/>
    <hyperlink r:id="rId160" ref="D164"/>
    <hyperlink r:id="rId161" ref="D165"/>
    <hyperlink r:id="rId162" ref="D166"/>
    <hyperlink r:id="rId163" ref="D167"/>
    <hyperlink r:id="rId164" ref="D168"/>
    <hyperlink r:id="rId165" ref="D169"/>
    <hyperlink r:id="rId166" ref="D170"/>
    <hyperlink r:id="rId167" ref="D171"/>
    <hyperlink r:id="rId168" ref="D172"/>
    <hyperlink r:id="rId169" ref="D173"/>
    <hyperlink r:id="rId170" ref="D174"/>
    <hyperlink r:id="rId171" ref="D175"/>
    <hyperlink r:id="rId172" ref="D176"/>
    <hyperlink r:id="rId173" ref="D177"/>
    <hyperlink r:id="rId174" ref="D178"/>
    <hyperlink r:id="rId175" ref="D179"/>
    <hyperlink r:id="rId176" ref="D180"/>
    <hyperlink r:id="rId177" ref="D181"/>
    <hyperlink r:id="rId178" ref="D182"/>
    <hyperlink r:id="rId179" ref="D183"/>
    <hyperlink r:id="rId180" ref="D184"/>
    <hyperlink r:id="rId181" ref="D185"/>
    <hyperlink r:id="rId182" ref="D186"/>
    <hyperlink r:id="rId183" ref="D187"/>
    <hyperlink r:id="rId184" ref="D188"/>
    <hyperlink r:id="rId185" ref="D189"/>
    <hyperlink r:id="rId186" ref="D190"/>
    <hyperlink r:id="rId187" ref="D191"/>
    <hyperlink r:id="rId188" ref="D192"/>
    <hyperlink r:id="rId189" ref="D193"/>
    <hyperlink r:id="rId190" ref="D194"/>
    <hyperlink r:id="rId191" ref="D195"/>
    <hyperlink r:id="rId192" ref="D196"/>
    <hyperlink r:id="rId193" ref="D197"/>
    <hyperlink r:id="rId194" ref="D198"/>
    <hyperlink r:id="rId195" ref="D199"/>
    <hyperlink r:id="rId196" ref="D200"/>
    <hyperlink r:id="rId197" ref="D201"/>
    <hyperlink r:id="rId198" ref="D202"/>
    <hyperlink r:id="rId199" ref="D203"/>
    <hyperlink r:id="rId200" ref="D204"/>
    <hyperlink r:id="rId201" ref="D205"/>
    <hyperlink r:id="rId202" ref="D206"/>
    <hyperlink r:id="rId203" ref="D207"/>
    <hyperlink r:id="rId204" ref="D208"/>
    <hyperlink r:id="rId205" ref="D209"/>
    <hyperlink r:id="rId206" ref="D210"/>
    <hyperlink r:id="rId207" ref="D211"/>
    <hyperlink r:id="rId208" ref="D212"/>
    <hyperlink r:id="rId209" ref="D213"/>
    <hyperlink r:id="rId210" ref="D214"/>
    <hyperlink r:id="rId211" ref="D215"/>
    <hyperlink r:id="rId212" ref="D216"/>
    <hyperlink r:id="rId213" ref="D217"/>
    <hyperlink r:id="rId214" ref="D218"/>
    <hyperlink r:id="rId215" ref="D219"/>
    <hyperlink r:id="rId216" ref="D220"/>
    <hyperlink r:id="rId217" ref="D221"/>
    <hyperlink r:id="rId218" ref="D222"/>
    <hyperlink r:id="rId219" ref="D223"/>
    <hyperlink r:id="rId220" ref="D224"/>
    <hyperlink r:id="rId221" ref="D225"/>
    <hyperlink r:id="rId222" ref="D226"/>
    <hyperlink r:id="rId223" ref="D227"/>
    <hyperlink r:id="rId224" ref="D228"/>
    <hyperlink r:id="rId225" ref="D229"/>
    <hyperlink r:id="rId226" ref="D230"/>
    <hyperlink r:id="rId227" ref="D231"/>
    <hyperlink r:id="rId228" ref="D232"/>
    <hyperlink r:id="rId229" ref="D233"/>
    <hyperlink r:id="rId230" ref="D234"/>
    <hyperlink r:id="rId231" ref="D235"/>
    <hyperlink r:id="rId232" ref="D236"/>
    <hyperlink r:id="rId233" ref="D237"/>
    <hyperlink r:id="rId234" ref="D238"/>
    <hyperlink r:id="rId235" ref="D239"/>
    <hyperlink r:id="rId236" ref="D240"/>
    <hyperlink r:id="rId237" ref="D241"/>
    <hyperlink r:id="rId238" ref="D242"/>
    <hyperlink r:id="rId239" ref="D243"/>
    <hyperlink r:id="rId240" ref="D244"/>
    <hyperlink r:id="rId241" ref="D245"/>
    <hyperlink r:id="rId242" ref="D246"/>
    <hyperlink r:id="rId243" ref="D247"/>
    <hyperlink r:id="rId244" ref="D248"/>
    <hyperlink r:id="rId245" ref="D250"/>
    <hyperlink r:id="rId246" ref="D252"/>
    <hyperlink r:id="rId247" ref="D253"/>
    <hyperlink r:id="rId248" ref="D254"/>
    <hyperlink r:id="rId249" ref="D255"/>
    <hyperlink r:id="rId250" ref="D256"/>
    <hyperlink r:id="rId251" ref="D257"/>
    <hyperlink r:id="rId252" ref="D258"/>
    <hyperlink r:id="rId253" ref="D259"/>
    <hyperlink r:id="rId254" ref="D260"/>
    <hyperlink r:id="rId255" ref="D261"/>
    <hyperlink r:id="rId256" ref="D262"/>
    <hyperlink r:id="rId257" ref="D263"/>
    <hyperlink r:id="rId258" ref="D264"/>
    <hyperlink r:id="rId259" ref="D265"/>
    <hyperlink r:id="rId260" ref="D266"/>
    <hyperlink r:id="rId261" ref="D267"/>
    <hyperlink r:id="rId262" ref="D268"/>
    <hyperlink r:id="rId263" ref="D269"/>
    <hyperlink r:id="rId264" ref="D270"/>
    <hyperlink r:id="rId265" ref="D271"/>
    <hyperlink r:id="rId266" ref="D272"/>
    <hyperlink r:id="rId267" ref="D273"/>
    <hyperlink r:id="rId268" ref="D274"/>
    <hyperlink r:id="rId269" ref="D275"/>
    <hyperlink r:id="rId270" ref="D276"/>
    <hyperlink r:id="rId271" ref="D277"/>
    <hyperlink r:id="rId272" ref="D278"/>
    <hyperlink r:id="rId273" ref="D279"/>
    <hyperlink r:id="rId274" ref="D280"/>
    <hyperlink r:id="rId275" ref="D281"/>
    <hyperlink r:id="rId276" ref="D282"/>
    <hyperlink r:id="rId277" ref="D283"/>
    <hyperlink r:id="rId278" ref="D284"/>
    <hyperlink r:id="rId279" ref="D285"/>
    <hyperlink r:id="rId280" ref="D286"/>
    <hyperlink r:id="rId281" ref="D287"/>
    <hyperlink r:id="rId282" ref="D288"/>
    <hyperlink r:id="rId283" ref="D290"/>
    <hyperlink r:id="rId284" ref="D291"/>
    <hyperlink r:id="rId285" ref="D292"/>
    <hyperlink r:id="rId286" ref="D293"/>
    <hyperlink r:id="rId287" ref="D294"/>
    <hyperlink r:id="rId288" ref="D295"/>
    <hyperlink r:id="rId289" ref="D296"/>
    <hyperlink r:id="rId290" ref="D297"/>
    <hyperlink r:id="rId291" ref="D298"/>
  </hyperlinks>
  <drawing r:id="rId29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2" max="2" width="33.5"/>
    <col customWidth="1" min="3" max="3" width="17.5"/>
    <col customWidth="1" min="4" max="4" width="18.5"/>
    <col customWidth="1" min="5" max="6" width="16.38"/>
    <col customWidth="1" min="7" max="7" width="20.25"/>
    <col customWidth="1" min="8" max="8" width="49.75"/>
    <col customWidth="1" min="9" max="9" width="21.63"/>
    <col customWidth="1" min="10" max="10" width="18.88"/>
    <col customWidth="1" min="11" max="11" width="20.5"/>
    <col customWidth="1" min="12" max="12" width="26.88"/>
    <col customWidth="1" min="13" max="13" width="22.75"/>
  </cols>
  <sheetData>
    <row r="1" ht="32.25" customHeight="1">
      <c r="A1" s="9"/>
      <c r="B1" s="9"/>
      <c r="C1" s="10" t="s">
        <v>0</v>
      </c>
    </row>
    <row r="2">
      <c r="A2" s="9"/>
      <c r="B2" s="9"/>
      <c r="C2" s="9"/>
      <c r="D2" s="9"/>
      <c r="E2" s="11" t="s">
        <v>1</v>
      </c>
      <c r="F2" s="11"/>
      <c r="G2" s="11"/>
      <c r="H2" s="9"/>
      <c r="I2" s="9"/>
      <c r="K2" s="9"/>
      <c r="L2" s="9"/>
      <c r="M2" s="9"/>
    </row>
    <row r="3">
      <c r="A3" s="12" t="s">
        <v>2</v>
      </c>
      <c r="C3" s="9"/>
      <c r="D3" s="9"/>
      <c r="E3" s="13" t="s">
        <v>3</v>
      </c>
      <c r="F3" s="13"/>
      <c r="G3" s="13"/>
      <c r="H3" s="9"/>
      <c r="I3" s="9"/>
      <c r="J3" s="9"/>
      <c r="K3" s="9"/>
      <c r="L3" s="9"/>
      <c r="M3" s="9"/>
    </row>
    <row r="4">
      <c r="A4" s="9"/>
      <c r="B4" s="9"/>
      <c r="C4" s="9"/>
      <c r="D4" s="9"/>
      <c r="E4" s="14" t="s">
        <v>4</v>
      </c>
      <c r="F4" s="14"/>
      <c r="G4" s="14"/>
      <c r="H4" s="9"/>
      <c r="I4" s="9"/>
      <c r="J4" s="9"/>
      <c r="K4" s="9"/>
      <c r="L4" s="9"/>
      <c r="M4" s="9"/>
    </row>
    <row r="5">
      <c r="A5" s="9"/>
      <c r="B5" s="9"/>
      <c r="C5" s="9"/>
      <c r="D5" s="9"/>
      <c r="E5" s="14" t="s">
        <v>5</v>
      </c>
      <c r="F5" s="14"/>
      <c r="G5" s="14"/>
      <c r="H5" s="9"/>
      <c r="I5" s="9"/>
      <c r="J5" s="9"/>
      <c r="K5" s="9"/>
      <c r="L5" s="9"/>
      <c r="M5" s="9"/>
    </row>
    <row r="6">
      <c r="A6" s="9"/>
      <c r="B6" s="9"/>
      <c r="C6" s="9"/>
      <c r="D6" s="9"/>
      <c r="E6" s="14" t="s">
        <v>6</v>
      </c>
      <c r="F6" s="14"/>
      <c r="G6" s="14"/>
      <c r="H6" s="9"/>
      <c r="I6" s="9"/>
      <c r="J6" s="9"/>
      <c r="K6" s="9"/>
      <c r="L6" s="9"/>
      <c r="M6" s="9"/>
    </row>
    <row r="7">
      <c r="A7" s="9"/>
      <c r="B7" s="9"/>
      <c r="C7" s="9"/>
      <c r="D7" s="9"/>
      <c r="E7" s="11" t="s">
        <v>7</v>
      </c>
      <c r="F7" s="11"/>
      <c r="G7" s="11"/>
      <c r="H7" s="9"/>
      <c r="I7" s="9"/>
      <c r="J7" s="9"/>
      <c r="K7" s="9"/>
      <c r="L7" s="9"/>
      <c r="M7" s="9"/>
    </row>
    <row r="8">
      <c r="A8" s="9"/>
      <c r="B8" s="9"/>
      <c r="C8" s="9"/>
      <c r="D8" s="9"/>
      <c r="E8" s="9"/>
      <c r="F8" s="9"/>
      <c r="G8" s="9"/>
      <c r="H8" s="9"/>
      <c r="I8" s="9"/>
      <c r="J8" s="9"/>
      <c r="K8" s="9"/>
      <c r="L8" s="9"/>
      <c r="M8" s="9"/>
    </row>
    <row r="9">
      <c r="A9" s="9"/>
      <c r="B9" s="9"/>
      <c r="C9" s="15" t="s">
        <v>8</v>
      </c>
      <c r="D9" s="16" t="s">
        <v>8</v>
      </c>
      <c r="E9" s="16" t="s">
        <v>8</v>
      </c>
      <c r="F9" s="17" t="s">
        <v>8</v>
      </c>
      <c r="G9" s="16" t="s">
        <v>8</v>
      </c>
      <c r="H9" s="16" t="s">
        <v>8</v>
      </c>
      <c r="I9" s="16" t="s">
        <v>8</v>
      </c>
      <c r="J9" s="16" t="s">
        <v>8</v>
      </c>
      <c r="K9" s="18" t="s">
        <v>9</v>
      </c>
      <c r="L9" s="18" t="s">
        <v>9</v>
      </c>
      <c r="M9" s="17" t="s">
        <v>8</v>
      </c>
    </row>
    <row r="10" ht="25.5" customHeight="1">
      <c r="A10" s="19" t="s">
        <v>10</v>
      </c>
      <c r="B10" s="20" t="s">
        <v>11</v>
      </c>
      <c r="C10" s="19" t="s">
        <v>12</v>
      </c>
      <c r="D10" s="19" t="s">
        <v>13</v>
      </c>
      <c r="E10" s="19" t="s">
        <v>14</v>
      </c>
      <c r="F10" s="21" t="s">
        <v>15</v>
      </c>
      <c r="G10" s="19" t="s">
        <v>16</v>
      </c>
      <c r="H10" s="20" t="s">
        <v>17</v>
      </c>
      <c r="I10" s="19" t="s">
        <v>18</v>
      </c>
      <c r="J10" s="19" t="s">
        <v>19</v>
      </c>
      <c r="K10" s="22" t="s">
        <v>20</v>
      </c>
      <c r="L10" s="19" t="s">
        <v>21</v>
      </c>
      <c r="M10" s="21" t="s">
        <v>22</v>
      </c>
    </row>
    <row r="11">
      <c r="A11" s="23">
        <v>1.0</v>
      </c>
      <c r="B11" s="24" t="s">
        <v>23</v>
      </c>
      <c r="C11" s="25">
        <v>46153.0</v>
      </c>
      <c r="D11" s="25">
        <v>46170.0</v>
      </c>
      <c r="E11" s="25">
        <v>46183.0</v>
      </c>
      <c r="F11" s="26">
        <v>46183.0</v>
      </c>
      <c r="G11" s="23" t="s">
        <v>24</v>
      </c>
      <c r="H11" s="27" t="s">
        <v>25</v>
      </c>
      <c r="I11" s="23" t="s">
        <v>26</v>
      </c>
      <c r="J11" s="23" t="s">
        <v>27</v>
      </c>
      <c r="K11" s="28"/>
      <c r="L11" s="28"/>
      <c r="M11" s="29"/>
    </row>
    <row r="12">
      <c r="A12" s="23">
        <v>2.0</v>
      </c>
      <c r="B12" s="24" t="s">
        <v>28</v>
      </c>
      <c r="C12" s="25">
        <v>46157.0</v>
      </c>
      <c r="D12" s="25">
        <v>46159.0</v>
      </c>
      <c r="E12" s="25">
        <v>46183.0</v>
      </c>
      <c r="F12" s="26">
        <v>46183.0</v>
      </c>
      <c r="G12" s="23" t="s">
        <v>24</v>
      </c>
      <c r="H12" s="30" t="s">
        <v>29</v>
      </c>
      <c r="I12" s="23" t="s">
        <v>26</v>
      </c>
      <c r="J12" s="23" t="s">
        <v>27</v>
      </c>
      <c r="K12" s="28"/>
      <c r="L12" s="28"/>
      <c r="M12" s="29"/>
    </row>
    <row r="13">
      <c r="A13" s="23">
        <v>3.0</v>
      </c>
      <c r="B13" s="31" t="s">
        <v>30</v>
      </c>
      <c r="C13" s="25">
        <v>46165.0</v>
      </c>
      <c r="D13" s="25">
        <v>46167.0</v>
      </c>
      <c r="E13" s="25">
        <v>46183.0</v>
      </c>
      <c r="F13" s="26">
        <v>46183.0</v>
      </c>
      <c r="G13" s="23" t="s">
        <v>24</v>
      </c>
      <c r="H13" s="32" t="s">
        <v>31</v>
      </c>
      <c r="I13" s="23" t="s">
        <v>26</v>
      </c>
      <c r="J13" s="23" t="s">
        <v>27</v>
      </c>
      <c r="K13" s="28"/>
      <c r="L13" s="28"/>
      <c r="M13" s="29"/>
    </row>
    <row r="14">
      <c r="A14" s="23">
        <v>4.0</v>
      </c>
      <c r="B14" s="33" t="s">
        <v>32</v>
      </c>
      <c r="C14" s="25">
        <v>46170.0</v>
      </c>
      <c r="D14" s="25">
        <v>46173.0</v>
      </c>
      <c r="E14" s="25">
        <v>46183.0</v>
      </c>
      <c r="F14" s="26">
        <v>46183.0</v>
      </c>
      <c r="G14" s="23" t="s">
        <v>24</v>
      </c>
      <c r="H14" s="30" t="s">
        <v>33</v>
      </c>
      <c r="I14" s="23" t="s">
        <v>26</v>
      </c>
      <c r="J14" s="23" t="s">
        <v>27</v>
      </c>
      <c r="K14" s="28"/>
      <c r="L14" s="28"/>
      <c r="M14" s="29"/>
    </row>
    <row r="15">
      <c r="A15" s="23">
        <v>5.0</v>
      </c>
      <c r="B15" s="34" t="s">
        <v>34</v>
      </c>
      <c r="C15" s="25">
        <v>46178.0</v>
      </c>
      <c r="D15" s="25">
        <v>46181.0</v>
      </c>
      <c r="E15" s="25">
        <v>46183.0</v>
      </c>
      <c r="F15" s="26">
        <v>46183.0</v>
      </c>
      <c r="G15" s="23" t="s">
        <v>24</v>
      </c>
      <c r="H15" s="30" t="s">
        <v>35</v>
      </c>
      <c r="I15" s="23" t="s">
        <v>26</v>
      </c>
      <c r="J15" s="23" t="s">
        <v>27</v>
      </c>
      <c r="K15" s="28"/>
      <c r="L15" s="28"/>
      <c r="M15" s="29"/>
    </row>
    <row r="16">
      <c r="A16" s="23">
        <v>6.0</v>
      </c>
      <c r="B16" s="35" t="s">
        <v>36</v>
      </c>
      <c r="C16" s="25">
        <v>46170.0</v>
      </c>
      <c r="D16" s="25">
        <v>46173.0</v>
      </c>
      <c r="E16" s="25">
        <v>46183.0</v>
      </c>
      <c r="F16" s="26">
        <v>46183.0</v>
      </c>
      <c r="G16" s="23" t="s">
        <v>37</v>
      </c>
      <c r="H16" s="32" t="s">
        <v>38</v>
      </c>
      <c r="I16" s="23" t="s">
        <v>26</v>
      </c>
      <c r="J16" s="23" t="s">
        <v>27</v>
      </c>
      <c r="K16" s="28"/>
      <c r="L16" s="28"/>
      <c r="M16" s="29"/>
    </row>
    <row r="17">
      <c r="A17" s="23">
        <v>7.0</v>
      </c>
      <c r="B17" s="36" t="s">
        <v>39</v>
      </c>
      <c r="C17" s="25">
        <v>46171.0</v>
      </c>
      <c r="D17" s="25">
        <v>46173.0</v>
      </c>
      <c r="E17" s="25">
        <v>46183.0</v>
      </c>
      <c r="F17" s="26">
        <v>46183.0</v>
      </c>
      <c r="G17" s="23" t="s">
        <v>24</v>
      </c>
      <c r="H17" s="32" t="s">
        <v>40</v>
      </c>
      <c r="I17" s="37" t="s">
        <v>26</v>
      </c>
      <c r="J17" s="23" t="s">
        <v>27</v>
      </c>
      <c r="K17" s="28"/>
      <c r="L17" s="28"/>
      <c r="M17" s="38"/>
    </row>
    <row r="18">
      <c r="A18" s="23">
        <v>8.0</v>
      </c>
      <c r="B18" s="35" t="s">
        <v>41</v>
      </c>
      <c r="C18" s="25">
        <v>46172.0</v>
      </c>
      <c r="D18" s="25">
        <v>46173.0</v>
      </c>
      <c r="E18" s="25">
        <v>46183.0</v>
      </c>
      <c r="F18" s="26">
        <v>46183.0</v>
      </c>
      <c r="G18" s="23" t="s">
        <v>24</v>
      </c>
      <c r="H18" s="32" t="s">
        <v>42</v>
      </c>
      <c r="I18" s="37" t="s">
        <v>26</v>
      </c>
      <c r="J18" s="23" t="s">
        <v>27</v>
      </c>
      <c r="K18" s="28"/>
      <c r="L18" s="28"/>
      <c r="M18" s="38"/>
    </row>
    <row r="19">
      <c r="A19" s="37">
        <v>9.0</v>
      </c>
      <c r="B19" s="39" t="s">
        <v>43</v>
      </c>
      <c r="C19" s="25">
        <v>46176.0</v>
      </c>
      <c r="D19" s="25">
        <v>46178.0</v>
      </c>
      <c r="E19" s="25">
        <v>46190.0</v>
      </c>
      <c r="F19" s="25">
        <v>46190.0</v>
      </c>
      <c r="G19" s="23" t="s">
        <v>24</v>
      </c>
      <c r="H19" s="32" t="s">
        <v>44</v>
      </c>
      <c r="I19" s="40" t="s">
        <v>26</v>
      </c>
      <c r="J19" s="23" t="s">
        <v>27</v>
      </c>
      <c r="K19" s="28"/>
      <c r="L19" s="28"/>
      <c r="M19" s="38"/>
    </row>
    <row r="20">
      <c r="A20" s="41"/>
      <c r="B20" s="41"/>
      <c r="C20" s="42"/>
      <c r="D20" s="42"/>
      <c r="E20" s="43"/>
      <c r="F20" s="43"/>
      <c r="G20" s="23"/>
      <c r="H20" s="44"/>
      <c r="I20" s="41"/>
      <c r="J20" s="23"/>
      <c r="K20" s="28"/>
      <c r="L20" s="28"/>
      <c r="M20" s="38"/>
    </row>
    <row r="21">
      <c r="A21" s="41"/>
      <c r="B21" s="41"/>
      <c r="C21" s="45"/>
      <c r="D21" s="45"/>
      <c r="E21" s="46"/>
      <c r="F21" s="46"/>
      <c r="G21" s="46"/>
      <c r="H21" s="9"/>
      <c r="I21" s="9"/>
      <c r="J21" s="28"/>
      <c r="K21" s="28"/>
      <c r="L21" s="28"/>
      <c r="M21" s="47"/>
    </row>
    <row r="22">
      <c r="A22" s="41"/>
      <c r="B22" s="44"/>
      <c r="C22" s="48"/>
      <c r="D22" s="48"/>
      <c r="E22" s="46"/>
      <c r="F22" s="46"/>
      <c r="G22" s="46"/>
      <c r="H22" s="44"/>
      <c r="I22" s="41"/>
      <c r="J22" s="28"/>
      <c r="K22" s="28"/>
      <c r="L22" s="28"/>
      <c r="M22" s="38"/>
    </row>
    <row r="23">
      <c r="A23" s="41"/>
      <c r="B23" s="44"/>
      <c r="C23" s="49"/>
      <c r="D23" s="49"/>
      <c r="E23" s="46"/>
      <c r="F23" s="46"/>
      <c r="G23" s="46"/>
      <c r="H23" s="44"/>
      <c r="I23" s="41"/>
      <c r="J23" s="28"/>
      <c r="K23" s="28"/>
      <c r="L23" s="28"/>
      <c r="M23" s="38"/>
    </row>
    <row r="24">
      <c r="A24" s="41"/>
      <c r="B24" s="50"/>
      <c r="C24" s="49"/>
      <c r="D24" s="49"/>
      <c r="E24" s="49"/>
      <c r="F24" s="49"/>
      <c r="G24" s="49"/>
      <c r="H24" s="44"/>
      <c r="I24" s="41"/>
      <c r="J24" s="28"/>
      <c r="K24" s="28"/>
      <c r="L24" s="28"/>
      <c r="M24" s="38"/>
    </row>
    <row r="25">
      <c r="A25" s="41"/>
      <c r="B25" s="50"/>
      <c r="C25" s="49"/>
      <c r="D25" s="49"/>
      <c r="E25" s="49"/>
      <c r="F25" s="49"/>
      <c r="G25" s="49"/>
      <c r="H25" s="44"/>
      <c r="I25" s="50"/>
      <c r="J25" s="28"/>
      <c r="K25" s="28"/>
      <c r="L25" s="28"/>
      <c r="M25" s="38"/>
    </row>
    <row r="26">
      <c r="A26" s="41"/>
      <c r="B26" s="51"/>
      <c r="C26" s="49"/>
      <c r="D26" s="49"/>
      <c r="E26" s="49"/>
      <c r="F26" s="49"/>
      <c r="G26" s="49"/>
      <c r="H26" s="44"/>
      <c r="I26" s="41"/>
      <c r="J26" s="28"/>
      <c r="K26" s="28"/>
      <c r="L26" s="28"/>
      <c r="M26" s="38"/>
    </row>
    <row r="27">
      <c r="A27" s="41"/>
      <c r="B27" s="51"/>
      <c r="C27" s="52"/>
      <c r="D27" s="52"/>
      <c r="E27" s="52"/>
      <c r="F27" s="52"/>
      <c r="G27" s="52"/>
      <c r="H27" s="9"/>
      <c r="I27" s="9"/>
      <c r="J27" s="28"/>
      <c r="K27" s="28"/>
      <c r="L27" s="28"/>
      <c r="M27" s="47"/>
    </row>
    <row r="28">
      <c r="A28" s="41"/>
      <c r="B28" s="51"/>
      <c r="C28" s="49"/>
      <c r="D28" s="49"/>
      <c r="E28" s="49"/>
      <c r="F28" s="49"/>
      <c r="G28" s="49"/>
      <c r="H28" s="44"/>
      <c r="I28" s="41"/>
      <c r="J28" s="28"/>
      <c r="K28" s="28"/>
      <c r="L28" s="28"/>
      <c r="M28" s="38"/>
    </row>
    <row r="29">
      <c r="A29" s="41"/>
      <c r="B29" s="51"/>
      <c r="C29" s="49"/>
      <c r="D29" s="49"/>
      <c r="E29" s="49"/>
      <c r="F29" s="49"/>
      <c r="G29" s="49"/>
      <c r="H29" s="44"/>
      <c r="I29" s="41"/>
      <c r="J29" s="28"/>
      <c r="K29" s="9"/>
      <c r="L29" s="9"/>
      <c r="M29" s="47"/>
    </row>
    <row r="30">
      <c r="A30" s="41"/>
      <c r="B30" s="50"/>
      <c r="C30" s="49"/>
      <c r="D30" s="49"/>
      <c r="E30" s="49"/>
      <c r="F30" s="49"/>
      <c r="G30" s="49"/>
      <c r="H30" s="44"/>
      <c r="I30" s="41"/>
      <c r="J30" s="28"/>
      <c r="K30" s="9"/>
      <c r="L30" s="9"/>
      <c r="M30" s="47"/>
    </row>
    <row r="31">
      <c r="A31" s="41"/>
      <c r="B31" s="41"/>
      <c r="C31" s="49"/>
      <c r="D31" s="49"/>
      <c r="E31" s="49"/>
      <c r="F31" s="49"/>
      <c r="G31" s="49"/>
      <c r="H31" s="44"/>
      <c r="I31" s="41"/>
      <c r="J31" s="28"/>
      <c r="K31" s="9"/>
      <c r="L31" s="9"/>
      <c r="M31" s="47"/>
    </row>
    <row r="32">
      <c r="A32" s="41"/>
      <c r="B32" s="41"/>
      <c r="C32" s="49"/>
      <c r="D32" s="49"/>
      <c r="E32" s="49"/>
      <c r="F32" s="49"/>
      <c r="G32" s="49"/>
      <c r="H32" s="44"/>
      <c r="I32" s="41"/>
      <c r="J32" s="28"/>
      <c r="K32" s="9"/>
      <c r="L32" s="9"/>
      <c r="M32" s="47"/>
    </row>
    <row r="33">
      <c r="A33" s="41"/>
      <c r="B33" s="41"/>
      <c r="C33" s="53"/>
      <c r="D33" s="53"/>
      <c r="E33" s="49"/>
      <c r="F33" s="49"/>
      <c r="G33" s="49"/>
      <c r="H33" s="44"/>
      <c r="I33" s="41"/>
      <c r="J33" s="28"/>
      <c r="K33" s="9"/>
      <c r="L33" s="9"/>
      <c r="M33" s="47"/>
    </row>
    <row r="34">
      <c r="A34" s="41"/>
      <c r="B34" s="41"/>
      <c r="C34" s="53"/>
      <c r="D34" s="53"/>
      <c r="E34" s="52"/>
      <c r="F34" s="52"/>
      <c r="G34" s="52"/>
      <c r="H34" s="44"/>
      <c r="I34" s="41"/>
      <c r="J34" s="28"/>
      <c r="K34" s="9"/>
      <c r="L34" s="9"/>
      <c r="M34" s="47"/>
    </row>
    <row r="35">
      <c r="A35" s="41"/>
      <c r="B35" s="54"/>
      <c r="C35" s="53"/>
      <c r="D35" s="53"/>
      <c r="E35" s="53"/>
      <c r="F35" s="53"/>
      <c r="G35" s="53"/>
      <c r="H35" s="9"/>
      <c r="I35" s="9"/>
      <c r="J35" s="9"/>
      <c r="K35" s="9"/>
      <c r="L35" s="9"/>
      <c r="M35" s="9"/>
    </row>
    <row r="36">
      <c r="A36" s="41"/>
      <c r="B36" s="9"/>
      <c r="C36" s="53"/>
      <c r="D36" s="53"/>
      <c r="E36" s="53"/>
      <c r="F36" s="53"/>
      <c r="G36" s="53"/>
      <c r="H36" s="53"/>
      <c r="I36" s="53"/>
      <c r="J36" s="9"/>
      <c r="K36" s="9"/>
      <c r="L36" s="9"/>
      <c r="M36" s="9"/>
    </row>
    <row r="37">
      <c r="A37" s="41"/>
      <c r="B37" s="9"/>
      <c r="C37" s="53"/>
      <c r="D37" s="53"/>
      <c r="E37" s="53"/>
      <c r="F37" s="53"/>
      <c r="G37" s="53"/>
      <c r="H37" s="9"/>
      <c r="I37" s="9"/>
      <c r="J37" s="9"/>
      <c r="K37" s="9"/>
      <c r="L37" s="9"/>
      <c r="M37" s="9"/>
    </row>
    <row r="38">
      <c r="A38" s="41"/>
      <c r="B38" s="9"/>
      <c r="C38" s="53"/>
      <c r="D38" s="53"/>
      <c r="E38" s="53"/>
      <c r="F38" s="53"/>
      <c r="G38" s="53"/>
      <c r="I38" s="9"/>
      <c r="J38" s="9"/>
      <c r="K38" s="9"/>
      <c r="L38" s="9"/>
      <c r="M38" s="9"/>
    </row>
    <row r="39">
      <c r="A39" s="41"/>
      <c r="B39" s="9"/>
      <c r="C39" s="53"/>
      <c r="D39" s="53"/>
      <c r="E39" s="53"/>
      <c r="F39" s="53"/>
      <c r="G39" s="53"/>
      <c r="H39" s="9"/>
      <c r="I39" s="9"/>
      <c r="J39" s="9"/>
      <c r="K39" s="9"/>
      <c r="L39" s="9"/>
      <c r="M39" s="9"/>
    </row>
    <row r="40">
      <c r="A40" s="41"/>
      <c r="B40" s="9"/>
      <c r="C40" s="53"/>
      <c r="D40" s="53"/>
      <c r="E40" s="53"/>
      <c r="F40" s="53"/>
      <c r="G40" s="53"/>
      <c r="I40" s="9"/>
      <c r="J40" s="9"/>
      <c r="K40" s="9"/>
      <c r="L40" s="9"/>
      <c r="M40" s="9"/>
    </row>
    <row r="41">
      <c r="A41" s="41"/>
      <c r="B41" s="9"/>
      <c r="C41" s="53"/>
      <c r="D41" s="53"/>
      <c r="E41" s="53"/>
      <c r="F41" s="53"/>
      <c r="G41" s="53"/>
      <c r="H41" s="9"/>
      <c r="I41" s="55"/>
      <c r="J41" s="9"/>
      <c r="K41" s="9"/>
      <c r="L41" s="9"/>
      <c r="M41" s="9"/>
    </row>
    <row r="42">
      <c r="A42" s="41"/>
      <c r="B42" s="9"/>
      <c r="C42" s="53"/>
      <c r="D42" s="53"/>
      <c r="E42" s="53"/>
      <c r="F42" s="53"/>
      <c r="G42" s="53"/>
      <c r="I42" s="9"/>
      <c r="J42" s="9"/>
      <c r="K42" s="9"/>
      <c r="L42" s="9"/>
      <c r="M42" s="9"/>
    </row>
    <row r="43">
      <c r="A43" s="41"/>
      <c r="B43" s="9"/>
      <c r="C43" s="53"/>
      <c r="D43" s="53"/>
      <c r="E43" s="53"/>
      <c r="F43" s="53"/>
      <c r="G43" s="53"/>
      <c r="H43" s="9"/>
      <c r="I43" s="9"/>
      <c r="J43" s="9"/>
      <c r="K43" s="9"/>
      <c r="L43" s="9"/>
      <c r="M43" s="9"/>
    </row>
    <row r="44">
      <c r="A44" s="41"/>
      <c r="B44" s="9"/>
      <c r="C44" s="53"/>
      <c r="D44" s="53"/>
      <c r="E44" s="53"/>
      <c r="F44" s="53"/>
      <c r="G44" s="53"/>
      <c r="I44" s="9"/>
      <c r="J44" s="9"/>
      <c r="K44" s="9"/>
      <c r="L44" s="9"/>
      <c r="M44" s="9"/>
    </row>
    <row r="45">
      <c r="A45" s="41"/>
      <c r="B45" s="9"/>
      <c r="C45" s="53"/>
      <c r="D45" s="53"/>
      <c r="E45" s="53"/>
      <c r="F45" s="53"/>
      <c r="G45" s="53"/>
      <c r="H45" s="9"/>
      <c r="I45" s="55"/>
      <c r="J45" s="9"/>
      <c r="K45" s="9"/>
      <c r="L45" s="9"/>
      <c r="M45" s="9"/>
    </row>
    <row r="46">
      <c r="A46" s="41"/>
      <c r="B46" s="9"/>
      <c r="C46" s="53"/>
      <c r="D46" s="53"/>
      <c r="E46" s="53"/>
      <c r="F46" s="53"/>
      <c r="G46" s="53"/>
      <c r="I46" s="9"/>
      <c r="J46" s="9"/>
      <c r="K46" s="9"/>
      <c r="L46" s="9"/>
      <c r="M46" s="9"/>
    </row>
    <row r="47">
      <c r="A47" s="41"/>
      <c r="B47" s="9"/>
      <c r="C47" s="53"/>
      <c r="D47" s="53"/>
      <c r="E47" s="53"/>
      <c r="F47" s="53"/>
      <c r="G47" s="53"/>
      <c r="I47" s="9"/>
      <c r="J47" s="9"/>
      <c r="K47" s="9"/>
      <c r="L47" s="9"/>
      <c r="M47" s="9"/>
    </row>
    <row r="48">
      <c r="A48" s="41"/>
      <c r="B48" s="9"/>
      <c r="C48" s="53"/>
      <c r="D48" s="53"/>
      <c r="E48" s="53"/>
      <c r="F48" s="53"/>
      <c r="G48" s="53"/>
      <c r="H48" s="9"/>
      <c r="I48" s="9"/>
      <c r="J48" s="9"/>
      <c r="K48" s="9"/>
      <c r="L48" s="9"/>
      <c r="M48" s="9"/>
    </row>
    <row r="49">
      <c r="A49" s="9"/>
      <c r="B49" s="9"/>
      <c r="C49" s="53"/>
      <c r="D49" s="53"/>
      <c r="E49" s="53"/>
      <c r="F49" s="53"/>
      <c r="G49" s="53"/>
      <c r="H49" s="9"/>
      <c r="I49" s="53"/>
      <c r="J49" s="9"/>
      <c r="K49" s="9"/>
      <c r="L49" s="9"/>
      <c r="M49" s="9"/>
    </row>
    <row r="50">
      <c r="A50" s="9"/>
      <c r="B50" s="9"/>
      <c r="E50" s="53"/>
      <c r="F50" s="53"/>
      <c r="G50" s="53"/>
      <c r="H50" s="9"/>
      <c r="I50" s="53"/>
      <c r="J50" s="9"/>
      <c r="K50" s="9"/>
      <c r="L50" s="9"/>
      <c r="M50" s="9"/>
    </row>
    <row r="51">
      <c r="A51" s="9"/>
      <c r="B51" s="9"/>
      <c r="E51" s="53"/>
      <c r="F51" s="53"/>
      <c r="G51" s="53"/>
      <c r="H51" s="9"/>
      <c r="I51" s="53"/>
      <c r="J51" s="9"/>
      <c r="K51" s="9"/>
      <c r="L51" s="9"/>
      <c r="M51" s="9"/>
    </row>
    <row r="52">
      <c r="A52" s="9"/>
      <c r="B52" s="9"/>
      <c r="E52" s="53"/>
      <c r="F52" s="53"/>
      <c r="G52" s="53"/>
      <c r="H52" s="9"/>
      <c r="I52" s="56"/>
      <c r="J52" s="9"/>
      <c r="K52" s="9"/>
      <c r="L52" s="9"/>
      <c r="M52" s="9"/>
    </row>
    <row r="53">
      <c r="A53" s="9"/>
      <c r="B53" s="9"/>
      <c r="C53" s="53"/>
      <c r="D53" s="53"/>
      <c r="E53" s="53"/>
      <c r="F53" s="53"/>
      <c r="G53" s="53"/>
      <c r="J53" s="9"/>
      <c r="K53" s="9"/>
      <c r="L53" s="9"/>
      <c r="M53" s="9"/>
    </row>
    <row r="54">
      <c r="A54" s="9"/>
      <c r="B54" s="9"/>
      <c r="C54" s="53"/>
      <c r="D54" s="53"/>
      <c r="E54" s="53"/>
      <c r="F54" s="53"/>
      <c r="G54" s="53"/>
      <c r="H54" s="9"/>
      <c r="I54" s="9"/>
      <c r="J54" s="9"/>
      <c r="K54" s="9"/>
      <c r="L54" s="9"/>
      <c r="M54" s="9"/>
    </row>
    <row r="55">
      <c r="A55" s="9"/>
      <c r="B55" s="9"/>
      <c r="C55" s="53"/>
      <c r="D55" s="53"/>
      <c r="E55" s="53"/>
      <c r="F55" s="53"/>
      <c r="G55" s="53"/>
      <c r="J55" s="9"/>
      <c r="K55" s="9"/>
      <c r="L55" s="9"/>
      <c r="M55" s="9"/>
    </row>
    <row r="56">
      <c r="A56" s="9"/>
      <c r="B56" s="9"/>
      <c r="C56" s="53"/>
      <c r="D56" s="53"/>
      <c r="E56" s="53"/>
      <c r="F56" s="53"/>
      <c r="G56" s="53"/>
      <c r="H56" s="9"/>
      <c r="I56" s="53"/>
      <c r="J56" s="9"/>
      <c r="K56" s="9"/>
      <c r="L56" s="9"/>
      <c r="M56" s="9"/>
    </row>
    <row r="57">
      <c r="A57" s="9"/>
      <c r="B57" s="9"/>
      <c r="C57" s="53"/>
      <c r="D57" s="53"/>
      <c r="E57" s="53"/>
      <c r="F57" s="53"/>
      <c r="G57" s="53"/>
      <c r="H57" s="9"/>
      <c r="J57" s="9"/>
      <c r="K57" s="9"/>
      <c r="L57" s="9"/>
      <c r="M57" s="9"/>
    </row>
    <row r="58">
      <c r="A58" s="9"/>
      <c r="B58" s="9"/>
      <c r="C58" s="53"/>
      <c r="D58" s="53"/>
      <c r="E58" s="53"/>
      <c r="F58" s="53"/>
      <c r="G58" s="53"/>
      <c r="H58" s="9"/>
      <c r="I58" s="53"/>
      <c r="J58" s="9"/>
      <c r="K58" s="9"/>
      <c r="L58" s="9"/>
      <c r="M58" s="9"/>
    </row>
    <row r="59">
      <c r="A59" s="9"/>
      <c r="B59" s="9"/>
      <c r="C59" s="53"/>
      <c r="D59" s="53"/>
      <c r="E59" s="53"/>
      <c r="F59" s="53"/>
      <c r="G59" s="53"/>
      <c r="H59" s="9"/>
      <c r="J59" s="9"/>
      <c r="K59" s="9"/>
      <c r="L59" s="9"/>
      <c r="M59" s="9"/>
    </row>
    <row r="60">
      <c r="A60" s="9"/>
      <c r="B60" s="9"/>
      <c r="C60" s="53"/>
      <c r="D60" s="53"/>
      <c r="E60" s="53"/>
      <c r="F60" s="53"/>
      <c r="G60" s="53"/>
      <c r="J60" s="9"/>
      <c r="K60" s="9"/>
      <c r="L60" s="9"/>
      <c r="M60" s="9"/>
    </row>
    <row r="61">
      <c r="A61" s="9"/>
      <c r="B61" s="9"/>
      <c r="C61" s="53"/>
      <c r="D61" s="53"/>
      <c r="E61" s="53"/>
      <c r="F61" s="53"/>
      <c r="G61" s="53"/>
      <c r="H61" s="9"/>
      <c r="I61" s="53"/>
      <c r="J61" s="9"/>
      <c r="K61" s="9"/>
      <c r="L61" s="9"/>
      <c r="M61" s="9"/>
    </row>
    <row r="62">
      <c r="A62" s="9"/>
      <c r="B62" s="9"/>
      <c r="C62" s="53"/>
      <c r="D62" s="53"/>
      <c r="E62" s="53"/>
      <c r="F62" s="53"/>
      <c r="G62" s="53"/>
      <c r="H62" s="9"/>
      <c r="J62" s="9"/>
      <c r="K62" s="9"/>
      <c r="L62" s="9"/>
      <c r="M62" s="9"/>
    </row>
    <row r="63">
      <c r="A63" s="9"/>
      <c r="B63" s="9"/>
      <c r="C63" s="53"/>
      <c r="D63" s="53"/>
      <c r="E63" s="53"/>
      <c r="F63" s="53"/>
      <c r="G63" s="53"/>
      <c r="J63" s="9"/>
      <c r="K63" s="9"/>
      <c r="L63" s="9"/>
      <c r="M63" s="9"/>
    </row>
    <row r="64">
      <c r="A64" s="9"/>
      <c r="B64" s="9"/>
      <c r="C64" s="53"/>
      <c r="D64" s="53"/>
      <c r="E64" s="53"/>
      <c r="F64" s="53"/>
      <c r="G64" s="53"/>
      <c r="H64" s="9"/>
      <c r="I64" s="53"/>
      <c r="J64" s="9"/>
      <c r="K64" s="9"/>
      <c r="L64" s="9"/>
      <c r="M64" s="9"/>
    </row>
    <row r="65">
      <c r="A65" s="9"/>
      <c r="B65" s="9"/>
      <c r="C65" s="52"/>
      <c r="D65" s="52"/>
      <c r="E65" s="52"/>
      <c r="F65" s="52"/>
      <c r="G65" s="52"/>
      <c r="H65" s="9"/>
      <c r="I65" s="52"/>
      <c r="J65" s="9"/>
      <c r="K65" s="9"/>
      <c r="L65" s="9"/>
      <c r="M65" s="9"/>
    </row>
    <row r="66">
      <c r="A66" s="9"/>
      <c r="B66" s="9"/>
      <c r="C66" s="52"/>
      <c r="D66" s="52"/>
      <c r="E66" s="52"/>
      <c r="F66" s="52"/>
      <c r="G66" s="52"/>
      <c r="H66" s="9"/>
      <c r="I66" s="52"/>
      <c r="J66" s="9"/>
      <c r="K66" s="9"/>
      <c r="L66" s="9"/>
      <c r="M66" s="9"/>
    </row>
    <row r="67">
      <c r="A67" s="9"/>
      <c r="B67" s="9"/>
      <c r="C67" s="52"/>
      <c r="D67" s="52"/>
      <c r="E67" s="52"/>
      <c r="F67" s="52"/>
      <c r="G67" s="52"/>
      <c r="H67" s="9"/>
      <c r="I67" s="52"/>
      <c r="J67" s="9"/>
      <c r="K67" s="9"/>
      <c r="L67" s="9"/>
      <c r="M67" s="9"/>
    </row>
    <row r="68">
      <c r="A68" s="9"/>
      <c r="B68" s="9"/>
      <c r="C68" s="52"/>
      <c r="D68" s="52"/>
      <c r="E68" s="52"/>
      <c r="F68" s="52"/>
      <c r="G68" s="52"/>
      <c r="H68" s="9"/>
      <c r="I68" s="52"/>
      <c r="J68" s="9"/>
      <c r="K68" s="9"/>
      <c r="L68" s="9"/>
      <c r="M68" s="9"/>
    </row>
    <row r="69">
      <c r="A69" s="9"/>
      <c r="B69" s="9"/>
      <c r="C69" s="52"/>
      <c r="D69" s="52"/>
      <c r="E69" s="52"/>
      <c r="F69" s="52"/>
      <c r="G69" s="52"/>
      <c r="H69" s="9"/>
      <c r="I69" s="9"/>
      <c r="J69" s="9"/>
      <c r="K69" s="9"/>
      <c r="L69" s="9"/>
      <c r="M69" s="9"/>
    </row>
    <row r="70">
      <c r="A70" s="9"/>
      <c r="B70" s="9"/>
      <c r="C70" s="52"/>
      <c r="D70" s="52"/>
      <c r="E70" s="52"/>
      <c r="F70" s="52"/>
      <c r="G70" s="52"/>
      <c r="H70" s="9"/>
      <c r="I70" s="9"/>
      <c r="J70" s="9"/>
      <c r="K70" s="9"/>
      <c r="L70" s="9"/>
      <c r="M70" s="9"/>
    </row>
    <row r="71">
      <c r="A71" s="9"/>
      <c r="B71" s="9"/>
      <c r="C71" s="52"/>
      <c r="D71" s="52"/>
      <c r="E71" s="52"/>
      <c r="F71" s="52"/>
      <c r="G71" s="52"/>
      <c r="H71" s="9"/>
      <c r="I71" s="9"/>
      <c r="J71" s="9"/>
      <c r="K71" s="9"/>
      <c r="L71" s="9"/>
      <c r="M71" s="9"/>
    </row>
    <row r="72">
      <c r="A72" s="9"/>
      <c r="B72" s="9"/>
      <c r="C72" s="52"/>
      <c r="D72" s="52"/>
      <c r="E72" s="52"/>
      <c r="F72" s="52"/>
      <c r="G72" s="52"/>
      <c r="H72" s="9"/>
      <c r="I72" s="9"/>
      <c r="J72" s="9"/>
      <c r="K72" s="9"/>
      <c r="L72" s="9"/>
      <c r="M72" s="9"/>
    </row>
    <row r="73">
      <c r="A73" s="9"/>
      <c r="B73" s="9"/>
      <c r="C73" s="52"/>
      <c r="D73" s="52"/>
      <c r="E73" s="53"/>
      <c r="F73" s="53"/>
      <c r="G73" s="53"/>
      <c r="H73" s="9"/>
      <c r="I73" s="9"/>
      <c r="J73" s="9"/>
      <c r="K73" s="9"/>
      <c r="L73" s="9"/>
      <c r="M73" s="9"/>
    </row>
    <row r="74">
      <c r="A74" s="9"/>
      <c r="B74" s="9"/>
      <c r="C74" s="52"/>
      <c r="D74" s="52"/>
      <c r="E74" s="52"/>
      <c r="F74" s="52"/>
      <c r="G74" s="52"/>
      <c r="H74" s="9"/>
      <c r="I74" s="9"/>
      <c r="J74" s="9"/>
      <c r="K74" s="9"/>
      <c r="L74" s="9"/>
      <c r="M74" s="9"/>
    </row>
    <row r="75">
      <c r="A75" s="9"/>
      <c r="B75" s="9"/>
      <c r="C75" s="52"/>
      <c r="D75" s="52"/>
      <c r="E75" s="52"/>
      <c r="F75" s="52"/>
      <c r="G75" s="52"/>
      <c r="H75" s="9"/>
      <c r="I75" s="9"/>
      <c r="J75" s="9"/>
      <c r="K75" s="9"/>
      <c r="L75" s="9"/>
      <c r="M75" s="9"/>
    </row>
    <row r="76">
      <c r="A76" s="9"/>
      <c r="B76" s="9"/>
      <c r="C76" s="52"/>
      <c r="D76" s="52"/>
      <c r="E76" s="52"/>
      <c r="F76" s="52"/>
      <c r="G76" s="52"/>
      <c r="H76" s="9"/>
      <c r="I76" s="9"/>
      <c r="J76" s="9"/>
      <c r="K76" s="9"/>
      <c r="L76" s="9"/>
      <c r="M76" s="9"/>
    </row>
    <row r="77">
      <c r="A77" s="9"/>
      <c r="B77" s="9"/>
      <c r="C77" s="52"/>
      <c r="D77" s="52"/>
      <c r="E77" s="52"/>
      <c r="F77" s="52"/>
      <c r="G77" s="52"/>
      <c r="H77" s="9"/>
      <c r="I77" s="9"/>
      <c r="J77" s="9"/>
      <c r="K77" s="9"/>
      <c r="L77" s="9"/>
      <c r="M77" s="9"/>
    </row>
    <row r="78">
      <c r="A78" s="9"/>
      <c r="B78" s="9"/>
      <c r="C78" s="52"/>
      <c r="D78" s="52"/>
      <c r="E78" s="52"/>
      <c r="F78" s="52"/>
      <c r="G78" s="52"/>
      <c r="H78" s="9"/>
      <c r="I78" s="9"/>
      <c r="J78" s="9"/>
      <c r="K78" s="9"/>
      <c r="L78" s="9"/>
      <c r="M78" s="9"/>
    </row>
    <row r="79">
      <c r="A79" s="9"/>
      <c r="B79" s="9"/>
      <c r="C79" s="52"/>
      <c r="D79" s="52"/>
      <c r="E79" s="52"/>
      <c r="F79" s="52"/>
      <c r="G79" s="52"/>
      <c r="H79" s="9"/>
      <c r="I79" s="9"/>
      <c r="J79" s="9"/>
      <c r="K79" s="9"/>
      <c r="L79" s="9"/>
      <c r="M79" s="9"/>
    </row>
    <row r="80">
      <c r="A80" s="9"/>
      <c r="B80" s="9"/>
      <c r="C80" s="52"/>
      <c r="D80" s="52"/>
      <c r="E80" s="52"/>
      <c r="F80" s="52"/>
      <c r="G80" s="52"/>
      <c r="H80" s="9"/>
      <c r="I80" s="9"/>
      <c r="J80" s="9"/>
      <c r="K80" s="9"/>
      <c r="L80" s="9"/>
      <c r="M80" s="9"/>
    </row>
    <row r="81">
      <c r="A81" s="9"/>
      <c r="B81" s="9"/>
      <c r="C81" s="52"/>
      <c r="D81" s="52"/>
      <c r="E81" s="52"/>
      <c r="F81" s="52"/>
      <c r="G81" s="52"/>
      <c r="H81" s="9"/>
      <c r="I81" s="52"/>
      <c r="J81" s="9"/>
      <c r="K81" s="9"/>
      <c r="L81" s="9"/>
      <c r="M81" s="9"/>
    </row>
    <row r="82">
      <c r="A82" s="9"/>
      <c r="B82" s="9"/>
      <c r="C82" s="52"/>
      <c r="D82" s="52"/>
      <c r="E82" s="52"/>
      <c r="F82" s="52"/>
      <c r="G82" s="52"/>
      <c r="H82" s="9"/>
      <c r="I82" s="9"/>
      <c r="J82" s="9"/>
      <c r="K82" s="9"/>
      <c r="L82" s="9"/>
      <c r="M82" s="9"/>
    </row>
    <row r="83">
      <c r="A83" s="9"/>
      <c r="B83" s="9"/>
      <c r="C83" s="52"/>
      <c r="D83" s="52"/>
      <c r="E83" s="52"/>
      <c r="F83" s="52"/>
      <c r="G83" s="52"/>
      <c r="H83" s="9"/>
      <c r="I83" s="9"/>
      <c r="J83" s="9"/>
      <c r="K83" s="9"/>
      <c r="L83" s="9"/>
      <c r="M83" s="9"/>
    </row>
    <row r="84">
      <c r="A84" s="9"/>
      <c r="B84" s="9"/>
      <c r="C84" s="52"/>
      <c r="D84" s="52"/>
      <c r="E84" s="52"/>
      <c r="F84" s="52"/>
      <c r="G84" s="52"/>
      <c r="H84" s="9"/>
      <c r="I84" s="9"/>
      <c r="J84" s="9"/>
      <c r="K84" s="9"/>
      <c r="L84" s="9"/>
      <c r="M84" s="9"/>
    </row>
    <row r="85">
      <c r="A85" s="9"/>
      <c r="B85" s="9"/>
      <c r="C85" s="52"/>
      <c r="D85" s="52"/>
      <c r="E85" s="52"/>
      <c r="F85" s="52"/>
      <c r="G85" s="52"/>
      <c r="H85" s="9"/>
      <c r="I85" s="9"/>
      <c r="J85" s="9"/>
      <c r="K85" s="9"/>
      <c r="L85" s="9"/>
      <c r="M85" s="9"/>
    </row>
    <row r="86">
      <c r="A86" s="9"/>
      <c r="B86" s="9"/>
      <c r="C86" s="52"/>
      <c r="D86" s="52"/>
      <c r="E86" s="52"/>
      <c r="F86" s="52"/>
      <c r="G86" s="52"/>
      <c r="H86" s="9"/>
      <c r="I86" s="9"/>
      <c r="J86" s="9"/>
      <c r="K86" s="9"/>
      <c r="L86" s="9"/>
      <c r="M86" s="9"/>
    </row>
    <row r="87">
      <c r="A87" s="9"/>
      <c r="B87" s="9"/>
      <c r="C87" s="52"/>
      <c r="D87" s="52"/>
      <c r="E87" s="52"/>
      <c r="F87" s="52"/>
      <c r="G87" s="52"/>
      <c r="H87" s="9"/>
      <c r="I87" s="9"/>
      <c r="J87" s="9"/>
      <c r="K87" s="9"/>
      <c r="L87" s="9"/>
      <c r="M87" s="9"/>
    </row>
    <row r="88">
      <c r="A88" s="9"/>
      <c r="B88" s="9"/>
      <c r="C88" s="52"/>
      <c r="D88" s="52"/>
      <c r="E88" s="52"/>
      <c r="F88" s="52"/>
      <c r="G88" s="52"/>
      <c r="H88" s="9"/>
      <c r="I88" s="9"/>
      <c r="J88" s="9"/>
      <c r="K88" s="9"/>
      <c r="L88" s="9"/>
      <c r="M88" s="9"/>
    </row>
    <row r="89">
      <c r="A89" s="9"/>
      <c r="B89" s="9"/>
      <c r="C89" s="52"/>
      <c r="D89" s="52"/>
      <c r="E89" s="52"/>
      <c r="F89" s="52"/>
      <c r="G89" s="52"/>
      <c r="H89" s="9"/>
      <c r="I89" s="9"/>
      <c r="J89" s="9"/>
      <c r="K89" s="9"/>
      <c r="L89" s="9"/>
      <c r="M89" s="9"/>
    </row>
    <row r="90">
      <c r="A90" s="9"/>
      <c r="B90" s="9"/>
      <c r="C90" s="52"/>
      <c r="D90" s="52"/>
      <c r="E90" s="52"/>
      <c r="F90" s="52"/>
      <c r="G90" s="52"/>
      <c r="H90" s="9"/>
      <c r="I90" s="9"/>
      <c r="J90" s="9"/>
      <c r="K90" s="9"/>
      <c r="L90" s="9"/>
      <c r="M90" s="9"/>
    </row>
    <row r="91">
      <c r="A91" s="9"/>
      <c r="B91" s="9"/>
      <c r="C91" s="52"/>
      <c r="D91" s="52"/>
      <c r="E91" s="52"/>
      <c r="F91" s="52"/>
      <c r="G91" s="52"/>
      <c r="H91" s="9"/>
      <c r="I91" s="9"/>
      <c r="J91" s="9"/>
      <c r="K91" s="9"/>
      <c r="L91" s="9"/>
      <c r="M91" s="9"/>
    </row>
    <row r="92">
      <c r="A92" s="9"/>
      <c r="B92" s="9"/>
      <c r="C92" s="52"/>
      <c r="D92" s="52"/>
      <c r="E92" s="52"/>
      <c r="F92" s="52"/>
      <c r="G92" s="52"/>
      <c r="H92" s="9"/>
      <c r="I92" s="9"/>
      <c r="J92" s="9"/>
      <c r="K92" s="9"/>
      <c r="L92" s="9"/>
      <c r="M92" s="9"/>
    </row>
    <row r="93">
      <c r="A93" s="9"/>
      <c r="B93" s="9"/>
      <c r="C93" s="52"/>
      <c r="D93" s="52"/>
      <c r="E93" s="52"/>
      <c r="F93" s="52"/>
      <c r="G93" s="52"/>
      <c r="H93" s="9"/>
      <c r="I93" s="9"/>
      <c r="J93" s="9"/>
      <c r="K93" s="9"/>
      <c r="L93" s="9"/>
      <c r="M93" s="9"/>
    </row>
    <row r="94">
      <c r="A94" s="9"/>
      <c r="B94" s="9"/>
      <c r="C94" s="52"/>
      <c r="D94" s="52"/>
      <c r="E94" s="52"/>
      <c r="F94" s="52"/>
      <c r="G94" s="52"/>
      <c r="H94" s="9"/>
      <c r="I94" s="9"/>
      <c r="J94" s="9"/>
      <c r="K94" s="9"/>
      <c r="L94" s="9"/>
      <c r="M94" s="9"/>
    </row>
    <row r="95">
      <c r="A95" s="9"/>
      <c r="B95" s="9"/>
      <c r="C95" s="52"/>
      <c r="D95" s="52"/>
      <c r="E95" s="52"/>
      <c r="F95" s="52"/>
      <c r="G95" s="52"/>
      <c r="H95" s="9"/>
      <c r="I95" s="9"/>
      <c r="J95" s="9"/>
      <c r="K95" s="9"/>
      <c r="L95" s="9"/>
      <c r="M95" s="9"/>
    </row>
    <row r="96">
      <c r="A96" s="9"/>
      <c r="B96" s="9"/>
      <c r="C96" s="52"/>
      <c r="D96" s="52"/>
      <c r="E96" s="52"/>
      <c r="F96" s="52"/>
      <c r="G96" s="52"/>
      <c r="H96" s="9"/>
      <c r="I96" s="9"/>
      <c r="J96" s="9"/>
      <c r="K96" s="9"/>
      <c r="L96" s="9"/>
      <c r="M96" s="9"/>
    </row>
    <row r="97">
      <c r="A97" s="9"/>
      <c r="B97" s="9"/>
      <c r="C97" s="52"/>
      <c r="D97" s="52"/>
      <c r="E97" s="52"/>
      <c r="F97" s="52"/>
      <c r="G97" s="52"/>
      <c r="H97" s="9"/>
      <c r="I97" s="9"/>
      <c r="J97" s="9"/>
      <c r="K97" s="9"/>
      <c r="L97" s="9"/>
      <c r="M97" s="9"/>
    </row>
    <row r="98">
      <c r="A98" s="9"/>
      <c r="B98" s="9"/>
      <c r="C98" s="52"/>
      <c r="D98" s="52"/>
      <c r="E98" s="52"/>
      <c r="F98" s="52"/>
      <c r="G98" s="52"/>
      <c r="H98" s="9"/>
      <c r="I98" s="9"/>
      <c r="J98" s="9"/>
      <c r="K98" s="9"/>
      <c r="L98" s="9"/>
      <c r="M98" s="9"/>
    </row>
    <row r="99">
      <c r="A99" s="9"/>
      <c r="B99" s="9"/>
      <c r="C99" s="52"/>
      <c r="D99" s="52"/>
      <c r="E99" s="52"/>
      <c r="F99" s="52"/>
      <c r="G99" s="52"/>
      <c r="H99" s="9"/>
      <c r="I99" s="9"/>
      <c r="J99" s="9"/>
      <c r="K99" s="9"/>
      <c r="L99" s="9"/>
      <c r="M99" s="9"/>
    </row>
    <row r="100">
      <c r="A100" s="9"/>
      <c r="B100" s="9"/>
      <c r="C100" s="52"/>
      <c r="D100" s="52"/>
      <c r="E100" s="52"/>
      <c r="F100" s="52"/>
      <c r="G100" s="52"/>
      <c r="H100" s="9"/>
      <c r="I100" s="9"/>
      <c r="J100" s="9"/>
      <c r="K100" s="9"/>
      <c r="L100" s="9"/>
      <c r="M100" s="9"/>
    </row>
    <row r="101">
      <c r="A101" s="9"/>
      <c r="B101" s="9"/>
      <c r="C101" s="52"/>
      <c r="D101" s="57"/>
      <c r="E101" s="52"/>
      <c r="F101" s="52"/>
      <c r="G101" s="52"/>
      <c r="H101" s="9"/>
      <c r="I101" s="9"/>
      <c r="J101" s="9"/>
      <c r="K101" s="9"/>
      <c r="L101" s="9"/>
      <c r="M101" s="9"/>
    </row>
    <row r="102">
      <c r="A102" s="9"/>
      <c r="B102" s="9"/>
      <c r="C102" s="52"/>
      <c r="D102" s="52"/>
      <c r="E102" s="57"/>
      <c r="F102" s="57"/>
      <c r="G102" s="57"/>
      <c r="H102" s="9"/>
      <c r="I102" s="9"/>
      <c r="J102" s="9"/>
      <c r="K102" s="9"/>
      <c r="L102" s="9"/>
      <c r="M102" s="9"/>
    </row>
    <row r="103">
      <c r="A103" s="9"/>
      <c r="B103" s="9"/>
      <c r="C103" s="57"/>
      <c r="D103" s="57"/>
      <c r="E103" s="57"/>
      <c r="F103" s="57"/>
      <c r="G103" s="57"/>
      <c r="H103" s="9"/>
      <c r="I103" s="9"/>
      <c r="J103" s="9"/>
      <c r="K103" s="9"/>
      <c r="L103" s="9"/>
      <c r="M103" s="9"/>
    </row>
    <row r="104">
      <c r="A104" s="9"/>
      <c r="B104" s="9"/>
      <c r="C104" s="57"/>
      <c r="D104" s="57"/>
      <c r="E104" s="57"/>
      <c r="F104" s="57"/>
      <c r="G104" s="57"/>
      <c r="H104" s="9"/>
      <c r="I104" s="9"/>
      <c r="J104" s="9"/>
      <c r="K104" s="9"/>
      <c r="L104" s="9"/>
      <c r="M104" s="9"/>
    </row>
    <row r="105">
      <c r="A105" s="9"/>
      <c r="B105" s="9"/>
      <c r="C105" s="57"/>
      <c r="D105" s="57"/>
      <c r="E105" s="57"/>
      <c r="F105" s="57"/>
      <c r="G105" s="57"/>
      <c r="H105" s="9"/>
      <c r="I105" s="9"/>
      <c r="J105" s="9"/>
      <c r="K105" s="9"/>
      <c r="L105" s="9"/>
      <c r="M105" s="9"/>
    </row>
    <row r="106">
      <c r="A106" s="9"/>
      <c r="B106" s="9"/>
      <c r="C106" s="57"/>
      <c r="D106" s="57"/>
      <c r="E106" s="57"/>
      <c r="F106" s="57"/>
      <c r="G106" s="57"/>
      <c r="H106" s="9"/>
      <c r="I106" s="9"/>
      <c r="J106" s="9"/>
      <c r="K106" s="9"/>
      <c r="L106" s="9"/>
      <c r="M106" s="9"/>
    </row>
    <row r="107">
      <c r="A107" s="9"/>
      <c r="B107" s="9"/>
      <c r="C107" s="57"/>
      <c r="D107" s="57"/>
      <c r="E107" s="57"/>
      <c r="F107" s="57"/>
      <c r="G107" s="57"/>
      <c r="H107" s="9"/>
      <c r="I107" s="9"/>
      <c r="J107" s="9"/>
      <c r="K107" s="9"/>
      <c r="L107" s="9"/>
      <c r="M107" s="9"/>
    </row>
    <row r="108">
      <c r="A108" s="9"/>
      <c r="B108" s="9"/>
      <c r="C108" s="57"/>
      <c r="D108" s="57"/>
      <c r="E108" s="57"/>
      <c r="F108" s="57"/>
      <c r="G108" s="57"/>
      <c r="H108" s="9"/>
      <c r="I108" s="9"/>
      <c r="J108" s="9"/>
      <c r="K108" s="9"/>
      <c r="L108" s="9"/>
      <c r="M108" s="9"/>
    </row>
    <row r="109">
      <c r="A109" s="9"/>
      <c r="B109" s="9"/>
      <c r="C109" s="57"/>
      <c r="D109" s="57"/>
      <c r="E109" s="57"/>
      <c r="F109" s="57"/>
      <c r="G109" s="57"/>
      <c r="H109" s="9"/>
      <c r="I109" s="9"/>
      <c r="J109" s="9"/>
      <c r="K109" s="9"/>
      <c r="L109" s="9"/>
      <c r="M109" s="9"/>
    </row>
    <row r="110">
      <c r="A110" s="9"/>
      <c r="B110" s="9"/>
      <c r="C110" s="9"/>
      <c r="D110" s="9"/>
      <c r="E110" s="9"/>
      <c r="F110" s="9"/>
      <c r="G110" s="9"/>
      <c r="H110" s="9"/>
      <c r="I110" s="9"/>
      <c r="J110" s="9"/>
      <c r="K110" s="9"/>
      <c r="L110" s="9"/>
      <c r="M110" s="9"/>
    </row>
    <row r="111">
      <c r="A111" s="9"/>
      <c r="B111" s="9"/>
      <c r="C111" s="9"/>
      <c r="D111" s="9"/>
      <c r="E111" s="9"/>
      <c r="F111" s="9"/>
      <c r="G111" s="9"/>
      <c r="H111" s="9"/>
      <c r="I111" s="9"/>
      <c r="J111" s="9"/>
      <c r="K111" s="9"/>
      <c r="L111" s="9"/>
      <c r="M111" s="9"/>
    </row>
    <row r="112">
      <c r="A112" s="9"/>
      <c r="B112" s="9"/>
      <c r="C112" s="9"/>
      <c r="D112" s="9"/>
      <c r="E112" s="9"/>
      <c r="F112" s="9"/>
      <c r="G112" s="9"/>
      <c r="H112" s="9"/>
      <c r="I112" s="9"/>
      <c r="J112" s="9"/>
      <c r="K112" s="9"/>
      <c r="L112" s="9"/>
      <c r="M112" s="9"/>
    </row>
    <row r="113">
      <c r="A113" s="9"/>
      <c r="B113" s="9"/>
      <c r="C113" s="9"/>
      <c r="D113" s="9"/>
      <c r="E113" s="9"/>
      <c r="F113" s="9"/>
      <c r="G113" s="9"/>
      <c r="H113" s="9"/>
      <c r="I113" s="9"/>
      <c r="J113" s="9"/>
      <c r="K113" s="9"/>
      <c r="L113" s="9"/>
      <c r="M113" s="9"/>
    </row>
    <row r="114">
      <c r="A114" s="9"/>
      <c r="B114" s="9"/>
      <c r="C114" s="9"/>
      <c r="D114" s="9"/>
      <c r="E114" s="9"/>
      <c r="F114" s="9"/>
      <c r="G114" s="9"/>
      <c r="H114" s="9"/>
      <c r="I114" s="9"/>
      <c r="J114" s="9"/>
      <c r="K114" s="9"/>
      <c r="L114" s="9"/>
      <c r="M114" s="9"/>
    </row>
    <row r="115">
      <c r="A115" s="9"/>
      <c r="B115" s="9"/>
      <c r="C115" s="9"/>
      <c r="D115" s="9"/>
      <c r="E115" s="9"/>
      <c r="F115" s="9"/>
      <c r="G115" s="9"/>
      <c r="H115" s="9"/>
      <c r="I115" s="9"/>
      <c r="J115" s="9"/>
      <c r="K115" s="9"/>
      <c r="L115" s="9"/>
      <c r="M115" s="9"/>
    </row>
    <row r="116">
      <c r="A116" s="9"/>
      <c r="B116" s="9"/>
      <c r="C116" s="9"/>
      <c r="D116" s="9"/>
      <c r="E116" s="9"/>
      <c r="F116" s="9"/>
      <c r="G116" s="9"/>
      <c r="H116" s="9"/>
      <c r="I116" s="9"/>
      <c r="J116" s="9"/>
      <c r="K116" s="9"/>
      <c r="L116" s="9"/>
      <c r="M116" s="9"/>
    </row>
    <row r="117">
      <c r="A117" s="9"/>
      <c r="B117" s="9"/>
      <c r="C117" s="9"/>
      <c r="D117" s="9"/>
      <c r="E117" s="9"/>
      <c r="F117" s="9"/>
      <c r="G117" s="9"/>
      <c r="H117" s="9"/>
      <c r="I117" s="9"/>
      <c r="J117" s="9"/>
      <c r="K117" s="9"/>
      <c r="L117" s="9"/>
      <c r="M117" s="9"/>
    </row>
    <row r="118">
      <c r="A118" s="9"/>
      <c r="B118" s="9"/>
      <c r="C118" s="9"/>
      <c r="D118" s="9"/>
      <c r="E118" s="9"/>
      <c r="F118" s="9"/>
      <c r="G118" s="9"/>
      <c r="H118" s="9"/>
      <c r="I118" s="9"/>
      <c r="J118" s="9"/>
      <c r="K118" s="9"/>
      <c r="L118" s="9"/>
      <c r="M118" s="9"/>
    </row>
    <row r="119">
      <c r="A119" s="9"/>
      <c r="B119" s="9"/>
      <c r="C119" s="9"/>
      <c r="D119" s="9"/>
      <c r="E119" s="9"/>
      <c r="F119" s="9"/>
      <c r="G119" s="9"/>
      <c r="H119" s="9"/>
      <c r="I119" s="9"/>
      <c r="J119" s="9"/>
      <c r="K119" s="9"/>
      <c r="L119" s="9"/>
      <c r="M119" s="9"/>
    </row>
    <row r="120">
      <c r="A120" s="9"/>
      <c r="B120" s="9"/>
      <c r="C120" s="9"/>
      <c r="D120" s="9"/>
      <c r="E120" s="9"/>
      <c r="F120" s="9"/>
      <c r="G120" s="9"/>
      <c r="H120" s="9"/>
      <c r="I120" s="9"/>
      <c r="J120" s="9"/>
      <c r="K120" s="9"/>
      <c r="L120" s="9"/>
      <c r="M120" s="9"/>
    </row>
    <row r="121">
      <c r="A121" s="9"/>
      <c r="B121" s="9"/>
      <c r="C121" s="9"/>
      <c r="D121" s="9"/>
      <c r="E121" s="9"/>
      <c r="F121" s="9"/>
      <c r="G121" s="9"/>
      <c r="H121" s="9"/>
      <c r="I121" s="9"/>
      <c r="J121" s="9"/>
      <c r="K121" s="9"/>
      <c r="L121" s="9"/>
      <c r="M121" s="9"/>
    </row>
    <row r="122">
      <c r="A122" s="9"/>
      <c r="B122" s="9"/>
      <c r="C122" s="9"/>
      <c r="D122" s="9"/>
      <c r="E122" s="9"/>
      <c r="F122" s="9"/>
      <c r="G122" s="9"/>
      <c r="H122" s="9"/>
      <c r="I122" s="9"/>
      <c r="J122" s="9"/>
      <c r="K122" s="9"/>
      <c r="L122" s="9"/>
      <c r="M122" s="9"/>
    </row>
    <row r="123">
      <c r="A123" s="9"/>
      <c r="B123" s="9"/>
      <c r="C123" s="9"/>
      <c r="D123" s="9"/>
      <c r="E123" s="9"/>
      <c r="F123" s="9"/>
      <c r="G123" s="9"/>
      <c r="H123" s="9"/>
      <c r="I123" s="9"/>
      <c r="J123" s="9"/>
      <c r="K123" s="9"/>
      <c r="L123" s="9"/>
      <c r="M123" s="9"/>
    </row>
    <row r="124">
      <c r="A124" s="9"/>
      <c r="B124" s="9"/>
      <c r="C124" s="9"/>
      <c r="D124" s="9"/>
      <c r="E124" s="9"/>
      <c r="F124" s="9"/>
      <c r="G124" s="9"/>
      <c r="H124" s="9"/>
      <c r="I124" s="9"/>
      <c r="J124" s="9"/>
      <c r="K124" s="9"/>
      <c r="L124" s="9"/>
      <c r="M124" s="9"/>
    </row>
    <row r="125">
      <c r="A125" s="9"/>
      <c r="B125" s="9"/>
      <c r="C125" s="9"/>
      <c r="D125" s="9"/>
      <c r="E125" s="9"/>
      <c r="F125" s="9"/>
      <c r="G125" s="9"/>
      <c r="H125" s="9"/>
      <c r="I125" s="9"/>
      <c r="J125" s="9"/>
      <c r="K125" s="9"/>
      <c r="L125" s="9"/>
      <c r="M125" s="9"/>
    </row>
    <row r="126">
      <c r="A126" s="9"/>
      <c r="B126" s="9"/>
      <c r="C126" s="9"/>
      <c r="D126" s="9"/>
      <c r="E126" s="9"/>
      <c r="F126" s="9"/>
      <c r="G126" s="9"/>
      <c r="H126" s="9"/>
      <c r="I126" s="9"/>
      <c r="J126" s="9"/>
      <c r="K126" s="9"/>
      <c r="L126" s="9"/>
      <c r="M126" s="9"/>
    </row>
    <row r="127">
      <c r="A127" s="9"/>
      <c r="B127" s="9"/>
      <c r="C127" s="9"/>
      <c r="D127" s="9"/>
      <c r="E127" s="9"/>
      <c r="F127" s="9"/>
      <c r="G127" s="9"/>
      <c r="H127" s="9"/>
      <c r="I127" s="9"/>
      <c r="J127" s="9"/>
      <c r="K127" s="9"/>
      <c r="L127" s="9"/>
      <c r="M127" s="9"/>
    </row>
    <row r="128">
      <c r="A128" s="9"/>
      <c r="B128" s="9"/>
      <c r="C128" s="9"/>
      <c r="D128" s="9"/>
      <c r="E128" s="9"/>
      <c r="F128" s="9"/>
      <c r="G128" s="9"/>
      <c r="H128" s="9"/>
      <c r="I128" s="9"/>
      <c r="J128" s="9"/>
      <c r="K128" s="9"/>
      <c r="L128" s="9"/>
      <c r="M128" s="9"/>
    </row>
    <row r="129">
      <c r="A129" s="9"/>
      <c r="B129" s="9"/>
      <c r="C129" s="9"/>
      <c r="D129" s="9"/>
      <c r="E129" s="9"/>
      <c r="F129" s="9"/>
      <c r="G129" s="9"/>
      <c r="H129" s="9"/>
      <c r="I129" s="9"/>
      <c r="J129" s="9"/>
      <c r="K129" s="9"/>
      <c r="L129" s="9"/>
      <c r="M129" s="9"/>
    </row>
    <row r="130">
      <c r="A130" s="9"/>
      <c r="B130" s="9"/>
      <c r="C130" s="9"/>
      <c r="D130" s="9"/>
      <c r="E130" s="9"/>
      <c r="F130" s="9"/>
      <c r="G130" s="9"/>
      <c r="H130" s="9"/>
      <c r="I130" s="9"/>
      <c r="J130" s="9"/>
      <c r="K130" s="9"/>
      <c r="L130" s="9"/>
      <c r="M130" s="9"/>
    </row>
    <row r="131">
      <c r="A131" s="9"/>
      <c r="B131" s="9"/>
      <c r="C131" s="9"/>
      <c r="D131" s="9"/>
      <c r="E131" s="9"/>
      <c r="F131" s="9"/>
      <c r="G131" s="9"/>
      <c r="H131" s="9"/>
      <c r="I131" s="9"/>
      <c r="J131" s="9"/>
      <c r="K131" s="9"/>
      <c r="L131" s="9"/>
      <c r="M131" s="9"/>
    </row>
    <row r="132">
      <c r="A132" s="9"/>
      <c r="B132" s="9"/>
      <c r="C132" s="9"/>
      <c r="D132" s="9"/>
      <c r="E132" s="9"/>
      <c r="F132" s="9"/>
      <c r="G132" s="9"/>
      <c r="H132" s="9"/>
      <c r="I132" s="9"/>
      <c r="J132" s="9"/>
      <c r="K132" s="9"/>
      <c r="L132" s="9"/>
      <c r="M132" s="9"/>
    </row>
    <row r="133">
      <c r="A133" s="9"/>
      <c r="B133" s="9"/>
      <c r="C133" s="9"/>
      <c r="D133" s="9"/>
      <c r="E133" s="9"/>
      <c r="F133" s="9"/>
      <c r="G133" s="9"/>
      <c r="H133" s="9"/>
      <c r="I133" s="9"/>
      <c r="J133" s="9"/>
      <c r="K133" s="9"/>
      <c r="L133" s="9"/>
      <c r="M133" s="9"/>
    </row>
    <row r="134">
      <c r="A134" s="9"/>
      <c r="B134" s="9"/>
      <c r="C134" s="9"/>
      <c r="D134" s="9"/>
      <c r="E134" s="9"/>
      <c r="F134" s="9"/>
      <c r="G134" s="9"/>
      <c r="H134" s="9"/>
      <c r="I134" s="9"/>
      <c r="J134" s="9"/>
      <c r="K134" s="9"/>
      <c r="L134" s="9"/>
      <c r="M134" s="9"/>
    </row>
    <row r="135">
      <c r="A135" s="9"/>
      <c r="B135" s="9"/>
      <c r="C135" s="9"/>
      <c r="D135" s="9"/>
      <c r="E135" s="9"/>
      <c r="F135" s="9"/>
      <c r="G135" s="9"/>
      <c r="H135" s="9"/>
      <c r="I135" s="9"/>
      <c r="J135" s="9"/>
      <c r="K135" s="9"/>
      <c r="L135" s="9"/>
      <c r="M135" s="9"/>
    </row>
    <row r="136">
      <c r="A136" s="9"/>
      <c r="B136" s="9"/>
      <c r="C136" s="9"/>
      <c r="D136" s="9"/>
      <c r="E136" s="9"/>
      <c r="F136" s="9"/>
      <c r="G136" s="9"/>
      <c r="H136" s="9"/>
      <c r="I136" s="9"/>
      <c r="J136" s="9"/>
      <c r="K136" s="9"/>
      <c r="L136" s="9"/>
      <c r="M136" s="9"/>
    </row>
    <row r="137">
      <c r="A137" s="9"/>
      <c r="B137" s="9"/>
      <c r="C137" s="9"/>
      <c r="D137" s="9"/>
      <c r="E137" s="9"/>
      <c r="F137" s="9"/>
      <c r="G137" s="9"/>
      <c r="H137" s="9"/>
      <c r="I137" s="9"/>
      <c r="J137" s="9"/>
      <c r="K137" s="9"/>
      <c r="L137" s="9"/>
      <c r="M137" s="9"/>
    </row>
    <row r="138">
      <c r="A138" s="9"/>
      <c r="B138" s="9"/>
      <c r="C138" s="9"/>
      <c r="D138" s="9"/>
      <c r="E138" s="9"/>
      <c r="F138" s="9"/>
      <c r="G138" s="9"/>
      <c r="H138" s="9"/>
      <c r="I138" s="9"/>
      <c r="J138" s="9"/>
      <c r="K138" s="9"/>
      <c r="L138" s="9"/>
      <c r="M138" s="9"/>
    </row>
    <row r="139">
      <c r="A139" s="9"/>
      <c r="B139" s="9"/>
      <c r="C139" s="9"/>
      <c r="D139" s="9"/>
      <c r="E139" s="9"/>
      <c r="F139" s="9"/>
      <c r="G139" s="9"/>
      <c r="H139" s="9"/>
      <c r="I139" s="9"/>
      <c r="J139" s="9"/>
      <c r="K139" s="9"/>
      <c r="L139" s="9"/>
      <c r="M139" s="9"/>
    </row>
    <row r="140">
      <c r="A140" s="9"/>
      <c r="B140" s="9"/>
      <c r="C140" s="9"/>
      <c r="D140" s="9"/>
      <c r="E140" s="9"/>
      <c r="F140" s="9"/>
      <c r="G140" s="9"/>
      <c r="H140" s="9"/>
      <c r="I140" s="9"/>
      <c r="J140" s="9"/>
      <c r="K140" s="9"/>
      <c r="L140" s="9"/>
      <c r="M140" s="9"/>
    </row>
    <row r="141">
      <c r="A141" s="9"/>
      <c r="B141" s="9"/>
      <c r="C141" s="9"/>
      <c r="D141" s="9"/>
      <c r="E141" s="9"/>
      <c r="F141" s="9"/>
      <c r="G141" s="9"/>
      <c r="H141" s="9"/>
      <c r="I141" s="9"/>
      <c r="J141" s="9"/>
      <c r="K141" s="9"/>
      <c r="L141" s="9"/>
      <c r="M141" s="9"/>
    </row>
    <row r="142">
      <c r="A142" s="9"/>
      <c r="B142" s="9"/>
      <c r="C142" s="9"/>
      <c r="D142" s="9"/>
      <c r="E142" s="9"/>
      <c r="F142" s="9"/>
      <c r="G142" s="9"/>
      <c r="H142" s="9"/>
      <c r="I142" s="9"/>
      <c r="J142" s="9"/>
      <c r="K142" s="9"/>
      <c r="L142" s="9"/>
      <c r="M142" s="9"/>
    </row>
    <row r="143">
      <c r="A143" s="9"/>
      <c r="B143" s="9"/>
      <c r="C143" s="9"/>
      <c r="D143" s="9"/>
      <c r="E143" s="9"/>
      <c r="F143" s="9"/>
      <c r="G143" s="9"/>
      <c r="H143" s="9"/>
      <c r="I143" s="9"/>
      <c r="J143" s="9"/>
      <c r="K143" s="9"/>
      <c r="L143" s="9"/>
      <c r="M143" s="9"/>
    </row>
    <row r="144">
      <c r="A144" s="9"/>
      <c r="B144" s="9"/>
      <c r="C144" s="9"/>
      <c r="D144" s="9"/>
      <c r="E144" s="9"/>
      <c r="F144" s="9"/>
      <c r="G144" s="9"/>
      <c r="H144" s="9"/>
      <c r="I144" s="9"/>
      <c r="J144" s="9"/>
      <c r="K144" s="9"/>
      <c r="L144" s="9"/>
      <c r="M144" s="9"/>
    </row>
    <row r="145">
      <c r="A145" s="9"/>
      <c r="B145" s="9"/>
      <c r="C145" s="9"/>
      <c r="D145" s="9"/>
      <c r="E145" s="9"/>
      <c r="F145" s="9"/>
      <c r="G145" s="9"/>
      <c r="H145" s="9"/>
      <c r="I145" s="9"/>
      <c r="J145" s="9"/>
      <c r="K145" s="9"/>
      <c r="L145" s="9"/>
      <c r="M145" s="9"/>
    </row>
    <row r="146">
      <c r="A146" s="9"/>
      <c r="B146" s="9"/>
      <c r="C146" s="9"/>
      <c r="D146" s="9"/>
      <c r="E146" s="9"/>
      <c r="F146" s="9"/>
      <c r="G146" s="9"/>
      <c r="H146" s="9"/>
      <c r="I146" s="9"/>
      <c r="J146" s="9"/>
      <c r="K146" s="9"/>
      <c r="L146" s="9"/>
      <c r="M146" s="9"/>
    </row>
    <row r="147">
      <c r="A147" s="9"/>
      <c r="B147" s="9"/>
      <c r="C147" s="9"/>
      <c r="D147" s="9"/>
      <c r="E147" s="9"/>
      <c r="F147" s="9"/>
      <c r="G147" s="9"/>
      <c r="H147" s="9"/>
      <c r="I147" s="9"/>
      <c r="J147" s="9"/>
      <c r="K147" s="9"/>
      <c r="L147" s="9"/>
      <c r="M147" s="9"/>
    </row>
    <row r="148">
      <c r="A148" s="9"/>
      <c r="B148" s="9"/>
      <c r="C148" s="9"/>
      <c r="D148" s="9"/>
      <c r="E148" s="9"/>
      <c r="F148" s="9"/>
      <c r="G148" s="9"/>
      <c r="H148" s="9"/>
      <c r="I148" s="9"/>
      <c r="J148" s="9"/>
      <c r="K148" s="9"/>
      <c r="L148" s="9"/>
      <c r="M148" s="9"/>
    </row>
    <row r="149">
      <c r="A149" s="9"/>
      <c r="B149" s="9"/>
      <c r="C149" s="9"/>
      <c r="D149" s="9"/>
      <c r="E149" s="9"/>
      <c r="F149" s="9"/>
      <c r="G149" s="9"/>
      <c r="H149" s="9"/>
      <c r="I149" s="9"/>
      <c r="J149" s="9"/>
      <c r="K149" s="9"/>
      <c r="L149" s="9"/>
      <c r="M149" s="9"/>
    </row>
    <row r="150">
      <c r="A150" s="9"/>
      <c r="B150" s="9"/>
      <c r="C150" s="9"/>
      <c r="D150" s="9"/>
      <c r="E150" s="9"/>
      <c r="F150" s="9"/>
      <c r="G150" s="9"/>
      <c r="H150" s="9"/>
      <c r="I150" s="9"/>
      <c r="J150" s="9"/>
      <c r="K150" s="9"/>
      <c r="L150" s="9"/>
      <c r="M150" s="9"/>
    </row>
    <row r="151">
      <c r="A151" s="9"/>
      <c r="B151" s="9"/>
      <c r="C151" s="9"/>
      <c r="D151" s="9"/>
      <c r="E151" s="9"/>
      <c r="F151" s="9"/>
      <c r="G151" s="9"/>
      <c r="H151" s="9"/>
      <c r="I151" s="9"/>
      <c r="J151" s="9"/>
      <c r="K151" s="9"/>
      <c r="L151" s="9"/>
      <c r="M151" s="9"/>
    </row>
    <row r="152">
      <c r="A152" s="9"/>
      <c r="B152" s="9"/>
      <c r="C152" s="9"/>
      <c r="D152" s="9"/>
      <c r="E152" s="9"/>
      <c r="F152" s="9"/>
      <c r="G152" s="9"/>
      <c r="H152" s="9"/>
      <c r="I152" s="9"/>
      <c r="J152" s="9"/>
      <c r="K152" s="9"/>
      <c r="L152" s="9"/>
      <c r="M152" s="9"/>
    </row>
    <row r="153">
      <c r="A153" s="9"/>
      <c r="B153" s="9"/>
      <c r="C153" s="9"/>
      <c r="D153" s="9"/>
      <c r="E153" s="9"/>
      <c r="F153" s="9"/>
      <c r="G153" s="9"/>
      <c r="H153" s="9"/>
      <c r="I153" s="9"/>
      <c r="J153" s="9"/>
      <c r="K153" s="9"/>
      <c r="L153" s="9"/>
      <c r="M153" s="9"/>
    </row>
    <row r="154">
      <c r="A154" s="9"/>
      <c r="B154" s="9"/>
      <c r="C154" s="9"/>
      <c r="D154" s="9"/>
      <c r="E154" s="9"/>
      <c r="F154" s="9"/>
      <c r="G154" s="9"/>
      <c r="H154" s="9"/>
      <c r="I154" s="9"/>
      <c r="J154" s="9"/>
      <c r="K154" s="9"/>
      <c r="L154" s="9"/>
      <c r="M154" s="9"/>
    </row>
    <row r="155">
      <c r="A155" s="9"/>
      <c r="B155" s="9"/>
      <c r="C155" s="9"/>
      <c r="D155" s="9"/>
      <c r="E155" s="9"/>
      <c r="F155" s="9"/>
      <c r="G155" s="9"/>
      <c r="H155" s="9"/>
      <c r="I155" s="9"/>
      <c r="J155" s="9"/>
      <c r="K155" s="9"/>
      <c r="L155" s="9"/>
      <c r="M155" s="9"/>
    </row>
    <row r="156">
      <c r="A156" s="9"/>
      <c r="B156" s="9"/>
      <c r="C156" s="9"/>
      <c r="D156" s="9"/>
      <c r="E156" s="9"/>
      <c r="F156" s="9"/>
      <c r="G156" s="9"/>
      <c r="H156" s="9"/>
      <c r="I156" s="9"/>
      <c r="J156" s="9"/>
      <c r="K156" s="9"/>
      <c r="L156" s="9"/>
      <c r="M156" s="9"/>
    </row>
    <row r="157">
      <c r="A157" s="9"/>
      <c r="B157" s="9"/>
      <c r="C157" s="9"/>
      <c r="D157" s="9"/>
      <c r="E157" s="9"/>
      <c r="F157" s="9"/>
      <c r="G157" s="9"/>
      <c r="H157" s="9"/>
      <c r="I157" s="9"/>
      <c r="J157" s="9"/>
      <c r="K157" s="9"/>
      <c r="L157" s="9"/>
      <c r="M157" s="9"/>
    </row>
    <row r="158">
      <c r="A158" s="9"/>
      <c r="B158" s="9"/>
      <c r="C158" s="9"/>
      <c r="D158" s="9"/>
      <c r="E158" s="9"/>
      <c r="F158" s="9"/>
      <c r="G158" s="9"/>
      <c r="H158" s="9"/>
      <c r="I158" s="9"/>
      <c r="J158" s="9"/>
      <c r="K158" s="9"/>
      <c r="L158" s="9"/>
      <c r="M158" s="9"/>
    </row>
    <row r="159">
      <c r="A159" s="9"/>
      <c r="B159" s="9"/>
      <c r="C159" s="9"/>
      <c r="D159" s="9"/>
      <c r="E159" s="9"/>
      <c r="F159" s="9"/>
      <c r="G159" s="9"/>
      <c r="H159" s="9"/>
      <c r="I159" s="9"/>
      <c r="J159" s="9"/>
      <c r="K159" s="9"/>
      <c r="L159" s="9"/>
      <c r="M159" s="9"/>
    </row>
    <row r="160">
      <c r="A160" s="9"/>
      <c r="B160" s="9"/>
      <c r="C160" s="9"/>
      <c r="D160" s="9"/>
      <c r="E160" s="9"/>
      <c r="F160" s="9"/>
      <c r="G160" s="9"/>
      <c r="H160" s="9"/>
      <c r="I160" s="9"/>
      <c r="J160" s="9"/>
      <c r="K160" s="9"/>
      <c r="L160" s="9"/>
      <c r="M160" s="9"/>
    </row>
    <row r="161">
      <c r="A161" s="9"/>
      <c r="B161" s="9"/>
      <c r="C161" s="9"/>
      <c r="D161" s="9"/>
      <c r="E161" s="9"/>
      <c r="F161" s="9"/>
      <c r="G161" s="9"/>
      <c r="H161" s="9"/>
      <c r="I161" s="9"/>
      <c r="J161" s="9"/>
      <c r="K161" s="9"/>
      <c r="L161" s="9"/>
      <c r="M161" s="9"/>
    </row>
    <row r="162">
      <c r="A162" s="9"/>
      <c r="B162" s="9"/>
      <c r="C162" s="9"/>
      <c r="D162" s="9"/>
      <c r="E162" s="9"/>
      <c r="F162" s="9"/>
      <c r="G162" s="9"/>
      <c r="H162" s="9"/>
      <c r="I162" s="9"/>
      <c r="J162" s="9"/>
      <c r="K162" s="9"/>
      <c r="L162" s="9"/>
      <c r="M162" s="9"/>
    </row>
    <row r="163">
      <c r="A163" s="9"/>
      <c r="B163" s="9"/>
      <c r="C163" s="9"/>
      <c r="D163" s="9"/>
      <c r="E163" s="9"/>
      <c r="F163" s="9"/>
      <c r="G163" s="9"/>
      <c r="H163" s="9"/>
      <c r="I163" s="9"/>
      <c r="J163" s="9"/>
      <c r="K163" s="9"/>
      <c r="L163" s="9"/>
      <c r="M163" s="9"/>
    </row>
    <row r="164">
      <c r="A164" s="9"/>
      <c r="B164" s="9"/>
      <c r="C164" s="9"/>
      <c r="D164" s="9"/>
      <c r="E164" s="9"/>
      <c r="F164" s="9"/>
      <c r="G164" s="9"/>
      <c r="H164" s="9"/>
      <c r="I164" s="9"/>
      <c r="J164" s="9"/>
      <c r="K164" s="9"/>
      <c r="L164" s="9"/>
      <c r="M164" s="9"/>
    </row>
    <row r="165">
      <c r="A165" s="9"/>
      <c r="B165" s="9"/>
      <c r="C165" s="9"/>
      <c r="D165" s="9"/>
      <c r="E165" s="9"/>
      <c r="F165" s="9"/>
      <c r="G165" s="9"/>
      <c r="H165" s="9"/>
      <c r="I165" s="9"/>
      <c r="J165" s="9"/>
      <c r="K165" s="9"/>
      <c r="L165" s="9"/>
      <c r="M165" s="9"/>
    </row>
    <row r="166">
      <c r="A166" s="9"/>
      <c r="B166" s="9"/>
      <c r="C166" s="9"/>
      <c r="D166" s="9"/>
      <c r="E166" s="9"/>
      <c r="F166" s="9"/>
      <c r="G166" s="9"/>
      <c r="H166" s="9"/>
      <c r="I166" s="9"/>
      <c r="J166" s="9"/>
      <c r="K166" s="9"/>
      <c r="L166" s="9"/>
      <c r="M166" s="9"/>
    </row>
    <row r="167">
      <c r="A167" s="9"/>
      <c r="B167" s="9"/>
      <c r="C167" s="9"/>
      <c r="D167" s="9"/>
      <c r="E167" s="9"/>
      <c r="F167" s="9"/>
      <c r="G167" s="9"/>
      <c r="H167" s="9"/>
      <c r="I167" s="9"/>
      <c r="J167" s="9"/>
      <c r="K167" s="9"/>
      <c r="L167" s="9"/>
      <c r="M167" s="9"/>
    </row>
    <row r="168">
      <c r="A168" s="9"/>
      <c r="B168" s="9"/>
      <c r="C168" s="9"/>
      <c r="D168" s="9"/>
      <c r="E168" s="9"/>
      <c r="F168" s="9"/>
      <c r="G168" s="9"/>
      <c r="H168" s="9"/>
      <c r="I168" s="9"/>
      <c r="J168" s="9"/>
      <c r="K168" s="9"/>
      <c r="L168" s="9"/>
      <c r="M168" s="9"/>
    </row>
    <row r="169">
      <c r="A169" s="9"/>
      <c r="B169" s="9"/>
      <c r="C169" s="9"/>
      <c r="D169" s="9"/>
      <c r="E169" s="9"/>
      <c r="F169" s="9"/>
      <c r="G169" s="9"/>
      <c r="H169" s="9"/>
      <c r="I169" s="9"/>
      <c r="J169" s="9"/>
      <c r="K169" s="9"/>
      <c r="L169" s="9"/>
      <c r="M169" s="9"/>
    </row>
    <row r="170">
      <c r="A170" s="9"/>
      <c r="B170" s="9"/>
      <c r="C170" s="9"/>
      <c r="D170" s="9"/>
      <c r="E170" s="9"/>
      <c r="F170" s="9"/>
      <c r="G170" s="9"/>
      <c r="H170" s="9"/>
      <c r="I170" s="9"/>
      <c r="J170" s="9"/>
      <c r="K170" s="9"/>
      <c r="L170" s="9"/>
      <c r="M170" s="9"/>
    </row>
    <row r="171">
      <c r="A171" s="9"/>
      <c r="B171" s="9"/>
      <c r="C171" s="9"/>
      <c r="D171" s="9"/>
      <c r="E171" s="9"/>
      <c r="F171" s="9"/>
      <c r="G171" s="9"/>
      <c r="H171" s="9"/>
      <c r="I171" s="9"/>
      <c r="J171" s="9"/>
      <c r="K171" s="9"/>
      <c r="L171" s="9"/>
      <c r="M171" s="9"/>
    </row>
    <row r="172">
      <c r="A172" s="9"/>
      <c r="B172" s="9"/>
      <c r="C172" s="9"/>
      <c r="D172" s="9"/>
      <c r="E172" s="9"/>
      <c r="F172" s="9"/>
      <c r="G172" s="9"/>
      <c r="H172" s="9"/>
      <c r="I172" s="9"/>
      <c r="J172" s="9"/>
      <c r="K172" s="9"/>
      <c r="L172" s="9"/>
      <c r="M172" s="9"/>
    </row>
    <row r="173">
      <c r="A173" s="9"/>
      <c r="B173" s="9"/>
      <c r="C173" s="9"/>
      <c r="D173" s="9"/>
      <c r="E173" s="9"/>
      <c r="F173" s="9"/>
      <c r="G173" s="9"/>
      <c r="H173" s="9"/>
      <c r="I173" s="9"/>
      <c r="J173" s="9"/>
      <c r="K173" s="9"/>
      <c r="L173" s="9"/>
      <c r="M173" s="9"/>
    </row>
    <row r="174">
      <c r="A174" s="9"/>
      <c r="B174" s="9"/>
      <c r="C174" s="9"/>
      <c r="D174" s="9"/>
      <c r="E174" s="9"/>
      <c r="F174" s="9"/>
      <c r="G174" s="9"/>
      <c r="H174" s="9"/>
      <c r="I174" s="9"/>
      <c r="J174" s="9"/>
      <c r="K174" s="9"/>
      <c r="L174" s="9"/>
      <c r="M174" s="9"/>
    </row>
    <row r="175">
      <c r="A175" s="9"/>
      <c r="B175" s="9"/>
      <c r="C175" s="9"/>
      <c r="D175" s="9"/>
      <c r="E175" s="9"/>
      <c r="F175" s="9"/>
      <c r="G175" s="9"/>
      <c r="H175" s="9"/>
      <c r="I175" s="9"/>
      <c r="J175" s="9"/>
      <c r="K175" s="9"/>
      <c r="L175" s="9"/>
      <c r="M175" s="9"/>
    </row>
    <row r="176">
      <c r="A176" s="9"/>
      <c r="B176" s="9"/>
      <c r="C176" s="9"/>
      <c r="D176" s="9"/>
      <c r="E176" s="9"/>
      <c r="F176" s="9"/>
      <c r="G176" s="9"/>
      <c r="H176" s="9"/>
      <c r="I176" s="9"/>
      <c r="J176" s="9"/>
      <c r="K176" s="9"/>
      <c r="L176" s="9"/>
      <c r="M176" s="9"/>
    </row>
    <row r="177">
      <c r="A177" s="9"/>
      <c r="B177" s="9"/>
      <c r="C177" s="9"/>
      <c r="D177" s="9"/>
      <c r="E177" s="9"/>
      <c r="F177" s="9"/>
      <c r="G177" s="9"/>
      <c r="H177" s="9"/>
      <c r="I177" s="9"/>
      <c r="J177" s="9"/>
      <c r="K177" s="9"/>
      <c r="L177" s="9"/>
      <c r="M177" s="9"/>
    </row>
    <row r="178">
      <c r="A178" s="9"/>
      <c r="B178" s="9"/>
      <c r="C178" s="9"/>
      <c r="D178" s="9"/>
      <c r="E178" s="9"/>
      <c r="F178" s="9"/>
      <c r="G178" s="9"/>
      <c r="H178" s="9"/>
      <c r="I178" s="9"/>
      <c r="J178" s="9"/>
      <c r="K178" s="9"/>
      <c r="L178" s="9"/>
      <c r="M178" s="9"/>
    </row>
    <row r="179">
      <c r="A179" s="9"/>
      <c r="B179" s="9"/>
      <c r="C179" s="9"/>
      <c r="D179" s="9"/>
      <c r="E179" s="9"/>
      <c r="F179" s="9"/>
      <c r="G179" s="9"/>
      <c r="H179" s="9"/>
      <c r="I179" s="9"/>
      <c r="J179" s="9"/>
      <c r="K179" s="9"/>
      <c r="L179" s="9"/>
      <c r="M179" s="9"/>
    </row>
    <row r="180">
      <c r="A180" s="9"/>
      <c r="B180" s="9"/>
      <c r="C180" s="9"/>
      <c r="D180" s="9"/>
      <c r="E180" s="9"/>
      <c r="F180" s="9"/>
      <c r="G180" s="9"/>
      <c r="H180" s="9"/>
      <c r="I180" s="9"/>
      <c r="J180" s="9"/>
      <c r="K180" s="9"/>
      <c r="L180" s="9"/>
      <c r="M180" s="9"/>
    </row>
    <row r="181">
      <c r="A181" s="9"/>
      <c r="B181" s="9"/>
      <c r="C181" s="9"/>
      <c r="D181" s="9"/>
      <c r="E181" s="9"/>
      <c r="F181" s="9"/>
      <c r="G181" s="9"/>
      <c r="H181" s="9"/>
      <c r="I181" s="9"/>
      <c r="J181" s="9"/>
      <c r="K181" s="9"/>
      <c r="L181" s="9"/>
      <c r="M181" s="9"/>
    </row>
    <row r="182">
      <c r="A182" s="9"/>
      <c r="B182" s="9"/>
      <c r="C182" s="9"/>
      <c r="D182" s="9"/>
      <c r="E182" s="9"/>
      <c r="F182" s="9"/>
      <c r="G182" s="9"/>
      <c r="H182" s="9"/>
      <c r="I182" s="9"/>
      <c r="J182" s="9"/>
      <c r="K182" s="9"/>
      <c r="L182" s="9"/>
      <c r="M182" s="9"/>
    </row>
    <row r="183">
      <c r="A183" s="9"/>
      <c r="B183" s="9"/>
      <c r="C183" s="9"/>
      <c r="D183" s="9"/>
      <c r="E183" s="9"/>
      <c r="F183" s="9"/>
      <c r="G183" s="9"/>
      <c r="H183" s="9"/>
      <c r="I183" s="9"/>
      <c r="J183" s="9"/>
      <c r="K183" s="9"/>
      <c r="L183" s="9"/>
      <c r="M183" s="9"/>
    </row>
    <row r="184">
      <c r="A184" s="9"/>
      <c r="B184" s="9"/>
      <c r="C184" s="9"/>
      <c r="D184" s="9"/>
      <c r="E184" s="9"/>
      <c r="F184" s="9"/>
      <c r="G184" s="9"/>
      <c r="H184" s="9"/>
      <c r="I184" s="9"/>
      <c r="J184" s="9"/>
      <c r="K184" s="9"/>
      <c r="L184" s="9"/>
      <c r="M184" s="9"/>
    </row>
    <row r="185">
      <c r="A185" s="9"/>
      <c r="B185" s="9"/>
      <c r="C185" s="9"/>
      <c r="D185" s="9"/>
      <c r="E185" s="9"/>
      <c r="F185" s="9"/>
      <c r="G185" s="9"/>
      <c r="H185" s="9"/>
      <c r="I185" s="9"/>
      <c r="J185" s="9"/>
      <c r="K185" s="9"/>
      <c r="L185" s="9"/>
      <c r="M185" s="9"/>
    </row>
    <row r="186">
      <c r="A186" s="9"/>
      <c r="B186" s="9"/>
      <c r="C186" s="9"/>
      <c r="D186" s="9"/>
      <c r="E186" s="9"/>
      <c r="F186" s="9"/>
      <c r="G186" s="9"/>
      <c r="H186" s="9"/>
      <c r="I186" s="9"/>
      <c r="J186" s="9"/>
      <c r="K186" s="9"/>
      <c r="L186" s="9"/>
      <c r="M186" s="9"/>
    </row>
    <row r="187">
      <c r="A187" s="9"/>
      <c r="B187" s="9"/>
      <c r="C187" s="9"/>
      <c r="D187" s="9"/>
      <c r="E187" s="9"/>
      <c r="F187" s="9"/>
      <c r="G187" s="9"/>
      <c r="H187" s="9"/>
      <c r="I187" s="9"/>
      <c r="J187" s="9"/>
      <c r="K187" s="9"/>
      <c r="L187" s="9"/>
      <c r="M187" s="9"/>
    </row>
    <row r="188">
      <c r="A188" s="9"/>
      <c r="B188" s="9"/>
      <c r="C188" s="9"/>
      <c r="D188" s="9"/>
      <c r="E188" s="9"/>
      <c r="F188" s="9"/>
      <c r="G188" s="9"/>
      <c r="H188" s="9"/>
      <c r="I188" s="9"/>
      <c r="J188" s="9"/>
      <c r="K188" s="9"/>
      <c r="L188" s="9"/>
      <c r="M188" s="9"/>
    </row>
    <row r="189">
      <c r="A189" s="9"/>
      <c r="B189" s="9"/>
      <c r="C189" s="9"/>
      <c r="D189" s="9"/>
      <c r="E189" s="9"/>
      <c r="F189" s="9"/>
      <c r="G189" s="9"/>
      <c r="H189" s="9"/>
      <c r="I189" s="9"/>
      <c r="J189" s="9"/>
      <c r="K189" s="9"/>
      <c r="L189" s="9"/>
      <c r="M189" s="9"/>
    </row>
    <row r="190">
      <c r="A190" s="9"/>
      <c r="B190" s="9"/>
      <c r="C190" s="9"/>
      <c r="D190" s="9"/>
      <c r="E190" s="9"/>
      <c r="F190" s="9"/>
      <c r="G190" s="9"/>
      <c r="H190" s="9"/>
      <c r="I190" s="9"/>
      <c r="J190" s="9"/>
      <c r="K190" s="9"/>
      <c r="L190" s="9"/>
      <c r="M190" s="9"/>
    </row>
    <row r="191">
      <c r="A191" s="9"/>
      <c r="B191" s="9"/>
      <c r="C191" s="9"/>
      <c r="D191" s="9"/>
      <c r="E191" s="9"/>
      <c r="F191" s="9"/>
      <c r="G191" s="9"/>
      <c r="H191" s="9"/>
      <c r="I191" s="9"/>
      <c r="J191" s="9"/>
      <c r="K191" s="9"/>
      <c r="L191" s="9"/>
      <c r="M191" s="9"/>
    </row>
    <row r="192">
      <c r="A192" s="9"/>
      <c r="B192" s="9"/>
      <c r="C192" s="9"/>
      <c r="D192" s="9"/>
      <c r="E192" s="9"/>
      <c r="F192" s="9"/>
      <c r="G192" s="9"/>
      <c r="H192" s="9"/>
      <c r="I192" s="9"/>
      <c r="J192" s="9"/>
      <c r="K192" s="9"/>
      <c r="L192" s="9"/>
      <c r="M192" s="9"/>
    </row>
    <row r="193">
      <c r="A193" s="9"/>
      <c r="B193" s="9"/>
      <c r="C193" s="9"/>
      <c r="D193" s="9"/>
      <c r="E193" s="9"/>
      <c r="F193" s="9"/>
      <c r="G193" s="9"/>
      <c r="H193" s="9"/>
      <c r="I193" s="9"/>
      <c r="J193" s="9"/>
      <c r="K193" s="9"/>
      <c r="L193" s="9"/>
      <c r="M193" s="9"/>
    </row>
    <row r="194">
      <c r="A194" s="9"/>
      <c r="B194" s="9"/>
      <c r="C194" s="9"/>
      <c r="D194" s="9"/>
      <c r="E194" s="9"/>
      <c r="F194" s="9"/>
      <c r="G194" s="9"/>
      <c r="H194" s="9"/>
      <c r="I194" s="9"/>
      <c r="J194" s="9"/>
      <c r="K194" s="9"/>
      <c r="L194" s="9"/>
      <c r="M194" s="9"/>
    </row>
    <row r="195">
      <c r="A195" s="9"/>
      <c r="B195" s="9"/>
      <c r="C195" s="9"/>
      <c r="D195" s="9"/>
      <c r="E195" s="9"/>
      <c r="F195" s="9"/>
      <c r="G195" s="9"/>
      <c r="H195" s="9"/>
      <c r="I195" s="9"/>
      <c r="J195" s="9"/>
      <c r="K195" s="9"/>
      <c r="L195" s="9"/>
      <c r="M195" s="9"/>
    </row>
    <row r="196">
      <c r="A196" s="9"/>
      <c r="B196" s="9"/>
      <c r="C196" s="9"/>
      <c r="D196" s="9"/>
      <c r="E196" s="9"/>
      <c r="F196" s="9"/>
      <c r="G196" s="9"/>
      <c r="H196" s="9"/>
      <c r="I196" s="9"/>
      <c r="J196" s="9"/>
      <c r="K196" s="9"/>
      <c r="L196" s="9"/>
      <c r="M196" s="9"/>
    </row>
    <row r="197">
      <c r="A197" s="9"/>
      <c r="B197" s="9"/>
      <c r="C197" s="9"/>
      <c r="D197" s="9"/>
      <c r="E197" s="9"/>
      <c r="F197" s="9"/>
      <c r="G197" s="9"/>
      <c r="H197" s="9"/>
      <c r="I197" s="9"/>
      <c r="J197" s="9"/>
      <c r="K197" s="9"/>
      <c r="L197" s="9"/>
      <c r="M197" s="9"/>
    </row>
    <row r="198">
      <c r="A198" s="9"/>
      <c r="B198" s="9"/>
      <c r="C198" s="9"/>
      <c r="D198" s="9"/>
      <c r="E198" s="9"/>
      <c r="F198" s="9"/>
      <c r="G198" s="9"/>
      <c r="H198" s="9"/>
      <c r="I198" s="9"/>
      <c r="J198" s="9"/>
      <c r="K198" s="9"/>
      <c r="L198" s="9"/>
      <c r="M198" s="9"/>
    </row>
    <row r="199">
      <c r="A199" s="9"/>
      <c r="B199" s="9"/>
      <c r="C199" s="9"/>
      <c r="D199" s="9"/>
      <c r="E199" s="9"/>
      <c r="F199" s="9"/>
      <c r="G199" s="9"/>
      <c r="H199" s="9"/>
      <c r="I199" s="9"/>
      <c r="J199" s="9"/>
      <c r="K199" s="9"/>
      <c r="L199" s="9"/>
      <c r="M199" s="9"/>
    </row>
    <row r="200">
      <c r="A200" s="9"/>
      <c r="B200" s="9"/>
      <c r="C200" s="9"/>
      <c r="D200" s="9"/>
      <c r="E200" s="9"/>
      <c r="F200" s="9"/>
      <c r="G200" s="9"/>
      <c r="H200" s="9"/>
      <c r="I200" s="9"/>
      <c r="J200" s="9"/>
      <c r="K200" s="9"/>
      <c r="L200" s="9"/>
      <c r="M200" s="9"/>
    </row>
    <row r="201">
      <c r="A201" s="9"/>
      <c r="B201" s="9"/>
      <c r="C201" s="9"/>
      <c r="D201" s="9"/>
      <c r="E201" s="9"/>
      <c r="F201" s="9"/>
      <c r="G201" s="9"/>
      <c r="H201" s="9"/>
      <c r="I201" s="9"/>
      <c r="J201" s="9"/>
      <c r="K201" s="9"/>
      <c r="L201" s="9"/>
      <c r="M201" s="9"/>
    </row>
    <row r="202">
      <c r="A202" s="9"/>
      <c r="B202" s="9"/>
      <c r="C202" s="9"/>
      <c r="D202" s="9"/>
      <c r="E202" s="9"/>
      <c r="F202" s="9"/>
      <c r="G202" s="9"/>
      <c r="H202" s="9"/>
      <c r="I202" s="9"/>
      <c r="J202" s="9"/>
      <c r="K202" s="9"/>
      <c r="L202" s="9"/>
      <c r="M202" s="9"/>
    </row>
    <row r="203">
      <c r="A203" s="9"/>
      <c r="B203" s="9"/>
      <c r="C203" s="9"/>
      <c r="D203" s="9"/>
      <c r="E203" s="9"/>
      <c r="F203" s="9"/>
      <c r="G203" s="9"/>
      <c r="H203" s="9"/>
      <c r="I203" s="9"/>
      <c r="J203" s="9"/>
      <c r="K203" s="9"/>
      <c r="L203" s="9"/>
      <c r="M203" s="9"/>
    </row>
    <row r="204">
      <c r="A204" s="9"/>
      <c r="B204" s="9"/>
      <c r="C204" s="9"/>
      <c r="D204" s="9"/>
      <c r="E204" s="9"/>
      <c r="F204" s="9"/>
      <c r="G204" s="9"/>
      <c r="H204" s="9"/>
      <c r="I204" s="9"/>
      <c r="J204" s="9"/>
      <c r="K204" s="9"/>
      <c r="L204" s="9"/>
      <c r="M204" s="9"/>
    </row>
    <row r="205">
      <c r="A205" s="9"/>
      <c r="B205" s="9"/>
      <c r="C205" s="9"/>
      <c r="D205" s="9"/>
      <c r="E205" s="9"/>
      <c r="F205" s="9"/>
      <c r="G205" s="9"/>
      <c r="H205" s="9"/>
      <c r="I205" s="9"/>
      <c r="J205" s="9"/>
      <c r="K205" s="9"/>
      <c r="L205" s="9"/>
      <c r="M205" s="9"/>
    </row>
    <row r="206">
      <c r="A206" s="9"/>
      <c r="B206" s="9"/>
      <c r="C206" s="9"/>
      <c r="D206" s="9"/>
      <c r="E206" s="9"/>
      <c r="F206" s="9"/>
      <c r="G206" s="9"/>
      <c r="H206" s="9"/>
      <c r="I206" s="9"/>
      <c r="J206" s="9"/>
      <c r="K206" s="9"/>
      <c r="L206" s="9"/>
      <c r="M206" s="9"/>
    </row>
    <row r="207">
      <c r="A207" s="9"/>
      <c r="B207" s="9"/>
      <c r="C207" s="9"/>
      <c r="D207" s="9"/>
      <c r="E207" s="9"/>
      <c r="F207" s="9"/>
      <c r="G207" s="9"/>
      <c r="H207" s="9"/>
      <c r="I207" s="9"/>
      <c r="J207" s="9"/>
      <c r="K207" s="9"/>
      <c r="L207" s="9"/>
      <c r="M207" s="9"/>
    </row>
    <row r="208">
      <c r="A208" s="9"/>
      <c r="B208" s="9"/>
      <c r="C208" s="9"/>
      <c r="D208" s="9"/>
      <c r="E208" s="9"/>
      <c r="F208" s="9"/>
      <c r="G208" s="9"/>
      <c r="H208" s="9"/>
      <c r="I208" s="9"/>
      <c r="J208" s="9"/>
      <c r="K208" s="9"/>
      <c r="L208" s="9"/>
      <c r="M208" s="9"/>
    </row>
    <row r="209">
      <c r="A209" s="9"/>
      <c r="B209" s="9"/>
      <c r="C209" s="9"/>
      <c r="D209" s="9"/>
      <c r="E209" s="9"/>
      <c r="F209" s="9"/>
      <c r="G209" s="9"/>
      <c r="H209" s="9"/>
      <c r="I209" s="9"/>
      <c r="J209" s="9"/>
      <c r="K209" s="9"/>
      <c r="L209" s="9"/>
      <c r="M209" s="9"/>
    </row>
    <row r="210">
      <c r="A210" s="9"/>
      <c r="B210" s="9"/>
      <c r="C210" s="9"/>
      <c r="D210" s="9"/>
      <c r="E210" s="9"/>
      <c r="F210" s="9"/>
      <c r="G210" s="9"/>
      <c r="H210" s="9"/>
      <c r="I210" s="9"/>
      <c r="J210" s="9"/>
      <c r="K210" s="9"/>
      <c r="L210" s="9"/>
      <c r="M210" s="9"/>
    </row>
    <row r="211">
      <c r="A211" s="9"/>
      <c r="B211" s="9"/>
      <c r="C211" s="9"/>
      <c r="D211" s="9"/>
      <c r="E211" s="9"/>
      <c r="F211" s="9"/>
      <c r="G211" s="9"/>
      <c r="H211" s="9"/>
      <c r="I211" s="9"/>
      <c r="J211" s="9"/>
      <c r="K211" s="9"/>
      <c r="L211" s="9"/>
      <c r="M211" s="9"/>
    </row>
    <row r="212">
      <c r="A212" s="9"/>
      <c r="B212" s="9"/>
      <c r="C212" s="9"/>
      <c r="D212" s="9"/>
      <c r="E212" s="9"/>
      <c r="F212" s="9"/>
      <c r="G212" s="9"/>
      <c r="H212" s="9"/>
      <c r="I212" s="9"/>
      <c r="J212" s="9"/>
      <c r="K212" s="9"/>
      <c r="L212" s="9"/>
      <c r="M212" s="9"/>
    </row>
    <row r="213">
      <c r="A213" s="9"/>
      <c r="B213" s="9"/>
      <c r="C213" s="9"/>
      <c r="D213" s="9"/>
      <c r="E213" s="9"/>
      <c r="F213" s="9"/>
      <c r="G213" s="9"/>
      <c r="H213" s="9"/>
      <c r="I213" s="9"/>
      <c r="J213" s="9"/>
      <c r="K213" s="9"/>
      <c r="L213" s="9"/>
      <c r="M213" s="9"/>
    </row>
    <row r="214">
      <c r="A214" s="9"/>
      <c r="B214" s="9"/>
      <c r="C214" s="9"/>
      <c r="D214" s="9"/>
      <c r="E214" s="9"/>
      <c r="F214" s="9"/>
      <c r="G214" s="9"/>
      <c r="H214" s="9"/>
      <c r="I214" s="9"/>
      <c r="J214" s="9"/>
      <c r="K214" s="9"/>
      <c r="L214" s="9"/>
      <c r="M214" s="9"/>
    </row>
    <row r="215">
      <c r="A215" s="9"/>
      <c r="B215" s="9"/>
      <c r="C215" s="9"/>
      <c r="D215" s="9"/>
      <c r="E215" s="9"/>
      <c r="F215" s="9"/>
      <c r="G215" s="9"/>
      <c r="H215" s="9"/>
      <c r="I215" s="9"/>
      <c r="J215" s="9"/>
      <c r="K215" s="9"/>
      <c r="L215" s="9"/>
      <c r="M215" s="9"/>
    </row>
    <row r="216">
      <c r="A216" s="9"/>
      <c r="B216" s="9"/>
      <c r="C216" s="9"/>
      <c r="D216" s="9"/>
      <c r="E216" s="9"/>
      <c r="F216" s="9"/>
      <c r="G216" s="9"/>
      <c r="H216" s="9"/>
      <c r="I216" s="9"/>
      <c r="J216" s="9"/>
      <c r="K216" s="9"/>
      <c r="L216" s="9"/>
      <c r="M216" s="9"/>
    </row>
    <row r="217">
      <c r="A217" s="9"/>
      <c r="B217" s="9"/>
      <c r="C217" s="9"/>
      <c r="D217" s="9"/>
      <c r="E217" s="9"/>
      <c r="F217" s="9"/>
      <c r="G217" s="9"/>
      <c r="H217" s="9"/>
      <c r="I217" s="9"/>
      <c r="J217" s="9"/>
      <c r="K217" s="9"/>
      <c r="L217" s="9"/>
      <c r="M217" s="9"/>
    </row>
    <row r="218">
      <c r="A218" s="9"/>
      <c r="B218" s="9"/>
      <c r="C218" s="9"/>
      <c r="D218" s="9"/>
      <c r="E218" s="9"/>
      <c r="F218" s="9"/>
      <c r="G218" s="9"/>
      <c r="H218" s="9"/>
      <c r="I218" s="9"/>
      <c r="J218" s="9"/>
      <c r="K218" s="9"/>
      <c r="L218" s="9"/>
      <c r="M218" s="9"/>
    </row>
    <row r="219">
      <c r="A219" s="9"/>
      <c r="B219" s="9"/>
      <c r="C219" s="9"/>
      <c r="D219" s="9"/>
      <c r="E219" s="9"/>
      <c r="F219" s="9"/>
      <c r="G219" s="9"/>
      <c r="H219" s="9"/>
      <c r="I219" s="9"/>
      <c r="J219" s="9"/>
      <c r="K219" s="9"/>
      <c r="L219" s="9"/>
      <c r="M219" s="9"/>
    </row>
    <row r="220">
      <c r="A220" s="9"/>
      <c r="B220" s="9"/>
      <c r="C220" s="9"/>
      <c r="D220" s="9"/>
      <c r="E220" s="9"/>
      <c r="F220" s="9"/>
      <c r="G220" s="9"/>
      <c r="H220" s="9"/>
      <c r="I220" s="9"/>
      <c r="J220" s="9"/>
      <c r="K220" s="9"/>
      <c r="L220" s="9"/>
      <c r="M220" s="9"/>
    </row>
    <row r="221">
      <c r="A221" s="9"/>
      <c r="B221" s="9"/>
      <c r="C221" s="9"/>
      <c r="D221" s="9"/>
      <c r="E221" s="9"/>
      <c r="F221" s="9"/>
      <c r="G221" s="9"/>
      <c r="H221" s="9"/>
      <c r="I221" s="9"/>
      <c r="J221" s="9"/>
      <c r="K221" s="9"/>
      <c r="L221" s="9"/>
      <c r="M221" s="9"/>
    </row>
    <row r="222">
      <c r="A222" s="9"/>
      <c r="B222" s="9"/>
      <c r="C222" s="9"/>
      <c r="D222" s="9"/>
      <c r="E222" s="9"/>
      <c r="F222" s="9"/>
      <c r="G222" s="9"/>
      <c r="H222" s="9"/>
      <c r="I222" s="9"/>
      <c r="J222" s="9"/>
      <c r="K222" s="9"/>
      <c r="L222" s="9"/>
      <c r="M222" s="9"/>
    </row>
    <row r="223">
      <c r="A223" s="9"/>
      <c r="B223" s="9"/>
      <c r="C223" s="9"/>
      <c r="D223" s="9"/>
      <c r="E223" s="9"/>
      <c r="F223" s="9"/>
      <c r="G223" s="9"/>
      <c r="H223" s="9"/>
      <c r="I223" s="9"/>
      <c r="J223" s="9"/>
      <c r="K223" s="9"/>
      <c r="L223" s="9"/>
      <c r="M223" s="9"/>
    </row>
    <row r="224">
      <c r="A224" s="9"/>
      <c r="B224" s="9"/>
      <c r="C224" s="9"/>
      <c r="D224" s="9"/>
      <c r="E224" s="9"/>
      <c r="F224" s="9"/>
      <c r="G224" s="9"/>
      <c r="H224" s="9"/>
      <c r="I224" s="9"/>
      <c r="J224" s="9"/>
      <c r="K224" s="9"/>
      <c r="L224" s="9"/>
      <c r="M224" s="9"/>
    </row>
    <row r="225">
      <c r="A225" s="9"/>
      <c r="B225" s="9"/>
      <c r="C225" s="9"/>
      <c r="D225" s="9"/>
      <c r="E225" s="9"/>
      <c r="F225" s="9"/>
      <c r="G225" s="9"/>
      <c r="H225" s="9"/>
      <c r="I225" s="9"/>
      <c r="J225" s="9"/>
      <c r="K225" s="9"/>
      <c r="L225" s="9"/>
      <c r="M225" s="9"/>
    </row>
    <row r="226">
      <c r="A226" s="9"/>
      <c r="B226" s="9"/>
      <c r="C226" s="9"/>
      <c r="D226" s="9"/>
      <c r="E226" s="9"/>
      <c r="F226" s="9"/>
      <c r="G226" s="9"/>
      <c r="H226" s="9"/>
      <c r="I226" s="9"/>
      <c r="J226" s="9"/>
      <c r="K226" s="9"/>
      <c r="L226" s="9"/>
      <c r="M226" s="9"/>
    </row>
    <row r="227">
      <c r="A227" s="9"/>
      <c r="B227" s="9"/>
      <c r="C227" s="9"/>
      <c r="D227" s="9"/>
      <c r="E227" s="9"/>
      <c r="F227" s="9"/>
      <c r="G227" s="9"/>
      <c r="H227" s="9"/>
      <c r="I227" s="9"/>
      <c r="J227" s="9"/>
      <c r="K227" s="9"/>
      <c r="L227" s="9"/>
      <c r="M227" s="9"/>
    </row>
    <row r="228">
      <c r="A228" s="9"/>
      <c r="B228" s="9"/>
      <c r="C228" s="9"/>
      <c r="D228" s="9"/>
      <c r="E228" s="9"/>
      <c r="F228" s="9"/>
      <c r="G228" s="9"/>
      <c r="H228" s="9"/>
      <c r="I228" s="9"/>
      <c r="J228" s="9"/>
      <c r="K228" s="9"/>
      <c r="L228" s="9"/>
      <c r="M228" s="9"/>
    </row>
    <row r="229">
      <c r="A229" s="9"/>
      <c r="B229" s="9"/>
      <c r="C229" s="9"/>
      <c r="D229" s="9"/>
      <c r="E229" s="9"/>
      <c r="F229" s="9"/>
      <c r="G229" s="9"/>
      <c r="H229" s="9"/>
      <c r="I229" s="9"/>
      <c r="J229" s="9"/>
      <c r="K229" s="9"/>
      <c r="L229" s="9"/>
      <c r="M229" s="9"/>
    </row>
    <row r="230">
      <c r="A230" s="9"/>
      <c r="B230" s="9"/>
      <c r="C230" s="9"/>
      <c r="D230" s="9"/>
      <c r="E230" s="9"/>
      <c r="F230" s="9"/>
      <c r="G230" s="9"/>
      <c r="H230" s="9"/>
      <c r="I230" s="9"/>
      <c r="J230" s="9"/>
      <c r="K230" s="9"/>
      <c r="L230" s="9"/>
      <c r="M230" s="9"/>
    </row>
    <row r="231">
      <c r="A231" s="9"/>
      <c r="B231" s="9"/>
      <c r="C231" s="9"/>
      <c r="D231" s="9"/>
      <c r="E231" s="9"/>
      <c r="F231" s="9"/>
      <c r="G231" s="9"/>
      <c r="H231" s="9"/>
      <c r="I231" s="9"/>
      <c r="J231" s="9"/>
      <c r="K231" s="9"/>
      <c r="L231" s="9"/>
      <c r="M231" s="9"/>
    </row>
    <row r="232">
      <c r="A232" s="9"/>
      <c r="B232" s="9"/>
      <c r="C232" s="9"/>
      <c r="D232" s="9"/>
      <c r="E232" s="9"/>
      <c r="F232" s="9"/>
      <c r="G232" s="9"/>
      <c r="H232" s="9"/>
      <c r="I232" s="9"/>
      <c r="J232" s="9"/>
      <c r="K232" s="9"/>
      <c r="L232" s="9"/>
      <c r="M232" s="9"/>
    </row>
    <row r="233">
      <c r="A233" s="9"/>
      <c r="B233" s="9"/>
      <c r="C233" s="9"/>
      <c r="D233" s="9"/>
      <c r="E233" s="9"/>
      <c r="F233" s="9"/>
      <c r="G233" s="9"/>
      <c r="H233" s="9"/>
      <c r="I233" s="9"/>
      <c r="J233" s="9"/>
      <c r="K233" s="9"/>
      <c r="L233" s="9"/>
      <c r="M233" s="9"/>
    </row>
    <row r="234">
      <c r="A234" s="9"/>
      <c r="B234" s="9"/>
      <c r="C234" s="9"/>
      <c r="D234" s="9"/>
      <c r="E234" s="9"/>
      <c r="F234" s="9"/>
      <c r="G234" s="9"/>
      <c r="H234" s="9"/>
      <c r="I234" s="9"/>
      <c r="J234" s="9"/>
      <c r="K234" s="9"/>
      <c r="L234" s="9"/>
      <c r="M234" s="9"/>
    </row>
    <row r="235">
      <c r="A235" s="9"/>
      <c r="B235" s="9"/>
      <c r="C235" s="9"/>
      <c r="D235" s="9"/>
      <c r="E235" s="9"/>
      <c r="F235" s="9"/>
      <c r="G235" s="9"/>
      <c r="H235" s="9"/>
      <c r="I235" s="9"/>
      <c r="J235" s="9"/>
      <c r="K235" s="9"/>
      <c r="L235" s="9"/>
      <c r="M235" s="9"/>
    </row>
    <row r="236">
      <c r="A236" s="9"/>
      <c r="B236" s="9"/>
      <c r="C236" s="9"/>
      <c r="D236" s="9"/>
      <c r="E236" s="9"/>
      <c r="F236" s="9"/>
      <c r="G236" s="9"/>
      <c r="H236" s="9"/>
      <c r="I236" s="9"/>
      <c r="J236" s="9"/>
      <c r="K236" s="9"/>
      <c r="L236" s="9"/>
      <c r="M236" s="9"/>
    </row>
    <row r="237">
      <c r="A237" s="9"/>
      <c r="B237" s="9"/>
      <c r="C237" s="9"/>
      <c r="D237" s="9"/>
      <c r="E237" s="9"/>
      <c r="F237" s="9"/>
      <c r="G237" s="9"/>
      <c r="H237" s="9"/>
      <c r="I237" s="9"/>
      <c r="J237" s="9"/>
      <c r="K237" s="9"/>
      <c r="L237" s="9"/>
      <c r="M237" s="9"/>
    </row>
    <row r="238">
      <c r="A238" s="9"/>
      <c r="B238" s="9"/>
      <c r="C238" s="9"/>
      <c r="D238" s="9"/>
      <c r="E238" s="9"/>
      <c r="F238" s="9"/>
      <c r="G238" s="9"/>
      <c r="H238" s="9"/>
      <c r="I238" s="9"/>
      <c r="J238" s="9"/>
      <c r="K238" s="9"/>
      <c r="L238" s="9"/>
      <c r="M238" s="9"/>
    </row>
    <row r="239">
      <c r="A239" s="9"/>
      <c r="B239" s="9"/>
      <c r="C239" s="9"/>
      <c r="D239" s="9"/>
      <c r="E239" s="9"/>
      <c r="F239" s="9"/>
      <c r="G239" s="9"/>
      <c r="H239" s="9"/>
      <c r="I239" s="9"/>
      <c r="J239" s="9"/>
      <c r="K239" s="9"/>
      <c r="L239" s="9"/>
      <c r="M239" s="9"/>
    </row>
    <row r="240">
      <c r="A240" s="9"/>
      <c r="B240" s="9"/>
      <c r="C240" s="9"/>
      <c r="D240" s="9"/>
      <c r="E240" s="9"/>
      <c r="F240" s="9"/>
      <c r="G240" s="9"/>
      <c r="H240" s="9"/>
      <c r="I240" s="9"/>
      <c r="J240" s="9"/>
      <c r="K240" s="9"/>
      <c r="L240" s="9"/>
      <c r="M240" s="9"/>
    </row>
    <row r="241">
      <c r="A241" s="9"/>
      <c r="B241" s="9"/>
      <c r="C241" s="9"/>
      <c r="D241" s="9"/>
      <c r="E241" s="9"/>
      <c r="F241" s="9"/>
      <c r="G241" s="9"/>
      <c r="H241" s="9"/>
      <c r="I241" s="9"/>
      <c r="J241" s="9"/>
      <c r="K241" s="9"/>
      <c r="L241" s="9"/>
      <c r="M241" s="9"/>
    </row>
    <row r="242">
      <c r="A242" s="9"/>
      <c r="B242" s="9"/>
      <c r="C242" s="9"/>
      <c r="D242" s="9"/>
      <c r="E242" s="9"/>
      <c r="F242" s="9"/>
      <c r="G242" s="9"/>
      <c r="H242" s="9"/>
      <c r="I242" s="9"/>
      <c r="J242" s="9"/>
      <c r="K242" s="9"/>
      <c r="L242" s="9"/>
      <c r="M242" s="9"/>
    </row>
    <row r="243">
      <c r="A243" s="9"/>
      <c r="B243" s="9"/>
      <c r="C243" s="9"/>
      <c r="D243" s="9"/>
      <c r="E243" s="9"/>
      <c r="F243" s="9"/>
      <c r="G243" s="9"/>
      <c r="H243" s="9"/>
      <c r="I243" s="9"/>
      <c r="J243" s="9"/>
      <c r="K243" s="9"/>
      <c r="L243" s="9"/>
      <c r="M243" s="9"/>
    </row>
    <row r="244">
      <c r="A244" s="9"/>
      <c r="B244" s="9"/>
      <c r="C244" s="9"/>
      <c r="D244" s="9"/>
      <c r="E244" s="9"/>
      <c r="F244" s="9"/>
      <c r="G244" s="9"/>
      <c r="H244" s="9"/>
      <c r="I244" s="9"/>
      <c r="J244" s="9"/>
      <c r="K244" s="9"/>
      <c r="L244" s="9"/>
      <c r="M244" s="9"/>
    </row>
    <row r="245">
      <c r="A245" s="9"/>
      <c r="B245" s="9"/>
      <c r="C245" s="9"/>
      <c r="D245" s="9"/>
      <c r="E245" s="9"/>
      <c r="F245" s="9"/>
      <c r="G245" s="9"/>
      <c r="H245" s="9"/>
      <c r="I245" s="9"/>
      <c r="J245" s="9"/>
      <c r="K245" s="9"/>
      <c r="L245" s="9"/>
      <c r="M245" s="9"/>
    </row>
    <row r="246">
      <c r="A246" s="9"/>
      <c r="B246" s="9"/>
      <c r="C246" s="9"/>
      <c r="D246" s="9"/>
      <c r="E246" s="9"/>
      <c r="F246" s="9"/>
      <c r="G246" s="9"/>
      <c r="H246" s="9"/>
      <c r="I246" s="9"/>
      <c r="J246" s="9"/>
      <c r="K246" s="9"/>
      <c r="L246" s="9"/>
      <c r="M246" s="9"/>
    </row>
    <row r="247">
      <c r="A247" s="9"/>
      <c r="B247" s="9"/>
      <c r="C247" s="9"/>
      <c r="D247" s="9"/>
      <c r="E247" s="9"/>
      <c r="F247" s="9"/>
      <c r="G247" s="9"/>
      <c r="H247" s="9"/>
      <c r="I247" s="9"/>
      <c r="J247" s="9"/>
      <c r="K247" s="9"/>
      <c r="L247" s="9"/>
      <c r="M247" s="9"/>
    </row>
    <row r="248">
      <c r="A248" s="9"/>
      <c r="B248" s="9"/>
      <c r="C248" s="9"/>
      <c r="D248" s="9"/>
      <c r="E248" s="9"/>
      <c r="F248" s="9"/>
      <c r="G248" s="9"/>
      <c r="H248" s="9"/>
      <c r="I248" s="9"/>
      <c r="J248" s="9"/>
      <c r="K248" s="9"/>
      <c r="L248" s="9"/>
      <c r="M248" s="9"/>
    </row>
    <row r="249">
      <c r="A249" s="9"/>
      <c r="B249" s="9"/>
      <c r="C249" s="9"/>
      <c r="D249" s="9"/>
      <c r="E249" s="9"/>
      <c r="F249" s="9"/>
      <c r="G249" s="9"/>
      <c r="H249" s="9"/>
      <c r="I249" s="9"/>
      <c r="J249" s="9"/>
      <c r="K249" s="9"/>
      <c r="L249" s="9"/>
      <c r="M249" s="9"/>
    </row>
    <row r="250">
      <c r="A250" s="9"/>
      <c r="B250" s="9"/>
      <c r="C250" s="9"/>
      <c r="D250" s="9"/>
      <c r="E250" s="9"/>
      <c r="F250" s="9"/>
      <c r="G250" s="9"/>
      <c r="H250" s="9"/>
      <c r="I250" s="9"/>
      <c r="J250" s="9"/>
      <c r="K250" s="9"/>
      <c r="L250" s="9"/>
      <c r="M250" s="9"/>
    </row>
    <row r="251">
      <c r="A251" s="9"/>
      <c r="B251" s="9"/>
      <c r="C251" s="9"/>
      <c r="D251" s="9"/>
      <c r="E251" s="9"/>
      <c r="F251" s="9"/>
      <c r="G251" s="9"/>
      <c r="H251" s="9"/>
      <c r="I251" s="9"/>
      <c r="J251" s="9"/>
      <c r="K251" s="9"/>
      <c r="L251" s="9"/>
      <c r="M251" s="9"/>
    </row>
    <row r="252">
      <c r="A252" s="9"/>
      <c r="B252" s="9"/>
      <c r="C252" s="9"/>
      <c r="D252" s="9"/>
      <c r="E252" s="9"/>
      <c r="F252" s="9"/>
      <c r="G252" s="9"/>
      <c r="H252" s="9"/>
      <c r="I252" s="9"/>
      <c r="J252" s="9"/>
      <c r="K252" s="9"/>
      <c r="L252" s="9"/>
      <c r="M252" s="9"/>
    </row>
    <row r="253">
      <c r="A253" s="9"/>
      <c r="B253" s="9"/>
      <c r="C253" s="9"/>
      <c r="D253" s="9"/>
      <c r="E253" s="9"/>
      <c r="F253" s="9"/>
      <c r="G253" s="9"/>
      <c r="H253" s="9"/>
      <c r="I253" s="9"/>
      <c r="J253" s="9"/>
      <c r="K253" s="9"/>
      <c r="L253" s="9"/>
      <c r="M253" s="9"/>
    </row>
    <row r="254">
      <c r="A254" s="9"/>
      <c r="B254" s="9"/>
      <c r="C254" s="9"/>
      <c r="D254" s="9"/>
      <c r="E254" s="9"/>
      <c r="F254" s="9"/>
      <c r="G254" s="9"/>
      <c r="H254" s="9"/>
      <c r="I254" s="9"/>
      <c r="J254" s="9"/>
      <c r="K254" s="9"/>
      <c r="L254" s="9"/>
      <c r="M254" s="9"/>
    </row>
    <row r="255">
      <c r="A255" s="9"/>
      <c r="B255" s="9"/>
      <c r="C255" s="9"/>
      <c r="D255" s="9"/>
      <c r="E255" s="9"/>
      <c r="F255" s="9"/>
      <c r="G255" s="9"/>
      <c r="H255" s="9"/>
      <c r="I255" s="9"/>
      <c r="J255" s="9"/>
      <c r="K255" s="9"/>
      <c r="L255" s="9"/>
      <c r="M255" s="9"/>
    </row>
    <row r="256">
      <c r="A256" s="9"/>
      <c r="B256" s="9"/>
      <c r="C256" s="9"/>
      <c r="D256" s="9"/>
      <c r="E256" s="9"/>
      <c r="F256" s="9"/>
      <c r="G256" s="9"/>
      <c r="H256" s="9"/>
      <c r="I256" s="9"/>
      <c r="J256" s="9"/>
      <c r="K256" s="9"/>
      <c r="L256" s="9"/>
      <c r="M256" s="9"/>
    </row>
    <row r="257">
      <c r="A257" s="9"/>
      <c r="B257" s="9"/>
      <c r="C257" s="9"/>
      <c r="D257" s="9"/>
      <c r="E257" s="9"/>
      <c r="F257" s="9"/>
      <c r="G257" s="9"/>
      <c r="H257" s="9"/>
      <c r="I257" s="9"/>
      <c r="J257" s="9"/>
      <c r="K257" s="9"/>
      <c r="L257" s="9"/>
      <c r="M257" s="9"/>
    </row>
    <row r="258">
      <c r="A258" s="9"/>
      <c r="B258" s="9"/>
      <c r="C258" s="9"/>
      <c r="D258" s="9"/>
      <c r="E258" s="9"/>
      <c r="F258" s="9"/>
      <c r="G258" s="9"/>
      <c r="H258" s="9"/>
      <c r="I258" s="9"/>
      <c r="J258" s="9"/>
      <c r="K258" s="9"/>
      <c r="L258" s="9"/>
      <c r="M258" s="9"/>
    </row>
    <row r="259">
      <c r="A259" s="9"/>
      <c r="B259" s="9"/>
      <c r="C259" s="9"/>
      <c r="D259" s="9"/>
      <c r="E259" s="9"/>
      <c r="F259" s="9"/>
      <c r="G259" s="9"/>
      <c r="H259" s="9"/>
      <c r="I259" s="9"/>
      <c r="J259" s="9"/>
      <c r="K259" s="9"/>
      <c r="L259" s="9"/>
      <c r="M259" s="9"/>
    </row>
    <row r="260">
      <c r="A260" s="9"/>
      <c r="B260" s="9"/>
      <c r="C260" s="9"/>
      <c r="D260" s="9"/>
      <c r="E260" s="9"/>
      <c r="F260" s="9"/>
      <c r="G260" s="9"/>
      <c r="H260" s="9"/>
      <c r="I260" s="9"/>
      <c r="J260" s="9"/>
      <c r="K260" s="9"/>
      <c r="L260" s="9"/>
      <c r="M260" s="9"/>
    </row>
    <row r="261">
      <c r="A261" s="9"/>
      <c r="B261" s="9"/>
      <c r="C261" s="9"/>
      <c r="D261" s="9"/>
      <c r="E261" s="9"/>
      <c r="F261" s="9"/>
      <c r="G261" s="9"/>
      <c r="H261" s="9"/>
      <c r="I261" s="9"/>
      <c r="J261" s="9"/>
      <c r="K261" s="9"/>
      <c r="L261" s="9"/>
      <c r="M261" s="9"/>
    </row>
    <row r="262">
      <c r="A262" s="9"/>
      <c r="B262" s="9"/>
      <c r="C262" s="9"/>
      <c r="D262" s="9"/>
      <c r="E262" s="9"/>
      <c r="F262" s="9"/>
      <c r="G262" s="9"/>
      <c r="H262" s="9"/>
      <c r="I262" s="9"/>
      <c r="J262" s="9"/>
      <c r="K262" s="9"/>
      <c r="L262" s="9"/>
      <c r="M262" s="9"/>
    </row>
    <row r="263">
      <c r="A263" s="9"/>
      <c r="B263" s="9"/>
      <c r="C263" s="9"/>
      <c r="D263" s="9"/>
      <c r="E263" s="9"/>
      <c r="F263" s="9"/>
      <c r="G263" s="9"/>
      <c r="H263" s="9"/>
      <c r="I263" s="9"/>
      <c r="J263" s="9"/>
      <c r="K263" s="9"/>
      <c r="L263" s="9"/>
      <c r="M263" s="9"/>
    </row>
    <row r="264">
      <c r="A264" s="9"/>
      <c r="B264" s="9"/>
      <c r="C264" s="9"/>
      <c r="D264" s="9"/>
      <c r="E264" s="9"/>
      <c r="F264" s="9"/>
      <c r="G264" s="9"/>
      <c r="H264" s="9"/>
      <c r="I264" s="9"/>
      <c r="J264" s="9"/>
      <c r="K264" s="9"/>
      <c r="L264" s="9"/>
      <c r="M264" s="9"/>
    </row>
    <row r="265">
      <c r="A265" s="9"/>
      <c r="B265" s="9"/>
      <c r="C265" s="9"/>
      <c r="D265" s="9"/>
      <c r="E265" s="9"/>
      <c r="F265" s="9"/>
      <c r="G265" s="9"/>
      <c r="H265" s="9"/>
      <c r="I265" s="9"/>
      <c r="J265" s="9"/>
      <c r="K265" s="9"/>
      <c r="L265" s="9"/>
      <c r="M265" s="9"/>
    </row>
    <row r="266">
      <c r="A266" s="9"/>
      <c r="B266" s="9"/>
      <c r="C266" s="9"/>
      <c r="D266" s="9"/>
      <c r="E266" s="9"/>
      <c r="F266" s="9"/>
      <c r="G266" s="9"/>
      <c r="H266" s="9"/>
      <c r="I266" s="9"/>
      <c r="J266" s="9"/>
      <c r="K266" s="9"/>
      <c r="L266" s="9"/>
      <c r="M266" s="9"/>
    </row>
    <row r="267">
      <c r="A267" s="9"/>
      <c r="B267" s="9"/>
      <c r="C267" s="9"/>
      <c r="D267" s="9"/>
      <c r="E267" s="9"/>
      <c r="F267" s="9"/>
      <c r="G267" s="9"/>
      <c r="H267" s="9"/>
      <c r="I267" s="9"/>
      <c r="J267" s="9"/>
      <c r="K267" s="9"/>
      <c r="L267" s="9"/>
      <c r="M267" s="9"/>
    </row>
    <row r="268">
      <c r="A268" s="9"/>
      <c r="B268" s="9"/>
      <c r="C268" s="9"/>
      <c r="D268" s="9"/>
      <c r="E268" s="9"/>
      <c r="F268" s="9"/>
      <c r="G268" s="9"/>
      <c r="H268" s="9"/>
      <c r="I268" s="9"/>
      <c r="J268" s="9"/>
      <c r="K268" s="9"/>
      <c r="L268" s="9"/>
      <c r="M268" s="9"/>
    </row>
    <row r="269">
      <c r="A269" s="9"/>
      <c r="B269" s="9"/>
      <c r="C269" s="9"/>
      <c r="D269" s="9"/>
      <c r="E269" s="9"/>
      <c r="F269" s="9"/>
      <c r="G269" s="9"/>
      <c r="H269" s="9"/>
      <c r="I269" s="9"/>
      <c r="J269" s="9"/>
      <c r="K269" s="9"/>
      <c r="L269" s="9"/>
      <c r="M269" s="9"/>
    </row>
    <row r="270">
      <c r="A270" s="9"/>
      <c r="B270" s="9"/>
      <c r="C270" s="9"/>
      <c r="D270" s="9"/>
      <c r="E270" s="9"/>
      <c r="F270" s="9"/>
      <c r="G270" s="9"/>
      <c r="H270" s="9"/>
      <c r="I270" s="9"/>
      <c r="J270" s="9"/>
      <c r="K270" s="9"/>
      <c r="L270" s="9"/>
      <c r="M270" s="9"/>
    </row>
    <row r="271">
      <c r="A271" s="9"/>
      <c r="B271" s="9"/>
      <c r="C271" s="9"/>
      <c r="D271" s="9"/>
      <c r="E271" s="9"/>
      <c r="F271" s="9"/>
      <c r="G271" s="9"/>
      <c r="H271" s="9"/>
      <c r="I271" s="9"/>
      <c r="J271" s="9"/>
      <c r="K271" s="9"/>
      <c r="L271" s="9"/>
      <c r="M271" s="9"/>
    </row>
    <row r="272">
      <c r="A272" s="9"/>
      <c r="B272" s="9"/>
      <c r="C272" s="9"/>
      <c r="D272" s="9"/>
      <c r="E272" s="9"/>
      <c r="F272" s="9"/>
      <c r="G272" s="9"/>
      <c r="H272" s="9"/>
      <c r="I272" s="9"/>
      <c r="J272" s="9"/>
      <c r="K272" s="9"/>
      <c r="L272" s="9"/>
      <c r="M272" s="9"/>
    </row>
    <row r="273">
      <c r="A273" s="9"/>
      <c r="B273" s="9"/>
      <c r="C273" s="9"/>
      <c r="D273" s="9"/>
      <c r="E273" s="9"/>
      <c r="F273" s="9"/>
      <c r="G273" s="9"/>
      <c r="H273" s="9"/>
      <c r="I273" s="9"/>
      <c r="J273" s="9"/>
      <c r="K273" s="9"/>
      <c r="L273" s="9"/>
      <c r="M273" s="9"/>
    </row>
    <row r="274">
      <c r="A274" s="9"/>
      <c r="B274" s="9"/>
      <c r="C274" s="9"/>
      <c r="D274" s="9"/>
      <c r="E274" s="9"/>
      <c r="F274" s="9"/>
      <c r="G274" s="9"/>
      <c r="H274" s="9"/>
      <c r="I274" s="9"/>
      <c r="J274" s="9"/>
      <c r="K274" s="9"/>
      <c r="L274" s="9"/>
      <c r="M274" s="9"/>
    </row>
    <row r="275">
      <c r="A275" s="9"/>
      <c r="B275" s="9"/>
      <c r="C275" s="9"/>
      <c r="D275" s="9"/>
      <c r="E275" s="9"/>
      <c r="F275" s="9"/>
      <c r="G275" s="9"/>
      <c r="H275" s="9"/>
      <c r="I275" s="9"/>
      <c r="J275" s="9"/>
      <c r="K275" s="9"/>
      <c r="L275" s="9"/>
      <c r="M275" s="9"/>
    </row>
    <row r="276">
      <c r="A276" s="9"/>
      <c r="B276" s="9"/>
      <c r="C276" s="9"/>
      <c r="D276" s="9"/>
      <c r="E276" s="9"/>
      <c r="F276" s="9"/>
      <c r="G276" s="9"/>
      <c r="H276" s="9"/>
      <c r="I276" s="9"/>
      <c r="J276" s="9"/>
      <c r="K276" s="9"/>
      <c r="L276" s="9"/>
      <c r="M276" s="9"/>
    </row>
    <row r="277">
      <c r="A277" s="9"/>
      <c r="B277" s="9"/>
      <c r="C277" s="9"/>
      <c r="D277" s="9"/>
      <c r="E277" s="9"/>
      <c r="F277" s="9"/>
      <c r="G277" s="9"/>
      <c r="H277" s="9"/>
      <c r="I277" s="9"/>
      <c r="J277" s="9"/>
      <c r="K277" s="9"/>
      <c r="L277" s="9"/>
      <c r="M277" s="9"/>
    </row>
    <row r="278">
      <c r="A278" s="9"/>
      <c r="B278" s="9"/>
      <c r="C278" s="9"/>
      <c r="D278" s="9"/>
      <c r="E278" s="9"/>
      <c r="F278" s="9"/>
      <c r="G278" s="9"/>
      <c r="H278" s="9"/>
      <c r="I278" s="9"/>
      <c r="J278" s="9"/>
      <c r="K278" s="9"/>
      <c r="L278" s="9"/>
      <c r="M278" s="9"/>
    </row>
    <row r="279">
      <c r="A279" s="9"/>
      <c r="B279" s="9"/>
      <c r="C279" s="9"/>
      <c r="D279" s="9"/>
      <c r="E279" s="9"/>
      <c r="F279" s="9"/>
      <c r="G279" s="9"/>
      <c r="H279" s="9"/>
      <c r="I279" s="9"/>
      <c r="J279" s="9"/>
      <c r="K279" s="9"/>
      <c r="L279" s="9"/>
      <c r="M279" s="9"/>
    </row>
    <row r="280">
      <c r="A280" s="9"/>
      <c r="B280" s="9"/>
      <c r="C280" s="9"/>
      <c r="D280" s="9"/>
      <c r="E280" s="9"/>
      <c r="F280" s="9"/>
      <c r="G280" s="9"/>
      <c r="H280" s="9"/>
      <c r="I280" s="9"/>
      <c r="J280" s="9"/>
      <c r="K280" s="9"/>
      <c r="L280" s="9"/>
      <c r="M280" s="9"/>
    </row>
    <row r="281">
      <c r="A281" s="9"/>
      <c r="B281" s="9"/>
      <c r="C281" s="9"/>
      <c r="D281" s="9"/>
      <c r="E281" s="9"/>
      <c r="F281" s="9"/>
      <c r="G281" s="9"/>
      <c r="H281" s="9"/>
      <c r="I281" s="9"/>
      <c r="J281" s="9"/>
      <c r="K281" s="9"/>
      <c r="L281" s="9"/>
      <c r="M281" s="9"/>
    </row>
    <row r="282">
      <c r="A282" s="9"/>
      <c r="B282" s="9"/>
      <c r="C282" s="9"/>
      <c r="D282" s="9"/>
      <c r="E282" s="9"/>
      <c r="F282" s="9"/>
      <c r="G282" s="9"/>
      <c r="H282" s="9"/>
      <c r="I282" s="9"/>
      <c r="J282" s="9"/>
      <c r="K282" s="9"/>
      <c r="L282" s="9"/>
      <c r="M282" s="9"/>
    </row>
    <row r="283">
      <c r="A283" s="9"/>
      <c r="B283" s="9"/>
      <c r="C283" s="9"/>
      <c r="D283" s="9"/>
      <c r="E283" s="9"/>
      <c r="F283" s="9"/>
      <c r="G283" s="9"/>
      <c r="H283" s="9"/>
      <c r="I283" s="9"/>
      <c r="J283" s="9"/>
      <c r="K283" s="9"/>
      <c r="L283" s="9"/>
      <c r="M283" s="9"/>
    </row>
    <row r="284">
      <c r="A284" s="9"/>
      <c r="B284" s="9"/>
      <c r="C284" s="9"/>
      <c r="D284" s="9"/>
      <c r="E284" s="9"/>
      <c r="F284" s="9"/>
      <c r="G284" s="9"/>
      <c r="H284" s="9"/>
      <c r="I284" s="9"/>
      <c r="J284" s="9"/>
      <c r="K284" s="9"/>
      <c r="L284" s="9"/>
      <c r="M284" s="9"/>
    </row>
    <row r="285">
      <c r="A285" s="9"/>
      <c r="B285" s="9"/>
      <c r="C285" s="9"/>
      <c r="D285" s="9"/>
      <c r="E285" s="9"/>
      <c r="F285" s="9"/>
      <c r="G285" s="9"/>
      <c r="H285" s="9"/>
      <c r="I285" s="9"/>
      <c r="J285" s="9"/>
      <c r="K285" s="9"/>
      <c r="L285" s="9"/>
      <c r="M285" s="9"/>
    </row>
    <row r="286">
      <c r="A286" s="9"/>
      <c r="B286" s="9"/>
      <c r="C286" s="9"/>
      <c r="D286" s="9"/>
      <c r="E286" s="9"/>
      <c r="F286" s="9"/>
      <c r="G286" s="9"/>
      <c r="H286" s="9"/>
      <c r="I286" s="9"/>
      <c r="J286" s="9"/>
      <c r="K286" s="9"/>
      <c r="L286" s="9"/>
      <c r="M286" s="9"/>
    </row>
    <row r="287">
      <c r="A287" s="9"/>
      <c r="B287" s="9"/>
      <c r="C287" s="9"/>
      <c r="D287" s="9"/>
      <c r="E287" s="9"/>
      <c r="F287" s="9"/>
      <c r="G287" s="9"/>
      <c r="H287" s="9"/>
      <c r="I287" s="9"/>
      <c r="J287" s="9"/>
      <c r="K287" s="9"/>
      <c r="L287" s="9"/>
      <c r="M287" s="9"/>
    </row>
    <row r="288">
      <c r="A288" s="9"/>
      <c r="B288" s="9"/>
      <c r="C288" s="9"/>
      <c r="D288" s="9"/>
      <c r="E288" s="9"/>
      <c r="F288" s="9"/>
      <c r="G288" s="9"/>
      <c r="H288" s="9"/>
      <c r="I288" s="9"/>
      <c r="J288" s="9"/>
      <c r="K288" s="9"/>
      <c r="L288" s="9"/>
      <c r="M288" s="9"/>
    </row>
    <row r="289">
      <c r="A289" s="9"/>
      <c r="B289" s="9"/>
      <c r="C289" s="9"/>
      <c r="D289" s="9"/>
      <c r="E289" s="9"/>
      <c r="F289" s="9"/>
      <c r="G289" s="9"/>
      <c r="H289" s="9"/>
      <c r="I289" s="9"/>
      <c r="J289" s="9"/>
      <c r="K289" s="9"/>
      <c r="L289" s="9"/>
      <c r="M289" s="9"/>
    </row>
    <row r="290">
      <c r="A290" s="9"/>
      <c r="B290" s="9"/>
      <c r="C290" s="9"/>
      <c r="D290" s="9"/>
      <c r="E290" s="9"/>
      <c r="F290" s="9"/>
      <c r="G290" s="9"/>
      <c r="H290" s="9"/>
      <c r="I290" s="9"/>
      <c r="J290" s="9"/>
      <c r="K290" s="9"/>
      <c r="L290" s="9"/>
      <c r="M290" s="9"/>
    </row>
    <row r="291">
      <c r="A291" s="9"/>
      <c r="B291" s="9"/>
      <c r="C291" s="9"/>
      <c r="D291" s="9"/>
      <c r="E291" s="9"/>
      <c r="F291" s="9"/>
      <c r="G291" s="9"/>
      <c r="H291" s="9"/>
      <c r="I291" s="9"/>
      <c r="J291" s="9"/>
      <c r="K291" s="9"/>
      <c r="L291" s="9"/>
      <c r="M291" s="9"/>
    </row>
    <row r="292">
      <c r="A292" s="9"/>
      <c r="B292" s="9"/>
      <c r="C292" s="9"/>
      <c r="D292" s="9"/>
      <c r="E292" s="9"/>
      <c r="F292" s="9"/>
      <c r="G292" s="9"/>
      <c r="H292" s="9"/>
      <c r="I292" s="9"/>
      <c r="J292" s="9"/>
      <c r="K292" s="9"/>
      <c r="L292" s="9"/>
      <c r="M292" s="9"/>
    </row>
    <row r="293">
      <c r="A293" s="9"/>
      <c r="B293" s="9"/>
      <c r="C293" s="9"/>
      <c r="D293" s="9"/>
      <c r="E293" s="9"/>
      <c r="F293" s="9"/>
      <c r="G293" s="9"/>
      <c r="H293" s="9"/>
      <c r="I293" s="9"/>
      <c r="J293" s="9"/>
      <c r="K293" s="9"/>
      <c r="L293" s="9"/>
      <c r="M293" s="9"/>
    </row>
    <row r="294">
      <c r="A294" s="9"/>
      <c r="B294" s="9"/>
      <c r="C294" s="9"/>
      <c r="D294" s="9"/>
      <c r="E294" s="9"/>
      <c r="F294" s="9"/>
      <c r="G294" s="9"/>
      <c r="H294" s="9"/>
      <c r="I294" s="9"/>
      <c r="J294" s="9"/>
      <c r="K294" s="9"/>
      <c r="L294" s="9"/>
      <c r="M294" s="9"/>
    </row>
    <row r="295">
      <c r="A295" s="9"/>
      <c r="B295" s="9"/>
      <c r="C295" s="9"/>
      <c r="D295" s="9"/>
      <c r="E295" s="9"/>
      <c r="F295" s="9"/>
      <c r="G295" s="9"/>
      <c r="H295" s="9"/>
      <c r="I295" s="9"/>
      <c r="J295" s="9"/>
      <c r="K295" s="9"/>
      <c r="L295" s="9"/>
      <c r="M295" s="9"/>
    </row>
    <row r="296">
      <c r="A296" s="9"/>
      <c r="B296" s="9"/>
      <c r="C296" s="9"/>
      <c r="D296" s="9"/>
      <c r="E296" s="9"/>
      <c r="F296" s="9"/>
      <c r="G296" s="9"/>
      <c r="H296" s="9"/>
      <c r="I296" s="9"/>
      <c r="J296" s="9"/>
      <c r="K296" s="9"/>
      <c r="L296" s="9"/>
      <c r="M296" s="9"/>
    </row>
    <row r="297">
      <c r="A297" s="9"/>
      <c r="B297" s="9"/>
      <c r="C297" s="9"/>
      <c r="D297" s="9"/>
      <c r="E297" s="9"/>
      <c r="F297" s="9"/>
      <c r="G297" s="9"/>
      <c r="H297" s="9"/>
      <c r="I297" s="9"/>
      <c r="J297" s="9"/>
      <c r="K297" s="9"/>
      <c r="L297" s="9"/>
      <c r="M297" s="9"/>
    </row>
    <row r="298">
      <c r="A298" s="9"/>
      <c r="B298" s="9"/>
      <c r="C298" s="9"/>
      <c r="D298" s="9"/>
      <c r="E298" s="9"/>
      <c r="F298" s="9"/>
      <c r="G298" s="9"/>
      <c r="H298" s="9"/>
      <c r="I298" s="9"/>
      <c r="J298" s="9"/>
      <c r="K298" s="9"/>
      <c r="L298" s="9"/>
      <c r="M298" s="9"/>
    </row>
    <row r="299">
      <c r="A299" s="9"/>
      <c r="B299" s="9"/>
      <c r="C299" s="9"/>
      <c r="D299" s="9"/>
      <c r="E299" s="9"/>
      <c r="F299" s="9"/>
      <c r="G299" s="9"/>
      <c r="H299" s="9"/>
      <c r="I299" s="9"/>
      <c r="J299" s="9"/>
      <c r="K299" s="9"/>
      <c r="L299" s="9"/>
      <c r="M299" s="9"/>
    </row>
    <row r="300">
      <c r="A300" s="9"/>
      <c r="B300" s="9"/>
      <c r="C300" s="9"/>
      <c r="D300" s="9"/>
      <c r="E300" s="9"/>
      <c r="F300" s="9"/>
      <c r="G300" s="9"/>
      <c r="H300" s="9"/>
      <c r="I300" s="9"/>
      <c r="J300" s="9"/>
      <c r="K300" s="9"/>
      <c r="L300" s="9"/>
      <c r="M300" s="9"/>
    </row>
    <row r="301">
      <c r="A301" s="9"/>
      <c r="B301" s="9"/>
      <c r="C301" s="9"/>
      <c r="D301" s="9"/>
      <c r="E301" s="9"/>
      <c r="F301" s="9"/>
      <c r="G301" s="9"/>
      <c r="H301" s="9"/>
      <c r="I301" s="9"/>
      <c r="J301" s="9"/>
      <c r="K301" s="9"/>
      <c r="L301" s="9"/>
      <c r="M301" s="9"/>
    </row>
    <row r="302">
      <c r="A302" s="9"/>
      <c r="B302" s="9"/>
      <c r="C302" s="9"/>
      <c r="D302" s="9"/>
      <c r="E302" s="9"/>
      <c r="F302" s="9"/>
      <c r="G302" s="9"/>
      <c r="H302" s="9"/>
      <c r="I302" s="9"/>
      <c r="J302" s="9"/>
      <c r="K302" s="9"/>
      <c r="L302" s="9"/>
      <c r="M302" s="9"/>
    </row>
    <row r="303">
      <c r="A303" s="9"/>
      <c r="B303" s="9"/>
      <c r="C303" s="9"/>
      <c r="D303" s="9"/>
      <c r="E303" s="9"/>
      <c r="F303" s="9"/>
      <c r="G303" s="9"/>
      <c r="H303" s="9"/>
      <c r="I303" s="9"/>
      <c r="J303" s="9"/>
      <c r="K303" s="9"/>
      <c r="L303" s="9"/>
      <c r="M303" s="9"/>
    </row>
    <row r="304">
      <c r="A304" s="9"/>
      <c r="B304" s="9"/>
      <c r="C304" s="9"/>
      <c r="D304" s="9"/>
      <c r="E304" s="9"/>
      <c r="F304" s="9"/>
      <c r="G304" s="9"/>
      <c r="H304" s="9"/>
      <c r="I304" s="9"/>
      <c r="J304" s="9"/>
      <c r="K304" s="9"/>
      <c r="L304" s="9"/>
      <c r="M304" s="9"/>
    </row>
    <row r="305">
      <c r="A305" s="9"/>
      <c r="B305" s="9"/>
      <c r="C305" s="9"/>
      <c r="D305" s="9"/>
      <c r="E305" s="9"/>
      <c r="F305" s="9"/>
      <c r="G305" s="9"/>
      <c r="H305" s="9"/>
      <c r="I305" s="9"/>
      <c r="J305" s="9"/>
      <c r="K305" s="9"/>
      <c r="L305" s="9"/>
      <c r="M305" s="9"/>
    </row>
    <row r="306">
      <c r="A306" s="9"/>
      <c r="B306" s="9"/>
      <c r="C306" s="9"/>
      <c r="D306" s="9"/>
      <c r="E306" s="9"/>
      <c r="F306" s="9"/>
      <c r="G306" s="9"/>
      <c r="H306" s="9"/>
      <c r="I306" s="9"/>
      <c r="J306" s="9"/>
      <c r="K306" s="9"/>
      <c r="L306" s="9"/>
      <c r="M306" s="9"/>
    </row>
    <row r="307">
      <c r="A307" s="9"/>
      <c r="B307" s="9"/>
      <c r="C307" s="9"/>
      <c r="D307" s="9"/>
      <c r="E307" s="9"/>
      <c r="F307" s="9"/>
      <c r="G307" s="9"/>
      <c r="H307" s="9"/>
      <c r="I307" s="9"/>
      <c r="J307" s="9"/>
      <c r="K307" s="9"/>
      <c r="L307" s="9"/>
      <c r="M307" s="9"/>
    </row>
    <row r="308">
      <c r="A308" s="9"/>
      <c r="B308" s="9"/>
      <c r="C308" s="9"/>
      <c r="D308" s="9"/>
      <c r="E308" s="9"/>
      <c r="F308" s="9"/>
      <c r="G308" s="9"/>
      <c r="H308" s="9"/>
      <c r="I308" s="9"/>
      <c r="J308" s="9"/>
      <c r="K308" s="9"/>
      <c r="L308" s="9"/>
      <c r="M308" s="9"/>
    </row>
    <row r="309">
      <c r="A309" s="9"/>
      <c r="B309" s="9"/>
      <c r="C309" s="9"/>
      <c r="D309" s="9"/>
      <c r="E309" s="9"/>
      <c r="F309" s="9"/>
      <c r="G309" s="9"/>
      <c r="H309" s="9"/>
      <c r="I309" s="9"/>
      <c r="J309" s="9"/>
      <c r="K309" s="9"/>
      <c r="L309" s="9"/>
      <c r="M309" s="9"/>
    </row>
    <row r="310">
      <c r="A310" s="9"/>
      <c r="B310" s="9"/>
      <c r="C310" s="9"/>
      <c r="D310" s="9"/>
      <c r="E310" s="9"/>
      <c r="F310" s="9"/>
      <c r="G310" s="9"/>
      <c r="H310" s="9"/>
      <c r="I310" s="9"/>
      <c r="J310" s="9"/>
      <c r="K310" s="9"/>
      <c r="L310" s="9"/>
      <c r="M310" s="9"/>
    </row>
    <row r="311">
      <c r="A311" s="9"/>
      <c r="B311" s="9"/>
      <c r="C311" s="9"/>
      <c r="D311" s="9"/>
      <c r="E311" s="9"/>
      <c r="F311" s="9"/>
      <c r="G311" s="9"/>
      <c r="H311" s="9"/>
      <c r="I311" s="9"/>
      <c r="J311" s="9"/>
      <c r="K311" s="9"/>
      <c r="L311" s="9"/>
      <c r="M311" s="9"/>
    </row>
    <row r="312">
      <c r="A312" s="9"/>
      <c r="B312" s="9"/>
      <c r="C312" s="9"/>
      <c r="D312" s="9"/>
      <c r="E312" s="9"/>
      <c r="F312" s="9"/>
      <c r="G312" s="9"/>
      <c r="H312" s="9"/>
      <c r="I312" s="9"/>
      <c r="J312" s="9"/>
      <c r="K312" s="9"/>
      <c r="L312" s="9"/>
      <c r="M312" s="9"/>
    </row>
    <row r="313">
      <c r="A313" s="9"/>
      <c r="B313" s="9"/>
      <c r="C313" s="9"/>
      <c r="D313" s="9"/>
      <c r="E313" s="9"/>
      <c r="F313" s="9"/>
      <c r="G313" s="9"/>
      <c r="H313" s="9"/>
      <c r="I313" s="9"/>
      <c r="J313" s="9"/>
      <c r="K313" s="9"/>
      <c r="L313" s="9"/>
      <c r="M313" s="9"/>
    </row>
    <row r="314">
      <c r="A314" s="9"/>
      <c r="B314" s="9"/>
      <c r="C314" s="9"/>
      <c r="D314" s="9"/>
      <c r="E314" s="9"/>
      <c r="F314" s="9"/>
      <c r="G314" s="9"/>
      <c r="H314" s="9"/>
      <c r="I314" s="9"/>
      <c r="J314" s="9"/>
      <c r="K314" s="9"/>
      <c r="L314" s="9"/>
      <c r="M314" s="9"/>
    </row>
    <row r="315">
      <c r="A315" s="9"/>
      <c r="B315" s="9"/>
      <c r="C315" s="9"/>
      <c r="D315" s="9"/>
      <c r="E315" s="9"/>
      <c r="F315" s="9"/>
      <c r="G315" s="9"/>
      <c r="H315" s="9"/>
      <c r="I315" s="9"/>
      <c r="J315" s="9"/>
      <c r="K315" s="9"/>
      <c r="L315" s="9"/>
      <c r="M315" s="9"/>
    </row>
    <row r="316">
      <c r="A316" s="9"/>
      <c r="B316" s="9"/>
      <c r="C316" s="9"/>
      <c r="D316" s="9"/>
      <c r="E316" s="9"/>
      <c r="F316" s="9"/>
      <c r="G316" s="9"/>
      <c r="H316" s="9"/>
      <c r="I316" s="9"/>
      <c r="J316" s="9"/>
      <c r="K316" s="9"/>
      <c r="L316" s="9"/>
      <c r="M316" s="9"/>
    </row>
    <row r="317">
      <c r="A317" s="9"/>
      <c r="B317" s="9"/>
      <c r="C317" s="9"/>
      <c r="D317" s="9"/>
      <c r="E317" s="9"/>
      <c r="F317" s="9"/>
      <c r="G317" s="9"/>
      <c r="H317" s="9"/>
      <c r="I317" s="9"/>
      <c r="J317" s="9"/>
      <c r="K317" s="9"/>
      <c r="L317" s="9"/>
      <c r="M317" s="9"/>
    </row>
    <row r="318">
      <c r="A318" s="9"/>
      <c r="B318" s="9"/>
      <c r="C318" s="9"/>
      <c r="D318" s="9"/>
      <c r="E318" s="9"/>
      <c r="F318" s="9"/>
      <c r="G318" s="9"/>
      <c r="H318" s="9"/>
      <c r="I318" s="9"/>
      <c r="J318" s="9"/>
      <c r="K318" s="9"/>
      <c r="L318" s="9"/>
      <c r="M318" s="9"/>
    </row>
    <row r="319">
      <c r="A319" s="9"/>
      <c r="B319" s="9"/>
      <c r="C319" s="9"/>
      <c r="D319" s="9"/>
      <c r="E319" s="9"/>
      <c r="F319" s="9"/>
      <c r="G319" s="9"/>
      <c r="H319" s="9"/>
      <c r="I319" s="9"/>
      <c r="J319" s="9"/>
      <c r="K319" s="9"/>
      <c r="L319" s="9"/>
      <c r="M319" s="9"/>
    </row>
    <row r="320">
      <c r="A320" s="9"/>
      <c r="B320" s="9"/>
      <c r="C320" s="9"/>
      <c r="D320" s="9"/>
      <c r="E320" s="9"/>
      <c r="F320" s="9"/>
      <c r="G320" s="9"/>
      <c r="H320" s="9"/>
      <c r="I320" s="9"/>
      <c r="J320" s="9"/>
      <c r="K320" s="9"/>
      <c r="L320" s="9"/>
      <c r="M320" s="9"/>
    </row>
    <row r="321">
      <c r="A321" s="9"/>
      <c r="B321" s="9"/>
      <c r="C321" s="9"/>
      <c r="D321" s="9"/>
      <c r="E321" s="9"/>
      <c r="F321" s="9"/>
      <c r="G321" s="9"/>
      <c r="H321" s="9"/>
      <c r="I321" s="9"/>
      <c r="J321" s="9"/>
      <c r="K321" s="9"/>
      <c r="L321" s="9"/>
      <c r="M321" s="9"/>
    </row>
    <row r="322">
      <c r="A322" s="9"/>
      <c r="B322" s="9"/>
      <c r="C322" s="9"/>
      <c r="D322" s="9"/>
      <c r="E322" s="9"/>
      <c r="F322" s="9"/>
      <c r="G322" s="9"/>
      <c r="H322" s="9"/>
      <c r="I322" s="9"/>
      <c r="J322" s="9"/>
      <c r="K322" s="9"/>
      <c r="L322" s="9"/>
      <c r="M322" s="9"/>
    </row>
    <row r="323">
      <c r="A323" s="9"/>
      <c r="B323" s="9"/>
      <c r="C323" s="9"/>
      <c r="D323" s="9"/>
      <c r="E323" s="9"/>
      <c r="F323" s="9"/>
      <c r="G323" s="9"/>
      <c r="H323" s="9"/>
      <c r="I323" s="9"/>
      <c r="J323" s="9"/>
      <c r="K323" s="9"/>
      <c r="L323" s="9"/>
      <c r="M323" s="9"/>
    </row>
    <row r="324">
      <c r="A324" s="9"/>
      <c r="B324" s="9"/>
      <c r="C324" s="9"/>
      <c r="D324" s="9"/>
      <c r="E324" s="9"/>
      <c r="F324" s="9"/>
      <c r="G324" s="9"/>
      <c r="H324" s="9"/>
      <c r="I324" s="9"/>
      <c r="J324" s="9"/>
      <c r="K324" s="9"/>
      <c r="L324" s="9"/>
      <c r="M324" s="9"/>
    </row>
    <row r="325">
      <c r="A325" s="9"/>
      <c r="B325" s="9"/>
      <c r="C325" s="9"/>
      <c r="D325" s="9"/>
      <c r="E325" s="9"/>
      <c r="F325" s="9"/>
      <c r="G325" s="9"/>
      <c r="H325" s="9"/>
      <c r="I325" s="9"/>
      <c r="J325" s="9"/>
      <c r="K325" s="9"/>
      <c r="L325" s="9"/>
      <c r="M325" s="9"/>
    </row>
    <row r="326">
      <c r="A326" s="9"/>
      <c r="B326" s="9"/>
      <c r="C326" s="9"/>
      <c r="D326" s="9"/>
      <c r="E326" s="9"/>
      <c r="F326" s="9"/>
      <c r="G326" s="9"/>
      <c r="H326" s="9"/>
      <c r="I326" s="9"/>
      <c r="J326" s="9"/>
      <c r="K326" s="9"/>
      <c r="L326" s="9"/>
      <c r="M326" s="9"/>
    </row>
    <row r="327">
      <c r="A327" s="9"/>
      <c r="B327" s="9"/>
      <c r="C327" s="9"/>
      <c r="D327" s="9"/>
      <c r="E327" s="9"/>
      <c r="F327" s="9"/>
      <c r="G327" s="9"/>
      <c r="H327" s="9"/>
      <c r="I327" s="9"/>
      <c r="J327" s="9"/>
      <c r="K327" s="9"/>
      <c r="L327" s="9"/>
      <c r="M327" s="9"/>
    </row>
    <row r="328">
      <c r="A328" s="9"/>
      <c r="B328" s="9"/>
      <c r="C328" s="9"/>
      <c r="D328" s="9"/>
      <c r="E328" s="9"/>
      <c r="F328" s="9"/>
      <c r="G328" s="9"/>
      <c r="H328" s="9"/>
      <c r="I328" s="9"/>
      <c r="J328" s="9"/>
      <c r="K328" s="9"/>
      <c r="L328" s="9"/>
      <c r="M328" s="9"/>
    </row>
    <row r="329">
      <c r="A329" s="9"/>
      <c r="B329" s="9"/>
      <c r="C329" s="9"/>
      <c r="D329" s="9"/>
      <c r="E329" s="9"/>
      <c r="F329" s="9"/>
      <c r="G329" s="9"/>
      <c r="H329" s="9"/>
      <c r="I329" s="9"/>
      <c r="J329" s="9"/>
      <c r="K329" s="9"/>
      <c r="L329" s="9"/>
      <c r="M329" s="9"/>
    </row>
    <row r="330">
      <c r="A330" s="9"/>
      <c r="B330" s="9"/>
      <c r="C330" s="9"/>
      <c r="D330" s="9"/>
      <c r="E330" s="9"/>
      <c r="F330" s="9"/>
      <c r="G330" s="9"/>
      <c r="H330" s="9"/>
      <c r="I330" s="9"/>
      <c r="J330" s="9"/>
      <c r="K330" s="9"/>
      <c r="L330" s="9"/>
      <c r="M330" s="9"/>
    </row>
    <row r="331">
      <c r="A331" s="9"/>
      <c r="B331" s="9"/>
      <c r="C331" s="9"/>
      <c r="D331" s="9"/>
      <c r="E331" s="9"/>
      <c r="F331" s="9"/>
      <c r="G331" s="9"/>
      <c r="H331" s="9"/>
      <c r="I331" s="9"/>
      <c r="J331" s="9"/>
      <c r="K331" s="9"/>
      <c r="L331" s="9"/>
      <c r="M331" s="9"/>
    </row>
    <row r="332">
      <c r="A332" s="9"/>
      <c r="B332" s="9"/>
      <c r="C332" s="9"/>
      <c r="D332" s="9"/>
      <c r="E332" s="9"/>
      <c r="F332" s="9"/>
      <c r="G332" s="9"/>
      <c r="H332" s="9"/>
      <c r="I332" s="9"/>
      <c r="J332" s="9"/>
      <c r="K332" s="9"/>
      <c r="L332" s="9"/>
      <c r="M332" s="9"/>
    </row>
    <row r="333">
      <c r="A333" s="9"/>
      <c r="B333" s="9"/>
      <c r="C333" s="9"/>
      <c r="D333" s="9"/>
      <c r="E333" s="9"/>
      <c r="F333" s="9"/>
      <c r="G333" s="9"/>
      <c r="H333" s="9"/>
      <c r="I333" s="9"/>
      <c r="J333" s="9"/>
      <c r="K333" s="9"/>
      <c r="L333" s="9"/>
      <c r="M333" s="9"/>
    </row>
    <row r="334">
      <c r="A334" s="9"/>
      <c r="B334" s="9"/>
      <c r="C334" s="9"/>
      <c r="D334" s="9"/>
      <c r="E334" s="9"/>
      <c r="F334" s="9"/>
      <c r="G334" s="9"/>
      <c r="H334" s="9"/>
      <c r="I334" s="9"/>
      <c r="J334" s="9"/>
      <c r="K334" s="9"/>
      <c r="L334" s="9"/>
      <c r="M334" s="9"/>
    </row>
    <row r="335">
      <c r="A335" s="9"/>
      <c r="B335" s="9"/>
      <c r="C335" s="9"/>
      <c r="D335" s="9"/>
      <c r="E335" s="9"/>
      <c r="F335" s="9"/>
      <c r="G335" s="9"/>
      <c r="H335" s="9"/>
      <c r="I335" s="9"/>
      <c r="J335" s="9"/>
      <c r="K335" s="9"/>
      <c r="L335" s="9"/>
      <c r="M335" s="9"/>
    </row>
    <row r="336">
      <c r="A336" s="9"/>
      <c r="B336" s="9"/>
      <c r="C336" s="9"/>
      <c r="D336" s="9"/>
      <c r="E336" s="9"/>
      <c r="F336" s="9"/>
      <c r="G336" s="9"/>
      <c r="H336" s="9"/>
      <c r="I336" s="9"/>
      <c r="J336" s="9"/>
      <c r="K336" s="9"/>
      <c r="L336" s="9"/>
      <c r="M336" s="9"/>
    </row>
    <row r="337">
      <c r="A337" s="9"/>
      <c r="B337" s="9"/>
      <c r="C337" s="9"/>
      <c r="D337" s="9"/>
      <c r="E337" s="9"/>
      <c r="F337" s="9"/>
      <c r="G337" s="9"/>
      <c r="H337" s="9"/>
      <c r="I337" s="9"/>
      <c r="J337" s="9"/>
      <c r="K337" s="9"/>
      <c r="L337" s="9"/>
      <c r="M337" s="9"/>
    </row>
    <row r="338">
      <c r="A338" s="9"/>
      <c r="B338" s="9"/>
      <c r="C338" s="9"/>
      <c r="D338" s="9"/>
      <c r="E338" s="9"/>
      <c r="F338" s="9"/>
      <c r="G338" s="9"/>
      <c r="H338" s="9"/>
      <c r="I338" s="9"/>
      <c r="J338" s="9"/>
      <c r="K338" s="9"/>
      <c r="L338" s="9"/>
      <c r="M338" s="9"/>
    </row>
    <row r="339">
      <c r="A339" s="9"/>
      <c r="B339" s="9"/>
      <c r="C339" s="9"/>
      <c r="D339" s="9"/>
      <c r="E339" s="9"/>
      <c r="F339" s="9"/>
      <c r="G339" s="9"/>
      <c r="H339" s="9"/>
      <c r="I339" s="9"/>
      <c r="J339" s="9"/>
      <c r="K339" s="9"/>
      <c r="L339" s="9"/>
      <c r="M339" s="9"/>
    </row>
    <row r="340">
      <c r="A340" s="9"/>
      <c r="B340" s="9"/>
      <c r="C340" s="9"/>
      <c r="D340" s="9"/>
      <c r="E340" s="9"/>
      <c r="F340" s="9"/>
      <c r="G340" s="9"/>
      <c r="H340" s="9"/>
      <c r="I340" s="9"/>
      <c r="J340" s="9"/>
      <c r="K340" s="9"/>
      <c r="L340" s="9"/>
      <c r="M340" s="9"/>
    </row>
    <row r="341">
      <c r="A341" s="9"/>
      <c r="B341" s="9"/>
      <c r="C341" s="9"/>
      <c r="D341" s="9"/>
      <c r="E341" s="9"/>
      <c r="F341" s="9"/>
      <c r="G341" s="9"/>
      <c r="H341" s="9"/>
      <c r="I341" s="9"/>
      <c r="J341" s="9"/>
      <c r="K341" s="9"/>
      <c r="L341" s="9"/>
      <c r="M341" s="9"/>
    </row>
    <row r="342">
      <c r="A342" s="9"/>
      <c r="B342" s="9"/>
      <c r="C342" s="9"/>
      <c r="D342" s="9"/>
      <c r="E342" s="9"/>
      <c r="F342" s="9"/>
      <c r="G342" s="9"/>
      <c r="H342" s="9"/>
      <c r="I342" s="9"/>
      <c r="J342" s="9"/>
      <c r="K342" s="9"/>
      <c r="L342" s="9"/>
      <c r="M342" s="9"/>
    </row>
    <row r="343">
      <c r="A343" s="9"/>
      <c r="B343" s="9"/>
      <c r="C343" s="9"/>
      <c r="D343" s="9"/>
      <c r="E343" s="9"/>
      <c r="F343" s="9"/>
      <c r="G343" s="9"/>
      <c r="H343" s="9"/>
      <c r="I343" s="9"/>
      <c r="J343" s="9"/>
      <c r="K343" s="9"/>
      <c r="L343" s="9"/>
      <c r="M343" s="9"/>
    </row>
    <row r="344">
      <c r="A344" s="9"/>
      <c r="B344" s="9"/>
      <c r="C344" s="9"/>
      <c r="D344" s="9"/>
      <c r="E344" s="9"/>
      <c r="F344" s="9"/>
      <c r="G344" s="9"/>
      <c r="H344" s="9"/>
      <c r="I344" s="9"/>
      <c r="J344" s="9"/>
      <c r="K344" s="9"/>
      <c r="L344" s="9"/>
      <c r="M344" s="9"/>
    </row>
    <row r="345">
      <c r="A345" s="9"/>
      <c r="B345" s="9"/>
      <c r="C345" s="9"/>
      <c r="D345" s="9"/>
      <c r="E345" s="9"/>
      <c r="F345" s="9"/>
      <c r="G345" s="9"/>
      <c r="H345" s="9"/>
      <c r="I345" s="9"/>
      <c r="J345" s="9"/>
      <c r="K345" s="9"/>
      <c r="L345" s="9"/>
      <c r="M345" s="9"/>
    </row>
    <row r="346">
      <c r="A346" s="9"/>
      <c r="B346" s="9"/>
      <c r="C346" s="9"/>
      <c r="D346" s="9"/>
      <c r="E346" s="9"/>
      <c r="F346" s="9"/>
      <c r="G346" s="9"/>
      <c r="H346" s="9"/>
      <c r="I346" s="9"/>
      <c r="J346" s="9"/>
      <c r="K346" s="9"/>
      <c r="L346" s="9"/>
      <c r="M346" s="9"/>
    </row>
    <row r="347">
      <c r="A347" s="9"/>
      <c r="B347" s="9"/>
      <c r="C347" s="9"/>
      <c r="D347" s="9"/>
      <c r="E347" s="9"/>
      <c r="F347" s="9"/>
      <c r="G347" s="9"/>
      <c r="H347" s="9"/>
      <c r="I347" s="9"/>
      <c r="J347" s="9"/>
      <c r="K347" s="9"/>
      <c r="L347" s="9"/>
      <c r="M347" s="9"/>
    </row>
    <row r="348">
      <c r="A348" s="9"/>
      <c r="B348" s="9"/>
      <c r="C348" s="9"/>
      <c r="D348" s="9"/>
      <c r="E348" s="9"/>
      <c r="F348" s="9"/>
      <c r="G348" s="9"/>
      <c r="H348" s="9"/>
      <c r="I348" s="9"/>
      <c r="J348" s="9"/>
      <c r="K348" s="9"/>
      <c r="L348" s="9"/>
      <c r="M348" s="9"/>
    </row>
    <row r="349">
      <c r="A349" s="9"/>
      <c r="B349" s="9"/>
      <c r="C349" s="9"/>
      <c r="D349" s="9"/>
      <c r="E349" s="9"/>
      <c r="F349" s="9"/>
      <c r="G349" s="9"/>
      <c r="H349" s="9"/>
      <c r="I349" s="9"/>
      <c r="J349" s="9"/>
      <c r="K349" s="9"/>
      <c r="L349" s="9"/>
      <c r="M349" s="9"/>
    </row>
    <row r="350">
      <c r="A350" s="9"/>
      <c r="B350" s="9"/>
      <c r="C350" s="9"/>
      <c r="D350" s="9"/>
      <c r="E350" s="9"/>
      <c r="F350" s="9"/>
      <c r="G350" s="9"/>
      <c r="H350" s="9"/>
      <c r="I350" s="9"/>
      <c r="J350" s="9"/>
      <c r="K350" s="9"/>
      <c r="L350" s="9"/>
      <c r="M350" s="9"/>
    </row>
    <row r="351">
      <c r="A351" s="9"/>
      <c r="B351" s="9"/>
      <c r="C351" s="9"/>
      <c r="D351" s="9"/>
      <c r="E351" s="9"/>
      <c r="F351" s="9"/>
      <c r="G351" s="9"/>
      <c r="H351" s="9"/>
      <c r="I351" s="9"/>
      <c r="J351" s="9"/>
      <c r="K351" s="9"/>
      <c r="L351" s="9"/>
      <c r="M351" s="9"/>
    </row>
    <row r="352">
      <c r="A352" s="9"/>
      <c r="B352" s="9"/>
      <c r="C352" s="9"/>
      <c r="D352" s="9"/>
      <c r="E352" s="9"/>
      <c r="F352" s="9"/>
      <c r="G352" s="9"/>
      <c r="H352" s="9"/>
      <c r="I352" s="9"/>
      <c r="J352" s="9"/>
      <c r="K352" s="9"/>
      <c r="L352" s="9"/>
      <c r="M352" s="9"/>
    </row>
    <row r="353">
      <c r="A353" s="9"/>
      <c r="B353" s="9"/>
      <c r="C353" s="9"/>
      <c r="D353" s="9"/>
      <c r="E353" s="9"/>
      <c r="F353" s="9"/>
      <c r="G353" s="9"/>
      <c r="H353" s="9"/>
      <c r="I353" s="9"/>
      <c r="J353" s="9"/>
      <c r="K353" s="9"/>
      <c r="L353" s="9"/>
      <c r="M353" s="9"/>
    </row>
    <row r="354">
      <c r="A354" s="9"/>
      <c r="B354" s="9"/>
      <c r="C354" s="9"/>
      <c r="D354" s="9"/>
      <c r="E354" s="9"/>
      <c r="F354" s="9"/>
      <c r="G354" s="9"/>
      <c r="H354" s="9"/>
      <c r="I354" s="9"/>
      <c r="J354" s="9"/>
      <c r="K354" s="9"/>
      <c r="L354" s="9"/>
      <c r="M354" s="9"/>
    </row>
    <row r="355">
      <c r="A355" s="9"/>
      <c r="B355" s="9"/>
      <c r="C355" s="9"/>
      <c r="D355" s="9"/>
      <c r="E355" s="9"/>
      <c r="F355" s="9"/>
      <c r="G355" s="9"/>
      <c r="H355" s="9"/>
      <c r="I355" s="9"/>
      <c r="J355" s="9"/>
      <c r="K355" s="9"/>
      <c r="L355" s="9"/>
      <c r="M355" s="9"/>
    </row>
    <row r="356">
      <c r="A356" s="9"/>
      <c r="B356" s="9"/>
      <c r="C356" s="9"/>
      <c r="D356" s="9"/>
      <c r="E356" s="9"/>
      <c r="F356" s="9"/>
      <c r="G356" s="9"/>
      <c r="H356" s="9"/>
      <c r="I356" s="9"/>
      <c r="J356" s="9"/>
      <c r="K356" s="9"/>
      <c r="L356" s="9"/>
      <c r="M356" s="9"/>
    </row>
    <row r="357">
      <c r="A357" s="9"/>
      <c r="B357" s="9"/>
      <c r="C357" s="9"/>
      <c r="D357" s="9"/>
      <c r="E357" s="9"/>
      <c r="F357" s="9"/>
      <c r="G357" s="9"/>
      <c r="H357" s="9"/>
      <c r="I357" s="9"/>
      <c r="J357" s="9"/>
      <c r="K357" s="9"/>
      <c r="L357" s="9"/>
      <c r="M357" s="9"/>
    </row>
    <row r="358">
      <c r="A358" s="9"/>
      <c r="B358" s="9"/>
      <c r="C358" s="9"/>
      <c r="D358" s="9"/>
      <c r="E358" s="9"/>
      <c r="F358" s="9"/>
      <c r="G358" s="9"/>
      <c r="H358" s="9"/>
      <c r="I358" s="9"/>
      <c r="J358" s="9"/>
      <c r="K358" s="9"/>
      <c r="L358" s="9"/>
      <c r="M358" s="9"/>
    </row>
    <row r="359">
      <c r="A359" s="9"/>
      <c r="B359" s="9"/>
      <c r="C359" s="9"/>
      <c r="D359" s="9"/>
      <c r="E359" s="9"/>
      <c r="F359" s="9"/>
      <c r="G359" s="9"/>
      <c r="H359" s="9"/>
      <c r="I359" s="9"/>
      <c r="J359" s="9"/>
      <c r="K359" s="9"/>
      <c r="L359" s="9"/>
      <c r="M359" s="9"/>
    </row>
    <row r="360">
      <c r="A360" s="9"/>
      <c r="B360" s="9"/>
      <c r="C360" s="9"/>
      <c r="D360" s="9"/>
      <c r="E360" s="9"/>
      <c r="F360" s="9"/>
      <c r="G360" s="9"/>
      <c r="H360" s="9"/>
      <c r="I360" s="9"/>
      <c r="J360" s="9"/>
      <c r="K360" s="9"/>
      <c r="L360" s="9"/>
      <c r="M360" s="9"/>
    </row>
    <row r="361">
      <c r="A361" s="9"/>
      <c r="B361" s="9"/>
      <c r="C361" s="9"/>
      <c r="D361" s="9"/>
      <c r="E361" s="9"/>
      <c r="F361" s="9"/>
      <c r="G361" s="9"/>
      <c r="H361" s="9"/>
      <c r="I361" s="9"/>
      <c r="J361" s="9"/>
      <c r="K361" s="9"/>
      <c r="L361" s="9"/>
      <c r="M361" s="9"/>
    </row>
    <row r="362">
      <c r="A362" s="9"/>
      <c r="B362" s="9"/>
      <c r="C362" s="9"/>
      <c r="D362" s="9"/>
      <c r="E362" s="9"/>
      <c r="F362" s="9"/>
      <c r="G362" s="9"/>
      <c r="H362" s="9"/>
      <c r="I362" s="9"/>
      <c r="J362" s="9"/>
      <c r="K362" s="9"/>
      <c r="L362" s="9"/>
      <c r="M362" s="9"/>
    </row>
    <row r="363">
      <c r="A363" s="9"/>
      <c r="B363" s="9"/>
      <c r="C363" s="9"/>
      <c r="D363" s="9"/>
      <c r="E363" s="9"/>
      <c r="F363" s="9"/>
      <c r="G363" s="9"/>
      <c r="H363" s="9"/>
      <c r="I363" s="9"/>
      <c r="J363" s="9"/>
      <c r="K363" s="9"/>
      <c r="L363" s="9"/>
      <c r="M363" s="9"/>
    </row>
    <row r="364">
      <c r="A364" s="9"/>
      <c r="B364" s="9"/>
      <c r="C364" s="9"/>
      <c r="D364" s="9"/>
      <c r="E364" s="9"/>
      <c r="F364" s="9"/>
      <c r="G364" s="9"/>
      <c r="H364" s="9"/>
      <c r="I364" s="9"/>
      <c r="J364" s="9"/>
      <c r="K364" s="9"/>
      <c r="L364" s="9"/>
      <c r="M364" s="9"/>
    </row>
    <row r="365">
      <c r="A365" s="9"/>
      <c r="B365" s="9"/>
      <c r="C365" s="9"/>
      <c r="D365" s="9"/>
      <c r="E365" s="9"/>
      <c r="F365" s="9"/>
      <c r="G365" s="9"/>
      <c r="H365" s="9"/>
      <c r="I365" s="9"/>
      <c r="J365" s="9"/>
      <c r="K365" s="9"/>
      <c r="L365" s="9"/>
      <c r="M365" s="9"/>
    </row>
    <row r="366">
      <c r="A366" s="9"/>
      <c r="B366" s="9"/>
      <c r="C366" s="9"/>
      <c r="D366" s="9"/>
      <c r="E366" s="9"/>
      <c r="F366" s="9"/>
      <c r="G366" s="9"/>
      <c r="H366" s="9"/>
      <c r="I366" s="9"/>
      <c r="J366" s="9"/>
      <c r="K366" s="9"/>
      <c r="L366" s="9"/>
      <c r="M366" s="9"/>
    </row>
    <row r="367">
      <c r="A367" s="9"/>
      <c r="B367" s="9"/>
      <c r="C367" s="9"/>
      <c r="D367" s="9"/>
      <c r="E367" s="9"/>
      <c r="F367" s="9"/>
      <c r="G367" s="9"/>
      <c r="H367" s="9"/>
      <c r="I367" s="9"/>
      <c r="J367" s="9"/>
      <c r="K367" s="9"/>
      <c r="L367" s="9"/>
      <c r="M367" s="9"/>
    </row>
    <row r="368">
      <c r="A368" s="9"/>
      <c r="B368" s="9"/>
      <c r="C368" s="9"/>
      <c r="D368" s="9"/>
      <c r="E368" s="9"/>
      <c r="F368" s="9"/>
      <c r="G368" s="9"/>
      <c r="H368" s="9"/>
      <c r="I368" s="9"/>
      <c r="J368" s="9"/>
      <c r="K368" s="9"/>
      <c r="L368" s="9"/>
      <c r="M368" s="9"/>
    </row>
    <row r="369">
      <c r="A369" s="9"/>
      <c r="B369" s="9"/>
      <c r="C369" s="9"/>
      <c r="D369" s="9"/>
      <c r="E369" s="9"/>
      <c r="F369" s="9"/>
      <c r="G369" s="9"/>
      <c r="H369" s="9"/>
      <c r="I369" s="9"/>
      <c r="J369" s="9"/>
      <c r="K369" s="9"/>
      <c r="L369" s="9"/>
      <c r="M369" s="9"/>
    </row>
    <row r="370">
      <c r="A370" s="9"/>
      <c r="B370" s="9"/>
      <c r="C370" s="9"/>
      <c r="D370" s="9"/>
      <c r="E370" s="9"/>
      <c r="F370" s="9"/>
      <c r="G370" s="9"/>
      <c r="H370" s="9"/>
      <c r="I370" s="9"/>
      <c r="J370" s="9"/>
      <c r="K370" s="9"/>
      <c r="L370" s="9"/>
      <c r="M370" s="9"/>
    </row>
    <row r="371">
      <c r="A371" s="9"/>
      <c r="B371" s="9"/>
      <c r="C371" s="9"/>
      <c r="D371" s="9"/>
      <c r="E371" s="9"/>
      <c r="F371" s="9"/>
      <c r="G371" s="9"/>
      <c r="H371" s="9"/>
      <c r="I371" s="9"/>
      <c r="J371" s="9"/>
      <c r="K371" s="9"/>
      <c r="L371" s="9"/>
      <c r="M371" s="9"/>
    </row>
    <row r="372">
      <c r="A372" s="9"/>
      <c r="B372" s="9"/>
      <c r="C372" s="9"/>
      <c r="D372" s="9"/>
      <c r="E372" s="9"/>
      <c r="F372" s="9"/>
      <c r="G372" s="9"/>
      <c r="H372" s="9"/>
      <c r="I372" s="9"/>
      <c r="J372" s="9"/>
      <c r="K372" s="9"/>
      <c r="L372" s="9"/>
      <c r="M372" s="9"/>
    </row>
    <row r="373">
      <c r="A373" s="9"/>
      <c r="B373" s="9"/>
      <c r="C373" s="9"/>
      <c r="D373" s="9"/>
      <c r="E373" s="9"/>
      <c r="F373" s="9"/>
      <c r="G373" s="9"/>
      <c r="H373" s="9"/>
      <c r="I373" s="9"/>
      <c r="J373" s="9"/>
      <c r="K373" s="9"/>
      <c r="L373" s="9"/>
      <c r="M373" s="9"/>
    </row>
    <row r="374">
      <c r="A374" s="9"/>
      <c r="B374" s="9"/>
      <c r="C374" s="9"/>
      <c r="D374" s="9"/>
      <c r="E374" s="9"/>
      <c r="F374" s="9"/>
      <c r="G374" s="9"/>
      <c r="H374" s="9"/>
      <c r="I374" s="9"/>
      <c r="J374" s="9"/>
      <c r="K374" s="9"/>
      <c r="L374" s="9"/>
      <c r="M374" s="9"/>
    </row>
    <row r="375">
      <c r="A375" s="9"/>
      <c r="B375" s="9"/>
      <c r="C375" s="9"/>
      <c r="D375" s="9"/>
      <c r="E375" s="9"/>
      <c r="F375" s="9"/>
      <c r="G375" s="9"/>
      <c r="H375" s="9"/>
      <c r="I375" s="9"/>
      <c r="J375" s="9"/>
      <c r="K375" s="9"/>
      <c r="L375" s="9"/>
      <c r="M375" s="9"/>
    </row>
    <row r="376">
      <c r="A376" s="9"/>
      <c r="B376" s="9"/>
      <c r="C376" s="9"/>
      <c r="D376" s="9"/>
      <c r="E376" s="9"/>
      <c r="F376" s="9"/>
      <c r="G376" s="9"/>
      <c r="H376" s="9"/>
      <c r="I376" s="9"/>
      <c r="J376" s="9"/>
      <c r="K376" s="9"/>
      <c r="L376" s="9"/>
      <c r="M376" s="9"/>
    </row>
    <row r="377">
      <c r="A377" s="9"/>
      <c r="B377" s="9"/>
      <c r="C377" s="9"/>
      <c r="D377" s="9"/>
      <c r="E377" s="9"/>
      <c r="F377" s="9"/>
      <c r="G377" s="9"/>
      <c r="H377" s="9"/>
      <c r="I377" s="9"/>
      <c r="J377" s="9"/>
      <c r="K377" s="9"/>
      <c r="L377" s="9"/>
      <c r="M377" s="9"/>
    </row>
    <row r="378">
      <c r="A378" s="9"/>
      <c r="B378" s="9"/>
      <c r="C378" s="9"/>
      <c r="D378" s="9"/>
      <c r="E378" s="9"/>
      <c r="F378" s="9"/>
      <c r="G378" s="9"/>
      <c r="H378" s="9"/>
      <c r="I378" s="9"/>
      <c r="J378" s="9"/>
      <c r="K378" s="9"/>
      <c r="L378" s="9"/>
      <c r="M378" s="9"/>
    </row>
    <row r="379">
      <c r="A379" s="9"/>
      <c r="B379" s="9"/>
      <c r="C379" s="9"/>
      <c r="D379" s="9"/>
      <c r="E379" s="9"/>
      <c r="F379" s="9"/>
      <c r="G379" s="9"/>
      <c r="H379" s="9"/>
      <c r="I379" s="9"/>
      <c r="J379" s="9"/>
      <c r="K379" s="9"/>
      <c r="L379" s="9"/>
      <c r="M379" s="9"/>
    </row>
    <row r="380">
      <c r="A380" s="9"/>
      <c r="B380" s="9"/>
      <c r="C380" s="9"/>
      <c r="D380" s="9"/>
      <c r="E380" s="9"/>
      <c r="F380" s="9"/>
      <c r="G380" s="9"/>
      <c r="H380" s="9"/>
      <c r="I380" s="9"/>
      <c r="J380" s="9"/>
      <c r="K380" s="9"/>
      <c r="L380" s="9"/>
      <c r="M380" s="9"/>
    </row>
    <row r="381">
      <c r="A381" s="9"/>
      <c r="B381" s="9"/>
      <c r="C381" s="9"/>
      <c r="D381" s="9"/>
      <c r="E381" s="9"/>
      <c r="F381" s="9"/>
      <c r="G381" s="9"/>
      <c r="H381" s="9"/>
      <c r="I381" s="9"/>
      <c r="J381" s="9"/>
      <c r="K381" s="9"/>
      <c r="L381" s="9"/>
      <c r="M381" s="9"/>
    </row>
    <row r="382">
      <c r="A382" s="9"/>
      <c r="B382" s="9"/>
      <c r="C382" s="9"/>
      <c r="D382" s="9"/>
      <c r="E382" s="9"/>
      <c r="F382" s="9"/>
      <c r="G382" s="9"/>
      <c r="H382" s="9"/>
      <c r="I382" s="9"/>
      <c r="J382" s="9"/>
      <c r="K382" s="9"/>
      <c r="L382" s="9"/>
      <c r="M382" s="9"/>
    </row>
    <row r="383">
      <c r="A383" s="9"/>
      <c r="B383" s="9"/>
      <c r="C383" s="9"/>
      <c r="D383" s="9"/>
      <c r="E383" s="9"/>
      <c r="F383" s="9"/>
      <c r="G383" s="9"/>
      <c r="H383" s="9"/>
      <c r="I383" s="9"/>
      <c r="J383" s="9"/>
      <c r="K383" s="9"/>
      <c r="L383" s="9"/>
      <c r="M383" s="9"/>
    </row>
    <row r="384">
      <c r="A384" s="9"/>
      <c r="B384" s="9"/>
      <c r="C384" s="9"/>
      <c r="D384" s="9"/>
      <c r="E384" s="9"/>
      <c r="F384" s="9"/>
      <c r="G384" s="9"/>
      <c r="H384" s="9"/>
      <c r="I384" s="9"/>
      <c r="J384" s="9"/>
      <c r="K384" s="9"/>
      <c r="L384" s="9"/>
      <c r="M384" s="9"/>
    </row>
    <row r="385">
      <c r="A385" s="9"/>
      <c r="B385" s="9"/>
      <c r="C385" s="9"/>
      <c r="D385" s="9"/>
      <c r="E385" s="9"/>
      <c r="F385" s="9"/>
      <c r="G385" s="9"/>
      <c r="H385" s="9"/>
      <c r="I385" s="9"/>
      <c r="J385" s="9"/>
      <c r="K385" s="9"/>
      <c r="L385" s="9"/>
      <c r="M385" s="9"/>
    </row>
    <row r="386">
      <c r="A386" s="9"/>
      <c r="B386" s="9"/>
      <c r="C386" s="9"/>
      <c r="D386" s="9"/>
      <c r="E386" s="9"/>
      <c r="F386" s="9"/>
      <c r="G386" s="9"/>
      <c r="H386" s="9"/>
      <c r="I386" s="9"/>
      <c r="J386" s="9"/>
      <c r="K386" s="9"/>
      <c r="L386" s="9"/>
      <c r="M386" s="9"/>
    </row>
    <row r="387">
      <c r="A387" s="9"/>
      <c r="B387" s="9"/>
      <c r="C387" s="9"/>
      <c r="D387" s="9"/>
      <c r="E387" s="9"/>
      <c r="F387" s="9"/>
      <c r="G387" s="9"/>
      <c r="H387" s="9"/>
      <c r="I387" s="9"/>
      <c r="J387" s="9"/>
      <c r="K387" s="9"/>
      <c r="L387" s="9"/>
      <c r="M387" s="9"/>
    </row>
    <row r="388">
      <c r="A388" s="9"/>
      <c r="B388" s="9"/>
      <c r="C388" s="9"/>
      <c r="D388" s="9"/>
      <c r="E388" s="9"/>
      <c r="F388" s="9"/>
      <c r="G388" s="9"/>
      <c r="H388" s="9"/>
      <c r="I388" s="9"/>
      <c r="J388" s="9"/>
      <c r="K388" s="9"/>
      <c r="L388" s="9"/>
      <c r="M388" s="9"/>
    </row>
    <row r="389">
      <c r="A389" s="9"/>
      <c r="B389" s="9"/>
      <c r="C389" s="9"/>
      <c r="D389" s="9"/>
      <c r="E389" s="9"/>
      <c r="F389" s="9"/>
      <c r="G389" s="9"/>
      <c r="H389" s="9"/>
      <c r="I389" s="9"/>
      <c r="J389" s="9"/>
      <c r="K389" s="9"/>
      <c r="L389" s="9"/>
      <c r="M389" s="9"/>
    </row>
    <row r="390">
      <c r="A390" s="9"/>
      <c r="B390" s="9"/>
      <c r="C390" s="9"/>
      <c r="D390" s="9"/>
      <c r="E390" s="9"/>
      <c r="F390" s="9"/>
      <c r="G390" s="9"/>
      <c r="H390" s="9"/>
      <c r="I390" s="9"/>
      <c r="J390" s="9"/>
      <c r="K390" s="9"/>
      <c r="L390" s="9"/>
      <c r="M390" s="9"/>
    </row>
    <row r="391">
      <c r="A391" s="9"/>
      <c r="B391" s="9"/>
      <c r="C391" s="9"/>
      <c r="D391" s="9"/>
      <c r="E391" s="9"/>
      <c r="F391" s="9"/>
      <c r="G391" s="9"/>
      <c r="H391" s="9"/>
      <c r="I391" s="9"/>
      <c r="J391" s="9"/>
      <c r="K391" s="9"/>
      <c r="L391" s="9"/>
      <c r="M391" s="9"/>
    </row>
    <row r="392">
      <c r="A392" s="9"/>
      <c r="B392" s="9"/>
      <c r="C392" s="9"/>
      <c r="D392" s="9"/>
      <c r="E392" s="9"/>
      <c r="F392" s="9"/>
      <c r="G392" s="9"/>
      <c r="H392" s="9"/>
      <c r="I392" s="9"/>
      <c r="J392" s="9"/>
      <c r="K392" s="9"/>
      <c r="L392" s="9"/>
      <c r="M392" s="9"/>
    </row>
    <row r="393">
      <c r="A393" s="9"/>
      <c r="B393" s="9"/>
      <c r="C393" s="9"/>
      <c r="D393" s="9"/>
      <c r="E393" s="9"/>
      <c r="F393" s="9"/>
      <c r="G393" s="9"/>
      <c r="H393" s="9"/>
      <c r="I393" s="9"/>
      <c r="J393" s="9"/>
      <c r="K393" s="9"/>
      <c r="L393" s="9"/>
      <c r="M393" s="9"/>
    </row>
    <row r="394">
      <c r="A394" s="9"/>
      <c r="B394" s="9"/>
      <c r="C394" s="9"/>
      <c r="D394" s="9"/>
      <c r="E394" s="9"/>
      <c r="F394" s="9"/>
      <c r="G394" s="9"/>
      <c r="H394" s="9"/>
      <c r="I394" s="9"/>
      <c r="J394" s="9"/>
      <c r="K394" s="9"/>
      <c r="L394" s="9"/>
      <c r="M394" s="9"/>
    </row>
    <row r="395">
      <c r="A395" s="9"/>
      <c r="B395" s="9"/>
      <c r="C395" s="9"/>
      <c r="D395" s="9"/>
      <c r="E395" s="9"/>
      <c r="F395" s="9"/>
      <c r="G395" s="9"/>
      <c r="H395" s="9"/>
      <c r="I395" s="9"/>
      <c r="J395" s="9"/>
      <c r="K395" s="9"/>
      <c r="L395" s="9"/>
      <c r="M395" s="9"/>
    </row>
    <row r="396">
      <c r="A396" s="9"/>
      <c r="B396" s="9"/>
      <c r="C396" s="9"/>
      <c r="D396" s="9"/>
      <c r="E396" s="9"/>
      <c r="F396" s="9"/>
      <c r="G396" s="9"/>
      <c r="H396" s="9"/>
      <c r="I396" s="9"/>
      <c r="J396" s="9"/>
      <c r="K396" s="9"/>
      <c r="L396" s="9"/>
      <c r="M396" s="9"/>
    </row>
    <row r="397">
      <c r="A397" s="9"/>
      <c r="B397" s="9"/>
      <c r="C397" s="9"/>
      <c r="D397" s="9"/>
      <c r="E397" s="9"/>
      <c r="F397" s="9"/>
      <c r="G397" s="9"/>
      <c r="H397" s="9"/>
      <c r="I397" s="9"/>
      <c r="J397" s="9"/>
      <c r="K397" s="9"/>
      <c r="L397" s="9"/>
      <c r="M397" s="9"/>
    </row>
    <row r="398">
      <c r="A398" s="9"/>
      <c r="B398" s="9"/>
      <c r="C398" s="9"/>
      <c r="D398" s="9"/>
      <c r="E398" s="9"/>
      <c r="F398" s="9"/>
      <c r="G398" s="9"/>
      <c r="H398" s="9"/>
      <c r="I398" s="9"/>
      <c r="J398" s="9"/>
      <c r="K398" s="9"/>
      <c r="L398" s="9"/>
      <c r="M398" s="9"/>
    </row>
    <row r="399">
      <c r="A399" s="9"/>
      <c r="B399" s="9"/>
      <c r="C399" s="9"/>
      <c r="D399" s="9"/>
      <c r="E399" s="9"/>
      <c r="F399" s="9"/>
      <c r="G399" s="9"/>
      <c r="H399" s="9"/>
      <c r="I399" s="9"/>
      <c r="J399" s="9"/>
      <c r="K399" s="9"/>
      <c r="L399" s="9"/>
      <c r="M399" s="9"/>
    </row>
    <row r="400">
      <c r="A400" s="9"/>
      <c r="B400" s="9"/>
      <c r="C400" s="9"/>
      <c r="D400" s="9"/>
      <c r="E400" s="9"/>
      <c r="F400" s="9"/>
      <c r="G400" s="9"/>
      <c r="H400" s="9"/>
      <c r="I400" s="9"/>
      <c r="J400" s="9"/>
      <c r="K400" s="9"/>
      <c r="L400" s="9"/>
      <c r="M400" s="9"/>
    </row>
    <row r="401">
      <c r="A401" s="9"/>
      <c r="B401" s="9"/>
      <c r="C401" s="9"/>
      <c r="D401" s="9"/>
      <c r="E401" s="9"/>
      <c r="F401" s="9"/>
      <c r="G401" s="9"/>
      <c r="H401" s="9"/>
      <c r="I401" s="9"/>
      <c r="J401" s="9"/>
      <c r="K401" s="9"/>
      <c r="L401" s="9"/>
      <c r="M401" s="9"/>
    </row>
    <row r="402">
      <c r="A402" s="9"/>
      <c r="B402" s="9"/>
      <c r="C402" s="9"/>
      <c r="D402" s="9"/>
      <c r="E402" s="9"/>
      <c r="F402" s="9"/>
      <c r="G402" s="9"/>
      <c r="H402" s="9"/>
      <c r="I402" s="9"/>
      <c r="J402" s="9"/>
      <c r="K402" s="9"/>
      <c r="L402" s="9"/>
      <c r="M402" s="9"/>
    </row>
    <row r="403">
      <c r="A403" s="9"/>
      <c r="B403" s="9"/>
      <c r="C403" s="9"/>
      <c r="D403" s="9"/>
      <c r="E403" s="9"/>
      <c r="F403" s="9"/>
      <c r="G403" s="9"/>
      <c r="H403" s="9"/>
      <c r="I403" s="9"/>
      <c r="J403" s="9"/>
      <c r="K403" s="9"/>
      <c r="L403" s="9"/>
      <c r="M403" s="9"/>
    </row>
    <row r="404">
      <c r="A404" s="9"/>
      <c r="B404" s="9"/>
      <c r="C404" s="9"/>
      <c r="D404" s="9"/>
      <c r="E404" s="9"/>
      <c r="F404" s="9"/>
      <c r="G404" s="9"/>
      <c r="H404" s="9"/>
      <c r="I404" s="9"/>
      <c r="J404" s="9"/>
      <c r="K404" s="9"/>
      <c r="L404" s="9"/>
      <c r="M404" s="9"/>
    </row>
    <row r="405">
      <c r="A405" s="9"/>
      <c r="B405" s="9"/>
      <c r="C405" s="9"/>
      <c r="D405" s="9"/>
      <c r="E405" s="9"/>
      <c r="F405" s="9"/>
      <c r="G405" s="9"/>
      <c r="H405" s="9"/>
      <c r="I405" s="9"/>
      <c r="J405" s="9"/>
      <c r="K405" s="9"/>
      <c r="L405" s="9"/>
      <c r="M405" s="9"/>
    </row>
    <row r="406">
      <c r="A406" s="9"/>
      <c r="B406" s="9"/>
      <c r="C406" s="9"/>
      <c r="D406" s="9"/>
      <c r="E406" s="9"/>
      <c r="F406" s="9"/>
      <c r="G406" s="9"/>
      <c r="H406" s="9"/>
      <c r="I406" s="9"/>
      <c r="J406" s="9"/>
      <c r="K406" s="9"/>
      <c r="L406" s="9"/>
      <c r="M406" s="9"/>
    </row>
    <row r="407">
      <c r="A407" s="9"/>
      <c r="B407" s="9"/>
      <c r="C407" s="9"/>
      <c r="D407" s="9"/>
      <c r="E407" s="9"/>
      <c r="F407" s="9"/>
      <c r="G407" s="9"/>
      <c r="H407" s="9"/>
      <c r="I407" s="9"/>
      <c r="J407" s="9"/>
      <c r="K407" s="9"/>
      <c r="L407" s="9"/>
      <c r="M407" s="9"/>
    </row>
    <row r="408">
      <c r="A408" s="9"/>
      <c r="B408" s="9"/>
      <c r="C408" s="9"/>
      <c r="D408" s="9"/>
      <c r="E408" s="9"/>
      <c r="F408" s="9"/>
      <c r="G408" s="9"/>
      <c r="H408" s="9"/>
      <c r="I408" s="9"/>
      <c r="J408" s="9"/>
      <c r="K408" s="9"/>
      <c r="L408" s="9"/>
      <c r="M408" s="9"/>
    </row>
    <row r="409">
      <c r="A409" s="9"/>
      <c r="B409" s="9"/>
      <c r="C409" s="9"/>
      <c r="D409" s="9"/>
      <c r="E409" s="9"/>
      <c r="F409" s="9"/>
      <c r="G409" s="9"/>
      <c r="H409" s="9"/>
      <c r="I409" s="9"/>
      <c r="J409" s="9"/>
      <c r="K409" s="9"/>
      <c r="L409" s="9"/>
      <c r="M409" s="9"/>
    </row>
    <row r="410">
      <c r="A410" s="9"/>
      <c r="B410" s="9"/>
      <c r="C410" s="9"/>
      <c r="D410" s="9"/>
      <c r="E410" s="9"/>
      <c r="F410" s="9"/>
      <c r="G410" s="9"/>
      <c r="H410" s="9"/>
      <c r="I410" s="9"/>
      <c r="J410" s="9"/>
      <c r="K410" s="9"/>
      <c r="L410" s="9"/>
      <c r="M410" s="9"/>
    </row>
    <row r="411">
      <c r="A411" s="9"/>
      <c r="B411" s="9"/>
      <c r="C411" s="9"/>
      <c r="D411" s="9"/>
      <c r="E411" s="9"/>
      <c r="F411" s="9"/>
      <c r="G411" s="9"/>
      <c r="H411" s="9"/>
      <c r="I411" s="9"/>
      <c r="J411" s="9"/>
      <c r="K411" s="9"/>
      <c r="L411" s="9"/>
      <c r="M411" s="9"/>
    </row>
    <row r="412">
      <c r="A412" s="9"/>
      <c r="B412" s="9"/>
      <c r="C412" s="9"/>
      <c r="D412" s="9"/>
      <c r="E412" s="9"/>
      <c r="F412" s="9"/>
      <c r="G412" s="9"/>
      <c r="H412" s="9"/>
      <c r="I412" s="9"/>
      <c r="J412" s="9"/>
      <c r="K412" s="9"/>
      <c r="L412" s="9"/>
      <c r="M412" s="9"/>
    </row>
    <row r="413">
      <c r="A413" s="9"/>
      <c r="B413" s="9"/>
      <c r="C413" s="9"/>
      <c r="D413" s="9"/>
      <c r="E413" s="9"/>
      <c r="F413" s="9"/>
      <c r="G413" s="9"/>
      <c r="H413" s="9"/>
      <c r="I413" s="9"/>
      <c r="J413" s="9"/>
      <c r="K413" s="9"/>
      <c r="L413" s="9"/>
      <c r="M413" s="9"/>
    </row>
    <row r="414">
      <c r="A414" s="9"/>
      <c r="B414" s="9"/>
      <c r="C414" s="9"/>
      <c r="D414" s="9"/>
      <c r="E414" s="9"/>
      <c r="F414" s="9"/>
      <c r="G414" s="9"/>
      <c r="H414" s="9"/>
      <c r="I414" s="9"/>
      <c r="J414" s="9"/>
      <c r="K414" s="9"/>
      <c r="L414" s="9"/>
      <c r="M414" s="9"/>
    </row>
    <row r="415">
      <c r="A415" s="9"/>
      <c r="B415" s="9"/>
      <c r="C415" s="9"/>
      <c r="D415" s="9"/>
      <c r="E415" s="9"/>
      <c r="F415" s="9"/>
      <c r="G415" s="9"/>
      <c r="H415" s="9"/>
      <c r="I415" s="9"/>
      <c r="J415" s="9"/>
      <c r="K415" s="9"/>
      <c r="L415" s="9"/>
      <c r="M415" s="9"/>
    </row>
    <row r="416">
      <c r="A416" s="9"/>
      <c r="B416" s="9"/>
      <c r="C416" s="9"/>
      <c r="D416" s="9"/>
      <c r="E416" s="9"/>
      <c r="F416" s="9"/>
      <c r="G416" s="9"/>
      <c r="H416" s="9"/>
      <c r="I416" s="9"/>
      <c r="J416" s="9"/>
      <c r="K416" s="9"/>
      <c r="L416" s="9"/>
      <c r="M416" s="9"/>
    </row>
    <row r="417">
      <c r="A417" s="9"/>
      <c r="B417" s="9"/>
      <c r="C417" s="9"/>
      <c r="D417" s="9"/>
      <c r="E417" s="9"/>
      <c r="F417" s="9"/>
      <c r="G417" s="9"/>
      <c r="H417" s="9"/>
      <c r="I417" s="9"/>
      <c r="J417" s="9"/>
      <c r="K417" s="9"/>
      <c r="L417" s="9"/>
      <c r="M417" s="9"/>
    </row>
    <row r="418">
      <c r="A418" s="9"/>
      <c r="B418" s="9"/>
      <c r="C418" s="9"/>
      <c r="D418" s="9"/>
      <c r="E418" s="9"/>
      <c r="F418" s="9"/>
      <c r="G418" s="9"/>
      <c r="H418" s="9"/>
      <c r="I418" s="9"/>
      <c r="J418" s="9"/>
      <c r="K418" s="9"/>
      <c r="L418" s="9"/>
      <c r="M418" s="9"/>
    </row>
    <row r="419">
      <c r="A419" s="9"/>
      <c r="B419" s="9"/>
      <c r="C419" s="9"/>
      <c r="D419" s="9"/>
      <c r="E419" s="9"/>
      <c r="F419" s="9"/>
      <c r="G419" s="9"/>
      <c r="H419" s="9"/>
      <c r="I419" s="9"/>
      <c r="J419" s="9"/>
      <c r="K419" s="9"/>
      <c r="L419" s="9"/>
      <c r="M419" s="9"/>
    </row>
    <row r="420">
      <c r="A420" s="9"/>
      <c r="B420" s="9"/>
      <c r="C420" s="9"/>
      <c r="D420" s="9"/>
      <c r="E420" s="9"/>
      <c r="F420" s="9"/>
      <c r="G420" s="9"/>
      <c r="H420" s="9"/>
      <c r="I420" s="9"/>
      <c r="J420" s="9"/>
      <c r="K420" s="9"/>
      <c r="L420" s="9"/>
      <c r="M420" s="9"/>
    </row>
    <row r="421">
      <c r="A421" s="9"/>
      <c r="B421" s="9"/>
      <c r="C421" s="9"/>
      <c r="D421" s="9"/>
      <c r="E421" s="9"/>
      <c r="F421" s="9"/>
      <c r="G421" s="9"/>
      <c r="H421" s="9"/>
      <c r="I421" s="9"/>
      <c r="J421" s="9"/>
      <c r="K421" s="9"/>
      <c r="L421" s="9"/>
      <c r="M421" s="9"/>
    </row>
    <row r="422">
      <c r="A422" s="9"/>
      <c r="B422" s="9"/>
      <c r="C422" s="9"/>
      <c r="D422" s="9"/>
      <c r="E422" s="9"/>
      <c r="F422" s="9"/>
      <c r="G422" s="9"/>
      <c r="H422" s="9"/>
      <c r="I422" s="9"/>
      <c r="J422" s="9"/>
      <c r="K422" s="9"/>
      <c r="L422" s="9"/>
      <c r="M422" s="9"/>
    </row>
    <row r="423">
      <c r="A423" s="9"/>
      <c r="B423" s="9"/>
      <c r="C423" s="9"/>
      <c r="D423" s="9"/>
      <c r="E423" s="9"/>
      <c r="F423" s="9"/>
      <c r="G423" s="9"/>
      <c r="H423" s="9"/>
      <c r="I423" s="9"/>
      <c r="J423" s="9"/>
      <c r="K423" s="9"/>
      <c r="L423" s="9"/>
      <c r="M423" s="9"/>
    </row>
    <row r="424">
      <c r="A424" s="9"/>
      <c r="B424" s="9"/>
      <c r="C424" s="9"/>
      <c r="D424" s="9"/>
      <c r="E424" s="9"/>
      <c r="F424" s="9"/>
      <c r="G424" s="9"/>
      <c r="H424" s="9"/>
      <c r="I424" s="9"/>
      <c r="J424" s="9"/>
      <c r="K424" s="9"/>
      <c r="L424" s="9"/>
      <c r="M424" s="9"/>
    </row>
    <row r="425">
      <c r="A425" s="9"/>
      <c r="B425" s="9"/>
      <c r="C425" s="9"/>
      <c r="D425" s="9"/>
      <c r="E425" s="9"/>
      <c r="F425" s="9"/>
      <c r="G425" s="9"/>
      <c r="H425" s="9"/>
      <c r="I425" s="9"/>
      <c r="J425" s="9"/>
      <c r="K425" s="9"/>
      <c r="L425" s="9"/>
      <c r="M425" s="9"/>
    </row>
    <row r="426">
      <c r="A426" s="9"/>
      <c r="B426" s="9"/>
      <c r="C426" s="9"/>
      <c r="D426" s="9"/>
      <c r="E426" s="9"/>
      <c r="F426" s="9"/>
      <c r="G426" s="9"/>
      <c r="H426" s="9"/>
      <c r="I426" s="9"/>
      <c r="J426" s="9"/>
      <c r="K426" s="9"/>
      <c r="L426" s="9"/>
      <c r="M426" s="9"/>
    </row>
    <row r="427">
      <c r="A427" s="9"/>
      <c r="B427" s="9"/>
      <c r="C427" s="9"/>
      <c r="D427" s="9"/>
      <c r="E427" s="9"/>
      <c r="F427" s="9"/>
      <c r="G427" s="9"/>
      <c r="H427" s="9"/>
      <c r="I427" s="9"/>
      <c r="J427" s="9"/>
      <c r="K427" s="9"/>
      <c r="L427" s="9"/>
      <c r="M427" s="9"/>
    </row>
    <row r="428">
      <c r="A428" s="9"/>
      <c r="B428" s="9"/>
      <c r="C428" s="9"/>
      <c r="D428" s="9"/>
      <c r="E428" s="9"/>
      <c r="F428" s="9"/>
      <c r="G428" s="9"/>
      <c r="H428" s="9"/>
      <c r="I428" s="9"/>
      <c r="J428" s="9"/>
      <c r="K428" s="9"/>
      <c r="L428" s="9"/>
      <c r="M428" s="9"/>
    </row>
    <row r="429">
      <c r="A429" s="9"/>
      <c r="B429" s="9"/>
      <c r="C429" s="9"/>
      <c r="D429" s="9"/>
      <c r="E429" s="9"/>
      <c r="F429" s="9"/>
      <c r="G429" s="9"/>
      <c r="H429" s="9"/>
      <c r="I429" s="9"/>
      <c r="J429" s="9"/>
      <c r="K429" s="9"/>
      <c r="L429" s="9"/>
      <c r="M429" s="9"/>
    </row>
    <row r="430">
      <c r="A430" s="9"/>
      <c r="B430" s="9"/>
      <c r="C430" s="9"/>
      <c r="D430" s="9"/>
      <c r="E430" s="9"/>
      <c r="F430" s="9"/>
      <c r="G430" s="9"/>
      <c r="H430" s="9"/>
      <c r="I430" s="9"/>
      <c r="J430" s="9"/>
      <c r="K430" s="9"/>
      <c r="L430" s="9"/>
      <c r="M430" s="9"/>
    </row>
    <row r="431">
      <c r="A431" s="9"/>
      <c r="B431" s="9"/>
      <c r="C431" s="9"/>
      <c r="D431" s="9"/>
      <c r="E431" s="9"/>
      <c r="F431" s="9"/>
      <c r="G431" s="9"/>
      <c r="H431" s="9"/>
      <c r="I431" s="9"/>
      <c r="J431" s="9"/>
      <c r="K431" s="9"/>
      <c r="L431" s="9"/>
      <c r="M431" s="9"/>
    </row>
    <row r="432">
      <c r="A432" s="9"/>
      <c r="B432" s="9"/>
      <c r="C432" s="9"/>
      <c r="D432" s="9"/>
      <c r="E432" s="9"/>
      <c r="F432" s="9"/>
      <c r="G432" s="9"/>
      <c r="H432" s="9"/>
      <c r="I432" s="9"/>
      <c r="J432" s="9"/>
      <c r="K432" s="9"/>
      <c r="L432" s="9"/>
      <c r="M432" s="9"/>
    </row>
    <row r="433">
      <c r="A433" s="9"/>
      <c r="B433" s="9"/>
      <c r="C433" s="9"/>
      <c r="D433" s="9"/>
      <c r="E433" s="9"/>
      <c r="F433" s="9"/>
      <c r="G433" s="9"/>
      <c r="H433" s="9"/>
      <c r="I433" s="9"/>
      <c r="J433" s="9"/>
      <c r="K433" s="9"/>
      <c r="L433" s="9"/>
      <c r="M433" s="9"/>
    </row>
    <row r="434">
      <c r="A434" s="9"/>
      <c r="B434" s="9"/>
      <c r="C434" s="9"/>
      <c r="D434" s="9"/>
      <c r="E434" s="9"/>
      <c r="F434" s="9"/>
      <c r="G434" s="9"/>
      <c r="H434" s="9"/>
      <c r="I434" s="9"/>
      <c r="J434" s="9"/>
      <c r="K434" s="9"/>
      <c r="L434" s="9"/>
      <c r="M434" s="9"/>
    </row>
    <row r="435">
      <c r="A435" s="9"/>
      <c r="B435" s="9"/>
      <c r="C435" s="9"/>
      <c r="D435" s="9"/>
      <c r="E435" s="9"/>
      <c r="F435" s="9"/>
      <c r="G435" s="9"/>
      <c r="H435" s="9"/>
      <c r="I435" s="9"/>
      <c r="J435" s="9"/>
      <c r="K435" s="9"/>
      <c r="L435" s="9"/>
      <c r="M435" s="9"/>
    </row>
    <row r="436">
      <c r="A436" s="9"/>
      <c r="B436" s="9"/>
      <c r="C436" s="9"/>
      <c r="D436" s="9"/>
      <c r="E436" s="9"/>
      <c r="F436" s="9"/>
      <c r="G436" s="9"/>
      <c r="H436" s="9"/>
      <c r="I436" s="9"/>
      <c r="J436" s="9"/>
      <c r="K436" s="9"/>
      <c r="L436" s="9"/>
      <c r="M436" s="9"/>
    </row>
    <row r="437">
      <c r="A437" s="9"/>
      <c r="B437" s="9"/>
      <c r="C437" s="9"/>
      <c r="D437" s="9"/>
      <c r="E437" s="9"/>
      <c r="F437" s="9"/>
      <c r="G437" s="9"/>
      <c r="H437" s="9"/>
      <c r="I437" s="9"/>
      <c r="J437" s="9"/>
      <c r="K437" s="9"/>
      <c r="L437" s="9"/>
      <c r="M437" s="9"/>
    </row>
    <row r="438">
      <c r="A438" s="9"/>
      <c r="B438" s="9"/>
      <c r="C438" s="9"/>
      <c r="D438" s="9"/>
      <c r="E438" s="9"/>
      <c r="F438" s="9"/>
      <c r="G438" s="9"/>
      <c r="H438" s="9"/>
      <c r="I438" s="9"/>
      <c r="J438" s="9"/>
      <c r="K438" s="9"/>
      <c r="L438" s="9"/>
      <c r="M438" s="9"/>
    </row>
    <row r="439">
      <c r="A439" s="9"/>
      <c r="B439" s="9"/>
      <c r="C439" s="9"/>
      <c r="D439" s="9"/>
      <c r="E439" s="9"/>
      <c r="F439" s="9"/>
      <c r="G439" s="9"/>
      <c r="H439" s="9"/>
      <c r="I439" s="9"/>
      <c r="J439" s="9"/>
      <c r="K439" s="9"/>
      <c r="L439" s="9"/>
      <c r="M439" s="9"/>
    </row>
    <row r="440">
      <c r="A440" s="9"/>
      <c r="B440" s="9"/>
      <c r="C440" s="9"/>
      <c r="D440" s="9"/>
      <c r="E440" s="9"/>
      <c r="F440" s="9"/>
      <c r="G440" s="9"/>
      <c r="H440" s="9"/>
      <c r="I440" s="9"/>
      <c r="J440" s="9"/>
      <c r="K440" s="9"/>
      <c r="L440" s="9"/>
      <c r="M440" s="9"/>
    </row>
    <row r="441">
      <c r="A441" s="9"/>
      <c r="B441" s="9"/>
      <c r="C441" s="9"/>
      <c r="D441" s="9"/>
      <c r="E441" s="9"/>
      <c r="F441" s="9"/>
      <c r="G441" s="9"/>
      <c r="H441" s="9"/>
      <c r="I441" s="9"/>
      <c r="J441" s="9"/>
      <c r="K441" s="9"/>
      <c r="L441" s="9"/>
      <c r="M441" s="9"/>
    </row>
    <row r="442">
      <c r="A442" s="9"/>
      <c r="B442" s="9"/>
      <c r="C442" s="9"/>
      <c r="D442" s="9"/>
      <c r="E442" s="9"/>
      <c r="F442" s="9"/>
      <c r="G442" s="9"/>
      <c r="H442" s="9"/>
      <c r="I442" s="9"/>
      <c r="J442" s="9"/>
      <c r="K442" s="9"/>
      <c r="L442" s="9"/>
      <c r="M442" s="9"/>
    </row>
    <row r="443">
      <c r="A443" s="9"/>
      <c r="B443" s="9"/>
      <c r="C443" s="9"/>
      <c r="D443" s="9"/>
      <c r="E443" s="9"/>
      <c r="F443" s="9"/>
      <c r="G443" s="9"/>
      <c r="H443" s="9"/>
      <c r="I443" s="9"/>
      <c r="J443" s="9"/>
      <c r="K443" s="9"/>
      <c r="L443" s="9"/>
      <c r="M443" s="9"/>
    </row>
    <row r="444">
      <c r="A444" s="9"/>
      <c r="B444" s="9"/>
      <c r="C444" s="9"/>
      <c r="D444" s="9"/>
      <c r="E444" s="9"/>
      <c r="F444" s="9"/>
      <c r="G444" s="9"/>
      <c r="H444" s="9"/>
      <c r="I444" s="9"/>
      <c r="J444" s="9"/>
      <c r="K444" s="9"/>
      <c r="L444" s="9"/>
      <c r="M444" s="9"/>
    </row>
    <row r="445">
      <c r="A445" s="9"/>
      <c r="B445" s="9"/>
      <c r="C445" s="9"/>
      <c r="D445" s="9"/>
      <c r="E445" s="9"/>
      <c r="F445" s="9"/>
      <c r="G445" s="9"/>
      <c r="H445" s="9"/>
      <c r="I445" s="9"/>
      <c r="J445" s="9"/>
      <c r="K445" s="9"/>
      <c r="L445" s="9"/>
      <c r="M445" s="9"/>
    </row>
    <row r="446">
      <c r="A446" s="9"/>
      <c r="B446" s="9"/>
      <c r="C446" s="9"/>
      <c r="D446" s="9"/>
      <c r="E446" s="9"/>
      <c r="F446" s="9"/>
      <c r="G446" s="9"/>
      <c r="H446" s="9"/>
      <c r="I446" s="9"/>
      <c r="J446" s="9"/>
      <c r="K446" s="9"/>
      <c r="L446" s="9"/>
      <c r="M446" s="9"/>
    </row>
    <row r="447">
      <c r="A447" s="9"/>
      <c r="B447" s="9"/>
      <c r="C447" s="9"/>
      <c r="D447" s="9"/>
      <c r="E447" s="9"/>
      <c r="F447" s="9"/>
      <c r="G447" s="9"/>
      <c r="H447" s="9"/>
      <c r="I447" s="9"/>
      <c r="J447" s="9"/>
      <c r="K447" s="9"/>
      <c r="L447" s="9"/>
      <c r="M447" s="9"/>
    </row>
    <row r="448">
      <c r="A448" s="9"/>
      <c r="B448" s="9"/>
      <c r="C448" s="9"/>
      <c r="D448" s="9"/>
      <c r="E448" s="9"/>
      <c r="F448" s="9"/>
      <c r="G448" s="9"/>
      <c r="H448" s="9"/>
      <c r="I448" s="9"/>
      <c r="J448" s="9"/>
      <c r="K448" s="9"/>
      <c r="L448" s="9"/>
      <c r="M448" s="9"/>
    </row>
    <row r="449">
      <c r="A449" s="9"/>
      <c r="B449" s="9"/>
      <c r="C449" s="9"/>
      <c r="D449" s="9"/>
      <c r="E449" s="9"/>
      <c r="F449" s="9"/>
      <c r="G449" s="9"/>
      <c r="H449" s="9"/>
      <c r="I449" s="9"/>
      <c r="J449" s="9"/>
      <c r="K449" s="9"/>
      <c r="L449" s="9"/>
      <c r="M449" s="9"/>
    </row>
    <row r="450">
      <c r="A450" s="9"/>
      <c r="B450" s="9"/>
      <c r="C450" s="9"/>
      <c r="D450" s="9"/>
      <c r="E450" s="9"/>
      <c r="F450" s="9"/>
      <c r="G450" s="9"/>
      <c r="H450" s="9"/>
      <c r="I450" s="9"/>
      <c r="J450" s="9"/>
      <c r="K450" s="9"/>
      <c r="L450" s="9"/>
      <c r="M450" s="9"/>
    </row>
    <row r="451">
      <c r="A451" s="9"/>
      <c r="B451" s="9"/>
      <c r="C451" s="9"/>
      <c r="D451" s="9"/>
      <c r="E451" s="9"/>
      <c r="F451" s="9"/>
      <c r="G451" s="9"/>
      <c r="H451" s="9"/>
      <c r="I451" s="9"/>
      <c r="J451" s="9"/>
      <c r="K451" s="9"/>
      <c r="L451" s="9"/>
      <c r="M451" s="9"/>
    </row>
    <row r="452">
      <c r="A452" s="9"/>
      <c r="B452" s="9"/>
      <c r="C452" s="9"/>
      <c r="D452" s="9"/>
      <c r="E452" s="9"/>
      <c r="F452" s="9"/>
      <c r="G452" s="9"/>
      <c r="H452" s="9"/>
      <c r="I452" s="9"/>
      <c r="J452" s="9"/>
      <c r="K452" s="9"/>
      <c r="L452" s="9"/>
      <c r="M452" s="9"/>
    </row>
    <row r="453">
      <c r="A453" s="9"/>
      <c r="B453" s="9"/>
      <c r="C453" s="9"/>
      <c r="D453" s="9"/>
      <c r="E453" s="9"/>
      <c r="F453" s="9"/>
      <c r="G453" s="9"/>
      <c r="H453" s="9"/>
      <c r="I453" s="9"/>
      <c r="J453" s="9"/>
      <c r="K453" s="9"/>
      <c r="L453" s="9"/>
      <c r="M453" s="9"/>
    </row>
    <row r="454">
      <c r="A454" s="9"/>
      <c r="B454" s="9"/>
      <c r="C454" s="9"/>
      <c r="D454" s="9"/>
      <c r="E454" s="9"/>
      <c r="F454" s="9"/>
      <c r="G454" s="9"/>
      <c r="H454" s="9"/>
      <c r="I454" s="9"/>
      <c r="J454" s="9"/>
      <c r="K454" s="9"/>
      <c r="L454" s="9"/>
      <c r="M454" s="9"/>
    </row>
    <row r="455">
      <c r="A455" s="9"/>
      <c r="B455" s="9"/>
      <c r="C455" s="9"/>
      <c r="D455" s="9"/>
      <c r="E455" s="9"/>
      <c r="F455" s="9"/>
      <c r="G455" s="9"/>
      <c r="H455" s="9"/>
      <c r="I455" s="9"/>
      <c r="J455" s="9"/>
      <c r="K455" s="9"/>
      <c r="L455" s="9"/>
      <c r="M455" s="9"/>
    </row>
    <row r="456">
      <c r="A456" s="9"/>
      <c r="B456" s="9"/>
      <c r="C456" s="9"/>
      <c r="D456" s="9"/>
      <c r="E456" s="9"/>
      <c r="F456" s="9"/>
      <c r="G456" s="9"/>
      <c r="H456" s="9"/>
      <c r="I456" s="9"/>
      <c r="J456" s="9"/>
      <c r="K456" s="9"/>
      <c r="L456" s="9"/>
      <c r="M456" s="9"/>
    </row>
    <row r="457">
      <c r="A457" s="9"/>
      <c r="B457" s="9"/>
      <c r="C457" s="9"/>
      <c r="D457" s="9"/>
      <c r="E457" s="9"/>
      <c r="F457" s="9"/>
      <c r="G457" s="9"/>
      <c r="H457" s="9"/>
      <c r="I457" s="9"/>
      <c r="J457" s="9"/>
      <c r="K457" s="9"/>
      <c r="L457" s="9"/>
      <c r="M457" s="9"/>
    </row>
    <row r="458">
      <c r="A458" s="9"/>
      <c r="B458" s="9"/>
      <c r="C458" s="9"/>
      <c r="D458" s="9"/>
      <c r="E458" s="9"/>
      <c r="F458" s="9"/>
      <c r="G458" s="9"/>
      <c r="H458" s="9"/>
      <c r="I458" s="9"/>
      <c r="J458" s="9"/>
      <c r="K458" s="9"/>
      <c r="L458" s="9"/>
      <c r="M458" s="9"/>
    </row>
    <row r="459">
      <c r="A459" s="9"/>
      <c r="B459" s="9"/>
      <c r="C459" s="9"/>
      <c r="D459" s="9"/>
      <c r="E459" s="9"/>
      <c r="F459" s="9"/>
      <c r="G459" s="9"/>
      <c r="H459" s="9"/>
      <c r="I459" s="9"/>
      <c r="J459" s="9"/>
      <c r="K459" s="9"/>
      <c r="L459" s="9"/>
      <c r="M459" s="9"/>
    </row>
    <row r="460">
      <c r="A460" s="9"/>
      <c r="B460" s="9"/>
      <c r="C460" s="9"/>
      <c r="D460" s="9"/>
      <c r="E460" s="9"/>
      <c r="F460" s="9"/>
      <c r="G460" s="9"/>
      <c r="H460" s="9"/>
      <c r="I460" s="9"/>
      <c r="J460" s="9"/>
      <c r="K460" s="9"/>
      <c r="L460" s="9"/>
      <c r="M460" s="9"/>
    </row>
    <row r="461">
      <c r="A461" s="9"/>
      <c r="B461" s="9"/>
      <c r="C461" s="9"/>
      <c r="D461" s="9"/>
      <c r="E461" s="9"/>
      <c r="F461" s="9"/>
      <c r="G461" s="9"/>
      <c r="H461" s="9"/>
      <c r="I461" s="9"/>
      <c r="J461" s="9"/>
      <c r="K461" s="9"/>
      <c r="L461" s="9"/>
      <c r="M461" s="9"/>
    </row>
    <row r="462">
      <c r="A462" s="9"/>
      <c r="B462" s="9"/>
      <c r="C462" s="9"/>
      <c r="D462" s="9"/>
      <c r="E462" s="9"/>
      <c r="F462" s="9"/>
      <c r="G462" s="9"/>
      <c r="H462" s="9"/>
      <c r="I462" s="9"/>
      <c r="J462" s="9"/>
      <c r="K462" s="9"/>
      <c r="L462" s="9"/>
      <c r="M462" s="9"/>
    </row>
    <row r="463">
      <c r="A463" s="9"/>
      <c r="B463" s="9"/>
      <c r="C463" s="9"/>
      <c r="D463" s="9"/>
      <c r="E463" s="9"/>
      <c r="F463" s="9"/>
      <c r="G463" s="9"/>
      <c r="H463" s="9"/>
      <c r="I463" s="9"/>
      <c r="J463" s="9"/>
      <c r="K463" s="9"/>
      <c r="L463" s="9"/>
      <c r="M463" s="9"/>
    </row>
    <row r="464">
      <c r="A464" s="9"/>
      <c r="B464" s="9"/>
      <c r="C464" s="9"/>
      <c r="D464" s="9"/>
      <c r="E464" s="9"/>
      <c r="F464" s="9"/>
      <c r="G464" s="9"/>
      <c r="H464" s="9"/>
      <c r="I464" s="9"/>
      <c r="J464" s="9"/>
      <c r="K464" s="9"/>
      <c r="L464" s="9"/>
      <c r="M464" s="9"/>
    </row>
    <row r="465">
      <c r="A465" s="9"/>
      <c r="B465" s="9"/>
      <c r="C465" s="9"/>
      <c r="D465" s="9"/>
      <c r="E465" s="9"/>
      <c r="F465" s="9"/>
      <c r="G465" s="9"/>
      <c r="H465" s="9"/>
      <c r="I465" s="9"/>
      <c r="J465" s="9"/>
      <c r="K465" s="9"/>
      <c r="L465" s="9"/>
      <c r="M465" s="9"/>
    </row>
    <row r="466">
      <c r="A466" s="9"/>
      <c r="B466" s="9"/>
      <c r="C466" s="9"/>
      <c r="D466" s="9"/>
      <c r="E466" s="9"/>
      <c r="F466" s="9"/>
      <c r="G466" s="9"/>
      <c r="H466" s="9"/>
      <c r="I466" s="9"/>
      <c r="J466" s="9"/>
      <c r="K466" s="9"/>
      <c r="L466" s="9"/>
      <c r="M466" s="9"/>
    </row>
    <row r="467">
      <c r="A467" s="9"/>
      <c r="B467" s="9"/>
      <c r="C467" s="9"/>
      <c r="D467" s="9"/>
      <c r="E467" s="9"/>
      <c r="F467" s="9"/>
      <c r="G467" s="9"/>
      <c r="H467" s="9"/>
      <c r="I467" s="9"/>
      <c r="J467" s="9"/>
      <c r="K467" s="9"/>
      <c r="L467" s="9"/>
      <c r="M467" s="9"/>
    </row>
    <row r="468">
      <c r="A468" s="9"/>
      <c r="B468" s="9"/>
      <c r="C468" s="9"/>
      <c r="D468" s="9"/>
      <c r="E468" s="9"/>
      <c r="F468" s="9"/>
      <c r="G468" s="9"/>
      <c r="H468" s="9"/>
      <c r="I468" s="9"/>
      <c r="J468" s="9"/>
      <c r="K468" s="9"/>
      <c r="L468" s="9"/>
      <c r="M468" s="9"/>
    </row>
    <row r="469">
      <c r="A469" s="9"/>
      <c r="B469" s="9"/>
      <c r="C469" s="9"/>
      <c r="D469" s="9"/>
      <c r="E469" s="9"/>
      <c r="F469" s="9"/>
      <c r="G469" s="9"/>
      <c r="H469" s="9"/>
      <c r="I469" s="9"/>
      <c r="J469" s="9"/>
      <c r="K469" s="9"/>
      <c r="L469" s="9"/>
      <c r="M469" s="9"/>
    </row>
    <row r="470">
      <c r="A470" s="9"/>
      <c r="B470" s="9"/>
      <c r="C470" s="9"/>
      <c r="D470" s="9"/>
      <c r="E470" s="9"/>
      <c r="F470" s="9"/>
      <c r="G470" s="9"/>
      <c r="H470" s="9"/>
      <c r="I470" s="9"/>
      <c r="J470" s="9"/>
      <c r="K470" s="9"/>
      <c r="L470" s="9"/>
      <c r="M470" s="9"/>
    </row>
    <row r="471">
      <c r="A471" s="9"/>
      <c r="B471" s="9"/>
      <c r="C471" s="9"/>
      <c r="D471" s="9"/>
      <c r="E471" s="9"/>
      <c r="F471" s="9"/>
      <c r="G471" s="9"/>
      <c r="H471" s="9"/>
      <c r="I471" s="9"/>
      <c r="J471" s="9"/>
      <c r="K471" s="9"/>
      <c r="L471" s="9"/>
      <c r="M471" s="9"/>
    </row>
    <row r="472">
      <c r="A472" s="9"/>
      <c r="B472" s="9"/>
      <c r="C472" s="9"/>
      <c r="D472" s="9"/>
      <c r="E472" s="9"/>
      <c r="F472" s="9"/>
      <c r="G472" s="9"/>
      <c r="H472" s="9"/>
      <c r="I472" s="9"/>
      <c r="J472" s="9"/>
      <c r="K472" s="9"/>
      <c r="L472" s="9"/>
      <c r="M472" s="9"/>
    </row>
    <row r="473">
      <c r="A473" s="9"/>
      <c r="B473" s="9"/>
      <c r="C473" s="9"/>
      <c r="D473" s="9"/>
      <c r="E473" s="9"/>
      <c r="F473" s="9"/>
      <c r="G473" s="9"/>
      <c r="H473" s="9"/>
      <c r="I473" s="9"/>
      <c r="J473" s="9"/>
      <c r="K473" s="9"/>
      <c r="L473" s="9"/>
      <c r="M473" s="9"/>
    </row>
    <row r="474">
      <c r="A474" s="9"/>
      <c r="B474" s="9"/>
      <c r="C474" s="9"/>
      <c r="D474" s="9"/>
      <c r="E474" s="9"/>
      <c r="F474" s="9"/>
      <c r="G474" s="9"/>
      <c r="H474" s="9"/>
      <c r="I474" s="9"/>
      <c r="J474" s="9"/>
      <c r="K474" s="9"/>
      <c r="L474" s="9"/>
      <c r="M474" s="9"/>
    </row>
    <row r="475">
      <c r="A475" s="9"/>
      <c r="B475" s="9"/>
      <c r="C475" s="9"/>
      <c r="D475" s="9"/>
      <c r="E475" s="9"/>
      <c r="F475" s="9"/>
      <c r="G475" s="9"/>
      <c r="H475" s="9"/>
      <c r="I475" s="9"/>
      <c r="J475" s="9"/>
      <c r="K475" s="9"/>
      <c r="L475" s="9"/>
      <c r="M475" s="9"/>
    </row>
    <row r="476">
      <c r="A476" s="9"/>
      <c r="B476" s="9"/>
      <c r="C476" s="9"/>
      <c r="D476" s="9"/>
      <c r="E476" s="9"/>
      <c r="F476" s="9"/>
      <c r="G476" s="9"/>
      <c r="H476" s="9"/>
      <c r="I476" s="9"/>
      <c r="J476" s="9"/>
      <c r="K476" s="9"/>
      <c r="L476" s="9"/>
      <c r="M476" s="9"/>
    </row>
    <row r="477">
      <c r="A477" s="9"/>
      <c r="B477" s="9"/>
      <c r="C477" s="9"/>
      <c r="D477" s="9"/>
      <c r="E477" s="9"/>
      <c r="F477" s="9"/>
      <c r="G477" s="9"/>
      <c r="H477" s="9"/>
      <c r="I477" s="9"/>
      <c r="J477" s="9"/>
      <c r="K477" s="9"/>
      <c r="L477" s="9"/>
      <c r="M477" s="9"/>
    </row>
    <row r="478">
      <c r="A478" s="9"/>
      <c r="B478" s="9"/>
      <c r="C478" s="9"/>
      <c r="D478" s="9"/>
      <c r="E478" s="9"/>
      <c r="F478" s="9"/>
      <c r="G478" s="9"/>
      <c r="H478" s="9"/>
      <c r="I478" s="9"/>
      <c r="J478" s="9"/>
      <c r="K478" s="9"/>
      <c r="L478" s="9"/>
      <c r="M478" s="9"/>
    </row>
    <row r="479">
      <c r="A479" s="9"/>
      <c r="B479" s="9"/>
      <c r="C479" s="9"/>
      <c r="D479" s="9"/>
      <c r="E479" s="9"/>
      <c r="F479" s="9"/>
      <c r="G479" s="9"/>
      <c r="H479" s="9"/>
      <c r="I479" s="9"/>
      <c r="J479" s="9"/>
      <c r="K479" s="9"/>
      <c r="L479" s="9"/>
      <c r="M479" s="9"/>
    </row>
    <row r="480">
      <c r="A480" s="9"/>
      <c r="B480" s="9"/>
      <c r="C480" s="9"/>
      <c r="D480" s="9"/>
      <c r="E480" s="9"/>
      <c r="F480" s="9"/>
      <c r="G480" s="9"/>
      <c r="H480" s="9"/>
      <c r="I480" s="9"/>
      <c r="J480" s="9"/>
      <c r="K480" s="9"/>
      <c r="L480" s="9"/>
      <c r="M480" s="9"/>
    </row>
    <row r="481">
      <c r="A481" s="9"/>
      <c r="B481" s="9"/>
      <c r="C481" s="9"/>
      <c r="D481" s="9"/>
      <c r="E481" s="9"/>
      <c r="F481" s="9"/>
      <c r="G481" s="9"/>
      <c r="H481" s="9"/>
      <c r="I481" s="9"/>
      <c r="J481" s="9"/>
      <c r="K481" s="9"/>
      <c r="L481" s="9"/>
      <c r="M481" s="9"/>
    </row>
    <row r="482">
      <c r="A482" s="9"/>
      <c r="B482" s="9"/>
      <c r="C482" s="9"/>
      <c r="D482" s="9"/>
      <c r="E482" s="9"/>
      <c r="F482" s="9"/>
      <c r="G482" s="9"/>
      <c r="H482" s="9"/>
      <c r="I482" s="9"/>
      <c r="J482" s="9"/>
      <c r="K482" s="9"/>
      <c r="L482" s="9"/>
      <c r="M482" s="9"/>
    </row>
    <row r="483">
      <c r="A483" s="9"/>
      <c r="B483" s="9"/>
      <c r="C483" s="9"/>
      <c r="D483" s="9"/>
      <c r="E483" s="9"/>
      <c r="F483" s="9"/>
      <c r="G483" s="9"/>
      <c r="H483" s="9"/>
      <c r="I483" s="9"/>
      <c r="J483" s="9"/>
      <c r="K483" s="9"/>
      <c r="L483" s="9"/>
      <c r="M483" s="9"/>
    </row>
    <row r="484">
      <c r="A484" s="9"/>
      <c r="B484" s="9"/>
      <c r="C484" s="9"/>
      <c r="D484" s="9"/>
      <c r="E484" s="9"/>
      <c r="F484" s="9"/>
      <c r="G484" s="9"/>
      <c r="H484" s="9"/>
      <c r="I484" s="9"/>
      <c r="J484" s="9"/>
      <c r="K484" s="9"/>
      <c r="L484" s="9"/>
      <c r="M484" s="9"/>
    </row>
    <row r="485">
      <c r="A485" s="9"/>
      <c r="B485" s="9"/>
      <c r="C485" s="9"/>
      <c r="D485" s="9"/>
      <c r="E485" s="9"/>
      <c r="F485" s="9"/>
      <c r="G485" s="9"/>
      <c r="H485" s="9"/>
      <c r="I485" s="9"/>
      <c r="J485" s="9"/>
      <c r="K485" s="9"/>
      <c r="L485" s="9"/>
      <c r="M485" s="9"/>
    </row>
    <row r="486">
      <c r="A486" s="9"/>
      <c r="B486" s="9"/>
      <c r="C486" s="9"/>
      <c r="D486" s="9"/>
      <c r="E486" s="9"/>
      <c r="F486" s="9"/>
      <c r="G486" s="9"/>
      <c r="H486" s="9"/>
      <c r="I486" s="9"/>
      <c r="J486" s="9"/>
      <c r="K486" s="9"/>
      <c r="L486" s="9"/>
      <c r="M486" s="9"/>
    </row>
    <row r="487">
      <c r="A487" s="9"/>
      <c r="B487" s="9"/>
      <c r="C487" s="9"/>
      <c r="D487" s="9"/>
      <c r="E487" s="9"/>
      <c r="F487" s="9"/>
      <c r="G487" s="9"/>
      <c r="H487" s="9"/>
      <c r="I487" s="9"/>
      <c r="J487" s="9"/>
      <c r="K487" s="9"/>
      <c r="L487" s="9"/>
      <c r="M487" s="9"/>
    </row>
    <row r="488">
      <c r="A488" s="9"/>
      <c r="B488" s="9"/>
      <c r="C488" s="9"/>
      <c r="D488" s="9"/>
      <c r="E488" s="9"/>
      <c r="F488" s="9"/>
      <c r="G488" s="9"/>
      <c r="H488" s="9"/>
      <c r="I488" s="9"/>
      <c r="J488" s="9"/>
      <c r="K488" s="9"/>
      <c r="L488" s="9"/>
      <c r="M488" s="9"/>
    </row>
    <row r="489">
      <c r="A489" s="9"/>
      <c r="B489" s="9"/>
      <c r="C489" s="9"/>
      <c r="D489" s="9"/>
      <c r="E489" s="9"/>
      <c r="F489" s="9"/>
      <c r="G489" s="9"/>
      <c r="H489" s="9"/>
      <c r="I489" s="9"/>
      <c r="J489" s="9"/>
      <c r="K489" s="9"/>
      <c r="L489" s="9"/>
      <c r="M489" s="9"/>
    </row>
    <row r="490">
      <c r="A490" s="9"/>
      <c r="B490" s="9"/>
      <c r="C490" s="9"/>
      <c r="D490" s="9"/>
      <c r="E490" s="9"/>
      <c r="F490" s="9"/>
      <c r="G490" s="9"/>
      <c r="H490" s="9"/>
      <c r="I490" s="9"/>
      <c r="J490" s="9"/>
      <c r="K490" s="9"/>
      <c r="L490" s="9"/>
      <c r="M490" s="9"/>
    </row>
    <row r="491">
      <c r="A491" s="9"/>
      <c r="B491" s="9"/>
      <c r="C491" s="9"/>
      <c r="D491" s="9"/>
      <c r="E491" s="9"/>
      <c r="F491" s="9"/>
      <c r="G491" s="9"/>
      <c r="H491" s="9"/>
      <c r="I491" s="9"/>
      <c r="J491" s="9"/>
      <c r="K491" s="9"/>
      <c r="L491" s="9"/>
      <c r="M491" s="9"/>
    </row>
    <row r="492">
      <c r="A492" s="9"/>
      <c r="B492" s="9"/>
      <c r="C492" s="9"/>
      <c r="D492" s="9"/>
      <c r="E492" s="9"/>
      <c r="F492" s="9"/>
      <c r="G492" s="9"/>
      <c r="H492" s="9"/>
      <c r="I492" s="9"/>
      <c r="J492" s="9"/>
      <c r="K492" s="9"/>
      <c r="L492" s="9"/>
      <c r="M492" s="9"/>
    </row>
    <row r="493">
      <c r="A493" s="9"/>
      <c r="B493" s="9"/>
      <c r="C493" s="9"/>
      <c r="D493" s="9"/>
      <c r="E493" s="9"/>
      <c r="F493" s="9"/>
      <c r="G493" s="9"/>
      <c r="H493" s="9"/>
      <c r="I493" s="9"/>
      <c r="J493" s="9"/>
      <c r="K493" s="9"/>
      <c r="L493" s="9"/>
      <c r="M493" s="9"/>
    </row>
    <row r="494">
      <c r="A494" s="9"/>
      <c r="B494" s="9"/>
      <c r="C494" s="9"/>
      <c r="D494" s="9"/>
      <c r="E494" s="9"/>
      <c r="F494" s="9"/>
      <c r="G494" s="9"/>
      <c r="H494" s="9"/>
      <c r="I494" s="9"/>
      <c r="J494" s="9"/>
      <c r="K494" s="9"/>
      <c r="L494" s="9"/>
      <c r="M494" s="9"/>
    </row>
    <row r="495">
      <c r="A495" s="9"/>
      <c r="B495" s="9"/>
      <c r="C495" s="9"/>
      <c r="D495" s="9"/>
      <c r="E495" s="9"/>
      <c r="F495" s="9"/>
      <c r="G495" s="9"/>
      <c r="H495" s="9"/>
      <c r="I495" s="9"/>
      <c r="J495" s="9"/>
      <c r="K495" s="9"/>
      <c r="L495" s="9"/>
      <c r="M495" s="9"/>
    </row>
    <row r="496">
      <c r="A496" s="9"/>
      <c r="B496" s="9"/>
      <c r="C496" s="9"/>
      <c r="D496" s="9"/>
      <c r="E496" s="9"/>
      <c r="F496" s="9"/>
      <c r="G496" s="9"/>
      <c r="H496" s="9"/>
      <c r="I496" s="9"/>
      <c r="J496" s="9"/>
      <c r="K496" s="9"/>
      <c r="L496" s="9"/>
      <c r="M496" s="9"/>
    </row>
    <row r="497">
      <c r="A497" s="9"/>
      <c r="B497" s="9"/>
      <c r="C497" s="9"/>
      <c r="D497" s="9"/>
      <c r="E497" s="9"/>
      <c r="F497" s="9"/>
      <c r="G497" s="9"/>
      <c r="H497" s="9"/>
      <c r="I497" s="9"/>
      <c r="J497" s="9"/>
      <c r="K497" s="9"/>
      <c r="L497" s="9"/>
      <c r="M497" s="9"/>
    </row>
    <row r="498">
      <c r="A498" s="9"/>
      <c r="B498" s="9"/>
      <c r="C498" s="9"/>
      <c r="D498" s="9"/>
      <c r="E498" s="9"/>
      <c r="F498" s="9"/>
      <c r="G498" s="9"/>
      <c r="H498" s="9"/>
      <c r="I498" s="9"/>
      <c r="J498" s="9"/>
      <c r="K498" s="9"/>
      <c r="L498" s="9"/>
      <c r="M498" s="9"/>
    </row>
    <row r="499">
      <c r="A499" s="9"/>
      <c r="B499" s="9"/>
      <c r="C499" s="9"/>
      <c r="D499" s="9"/>
      <c r="E499" s="9"/>
      <c r="F499" s="9"/>
      <c r="G499" s="9"/>
      <c r="H499" s="9"/>
      <c r="I499" s="9"/>
      <c r="J499" s="9"/>
      <c r="K499" s="9"/>
      <c r="L499" s="9"/>
      <c r="M499" s="9"/>
    </row>
    <row r="500">
      <c r="A500" s="9"/>
      <c r="B500" s="9"/>
      <c r="C500" s="9"/>
      <c r="D500" s="9"/>
      <c r="E500" s="9"/>
      <c r="F500" s="9"/>
      <c r="G500" s="9"/>
      <c r="H500" s="9"/>
      <c r="I500" s="9"/>
      <c r="J500" s="9"/>
      <c r="K500" s="9"/>
      <c r="L500" s="9"/>
      <c r="M500" s="9"/>
    </row>
    <row r="501">
      <c r="A501" s="9"/>
      <c r="B501" s="9"/>
      <c r="C501" s="9"/>
      <c r="D501" s="9"/>
      <c r="E501" s="9"/>
      <c r="F501" s="9"/>
      <c r="G501" s="9"/>
      <c r="H501" s="9"/>
      <c r="I501" s="9"/>
      <c r="J501" s="9"/>
      <c r="K501" s="9"/>
      <c r="L501" s="9"/>
      <c r="M501" s="9"/>
    </row>
    <row r="502">
      <c r="A502" s="9"/>
      <c r="B502" s="9"/>
      <c r="C502" s="9"/>
      <c r="D502" s="9"/>
      <c r="E502" s="9"/>
      <c r="F502" s="9"/>
      <c r="G502" s="9"/>
      <c r="H502" s="9"/>
      <c r="I502" s="9"/>
      <c r="J502" s="9"/>
      <c r="K502" s="9"/>
      <c r="L502" s="9"/>
      <c r="M502" s="9"/>
    </row>
    <row r="503">
      <c r="A503" s="9"/>
      <c r="B503" s="9"/>
      <c r="C503" s="9"/>
      <c r="D503" s="9"/>
      <c r="E503" s="9"/>
      <c r="F503" s="9"/>
      <c r="G503" s="9"/>
      <c r="H503" s="9"/>
      <c r="I503" s="9"/>
      <c r="J503" s="9"/>
      <c r="K503" s="9"/>
      <c r="L503" s="9"/>
      <c r="M503" s="9"/>
    </row>
    <row r="504">
      <c r="A504" s="9"/>
      <c r="B504" s="9"/>
      <c r="C504" s="9"/>
      <c r="D504" s="9"/>
      <c r="E504" s="9"/>
      <c r="F504" s="9"/>
      <c r="G504" s="9"/>
      <c r="H504" s="9"/>
      <c r="I504" s="9"/>
      <c r="J504" s="9"/>
      <c r="K504" s="9"/>
      <c r="L504" s="9"/>
      <c r="M504" s="9"/>
    </row>
    <row r="505">
      <c r="A505" s="9"/>
      <c r="B505" s="9"/>
      <c r="C505" s="9"/>
      <c r="D505" s="9"/>
      <c r="E505" s="9"/>
      <c r="F505" s="9"/>
      <c r="G505" s="9"/>
      <c r="H505" s="9"/>
      <c r="I505" s="9"/>
      <c r="J505" s="9"/>
      <c r="K505" s="9"/>
      <c r="L505" s="9"/>
      <c r="M505" s="9"/>
    </row>
    <row r="506">
      <c r="A506" s="9"/>
      <c r="B506" s="9"/>
      <c r="C506" s="9"/>
      <c r="D506" s="9"/>
      <c r="E506" s="9"/>
      <c r="F506" s="9"/>
      <c r="G506" s="9"/>
      <c r="H506" s="9"/>
      <c r="I506" s="9"/>
      <c r="J506" s="9"/>
      <c r="K506" s="9"/>
      <c r="L506" s="9"/>
      <c r="M506" s="9"/>
    </row>
    <row r="507">
      <c r="A507" s="9"/>
      <c r="B507" s="9"/>
      <c r="C507" s="9"/>
      <c r="D507" s="9"/>
      <c r="E507" s="9"/>
      <c r="F507" s="9"/>
      <c r="G507" s="9"/>
      <c r="H507" s="9"/>
      <c r="I507" s="9"/>
      <c r="J507" s="9"/>
      <c r="K507" s="9"/>
      <c r="L507" s="9"/>
      <c r="M507" s="9"/>
    </row>
    <row r="508">
      <c r="A508" s="9"/>
      <c r="B508" s="9"/>
      <c r="C508" s="9"/>
      <c r="D508" s="9"/>
      <c r="E508" s="9"/>
      <c r="F508" s="9"/>
      <c r="G508" s="9"/>
      <c r="H508" s="9"/>
      <c r="I508" s="9"/>
      <c r="J508" s="9"/>
      <c r="K508" s="9"/>
      <c r="L508" s="9"/>
      <c r="M508" s="9"/>
    </row>
    <row r="509">
      <c r="A509" s="9"/>
      <c r="B509" s="9"/>
      <c r="C509" s="9"/>
      <c r="D509" s="9"/>
      <c r="E509" s="9"/>
      <c r="F509" s="9"/>
      <c r="G509" s="9"/>
      <c r="H509" s="9"/>
      <c r="I509" s="9"/>
      <c r="J509" s="9"/>
      <c r="K509" s="9"/>
      <c r="L509" s="9"/>
      <c r="M509" s="9"/>
    </row>
    <row r="510">
      <c r="A510" s="9"/>
      <c r="B510" s="9"/>
      <c r="C510" s="9"/>
      <c r="D510" s="9"/>
      <c r="E510" s="9"/>
      <c r="F510" s="9"/>
      <c r="G510" s="9"/>
      <c r="H510" s="9"/>
      <c r="I510" s="9"/>
      <c r="J510" s="9"/>
      <c r="K510" s="9"/>
      <c r="L510" s="9"/>
      <c r="M510" s="9"/>
    </row>
    <row r="511">
      <c r="A511" s="9"/>
      <c r="B511" s="9"/>
      <c r="C511" s="9"/>
      <c r="D511" s="9"/>
      <c r="E511" s="9"/>
      <c r="F511" s="9"/>
      <c r="G511" s="9"/>
      <c r="H511" s="9"/>
      <c r="I511" s="9"/>
      <c r="J511" s="9"/>
      <c r="K511" s="9"/>
      <c r="L511" s="9"/>
      <c r="M511" s="9"/>
    </row>
    <row r="512">
      <c r="A512" s="9"/>
      <c r="B512" s="9"/>
      <c r="C512" s="9"/>
      <c r="D512" s="9"/>
      <c r="E512" s="9"/>
      <c r="F512" s="9"/>
      <c r="G512" s="9"/>
      <c r="H512" s="9"/>
      <c r="I512" s="9"/>
      <c r="J512" s="9"/>
      <c r="K512" s="9"/>
      <c r="L512" s="9"/>
      <c r="M512" s="9"/>
    </row>
    <row r="513">
      <c r="A513" s="9"/>
      <c r="B513" s="9"/>
      <c r="C513" s="9"/>
      <c r="D513" s="9"/>
      <c r="E513" s="9"/>
      <c r="F513" s="9"/>
      <c r="G513" s="9"/>
      <c r="H513" s="9"/>
      <c r="I513" s="9"/>
      <c r="J513" s="9"/>
      <c r="K513" s="9"/>
      <c r="L513" s="9"/>
      <c r="M513" s="9"/>
    </row>
    <row r="514">
      <c r="A514" s="9"/>
      <c r="B514" s="9"/>
      <c r="C514" s="9"/>
      <c r="D514" s="9"/>
      <c r="E514" s="9"/>
      <c r="F514" s="9"/>
      <c r="G514" s="9"/>
      <c r="H514" s="9"/>
      <c r="I514" s="9"/>
      <c r="J514" s="9"/>
      <c r="K514" s="9"/>
      <c r="L514" s="9"/>
      <c r="M514" s="9"/>
    </row>
    <row r="515">
      <c r="A515" s="9"/>
      <c r="B515" s="9"/>
      <c r="C515" s="9"/>
      <c r="D515" s="9"/>
      <c r="E515" s="9"/>
      <c r="F515" s="9"/>
      <c r="G515" s="9"/>
      <c r="H515" s="9"/>
      <c r="I515" s="9"/>
      <c r="J515" s="9"/>
      <c r="K515" s="9"/>
      <c r="L515" s="9"/>
      <c r="M515" s="9"/>
    </row>
    <row r="516">
      <c r="A516" s="9"/>
      <c r="B516" s="9"/>
      <c r="C516" s="9"/>
      <c r="D516" s="9"/>
      <c r="E516" s="9"/>
      <c r="F516" s="9"/>
      <c r="G516" s="9"/>
      <c r="H516" s="9"/>
      <c r="I516" s="9"/>
      <c r="J516" s="9"/>
      <c r="K516" s="9"/>
      <c r="L516" s="9"/>
      <c r="M516" s="9"/>
    </row>
    <row r="517">
      <c r="A517" s="9"/>
      <c r="B517" s="9"/>
      <c r="C517" s="9"/>
      <c r="D517" s="9"/>
      <c r="E517" s="9"/>
      <c r="F517" s="9"/>
      <c r="G517" s="9"/>
      <c r="H517" s="9"/>
      <c r="I517" s="9"/>
      <c r="J517" s="9"/>
      <c r="K517" s="9"/>
      <c r="L517" s="9"/>
      <c r="M517" s="9"/>
    </row>
    <row r="518">
      <c r="A518" s="9"/>
      <c r="B518" s="9"/>
      <c r="C518" s="9"/>
      <c r="D518" s="9"/>
      <c r="E518" s="9"/>
      <c r="F518" s="9"/>
      <c r="G518" s="9"/>
      <c r="H518" s="9"/>
      <c r="I518" s="9"/>
      <c r="J518" s="9"/>
      <c r="K518" s="9"/>
      <c r="L518" s="9"/>
      <c r="M518" s="9"/>
    </row>
    <row r="519">
      <c r="A519" s="9"/>
      <c r="B519" s="9"/>
      <c r="C519" s="9"/>
      <c r="D519" s="9"/>
      <c r="E519" s="9"/>
      <c r="F519" s="9"/>
      <c r="G519" s="9"/>
      <c r="H519" s="9"/>
      <c r="I519" s="9"/>
      <c r="J519" s="9"/>
      <c r="K519" s="9"/>
      <c r="L519" s="9"/>
      <c r="M519" s="9"/>
    </row>
    <row r="520">
      <c r="A520" s="9"/>
      <c r="B520" s="9"/>
      <c r="C520" s="9"/>
      <c r="D520" s="9"/>
      <c r="E520" s="9"/>
      <c r="F520" s="9"/>
      <c r="G520" s="9"/>
      <c r="H520" s="9"/>
      <c r="I520" s="9"/>
      <c r="J520" s="9"/>
      <c r="K520" s="9"/>
      <c r="L520" s="9"/>
      <c r="M520" s="9"/>
    </row>
    <row r="521">
      <c r="A521" s="9"/>
      <c r="B521" s="9"/>
      <c r="C521" s="9"/>
      <c r="D521" s="9"/>
      <c r="E521" s="9"/>
      <c r="F521" s="9"/>
      <c r="G521" s="9"/>
      <c r="H521" s="9"/>
      <c r="I521" s="9"/>
      <c r="J521" s="9"/>
      <c r="K521" s="9"/>
      <c r="L521" s="9"/>
      <c r="M521" s="9"/>
    </row>
    <row r="522">
      <c r="A522" s="9"/>
      <c r="B522" s="9"/>
      <c r="C522" s="9"/>
      <c r="D522" s="9"/>
      <c r="E522" s="9"/>
      <c r="F522" s="9"/>
      <c r="G522" s="9"/>
      <c r="H522" s="9"/>
      <c r="I522" s="9"/>
      <c r="J522" s="9"/>
      <c r="K522" s="9"/>
      <c r="L522" s="9"/>
      <c r="M522" s="9"/>
    </row>
    <row r="523">
      <c r="A523" s="9"/>
      <c r="B523" s="9"/>
      <c r="C523" s="9"/>
      <c r="D523" s="9"/>
      <c r="E523" s="9"/>
      <c r="F523" s="9"/>
      <c r="G523" s="9"/>
      <c r="H523" s="9"/>
      <c r="I523" s="9"/>
      <c r="J523" s="9"/>
      <c r="K523" s="9"/>
      <c r="L523" s="9"/>
      <c r="M523" s="9"/>
    </row>
    <row r="524">
      <c r="A524" s="9"/>
      <c r="B524" s="9"/>
      <c r="C524" s="9"/>
      <c r="D524" s="9"/>
      <c r="E524" s="9"/>
      <c r="F524" s="9"/>
      <c r="G524" s="9"/>
      <c r="H524" s="9"/>
      <c r="I524" s="9"/>
      <c r="J524" s="9"/>
      <c r="K524" s="9"/>
      <c r="L524" s="9"/>
      <c r="M524" s="9"/>
    </row>
    <row r="525">
      <c r="A525" s="9"/>
      <c r="B525" s="9"/>
      <c r="C525" s="9"/>
      <c r="D525" s="9"/>
      <c r="E525" s="9"/>
      <c r="F525" s="9"/>
      <c r="G525" s="9"/>
      <c r="H525" s="9"/>
      <c r="I525" s="9"/>
      <c r="J525" s="9"/>
      <c r="K525" s="9"/>
      <c r="L525" s="9"/>
      <c r="M525" s="9"/>
    </row>
    <row r="526">
      <c r="A526" s="9"/>
      <c r="B526" s="9"/>
      <c r="C526" s="9"/>
      <c r="D526" s="9"/>
      <c r="E526" s="9"/>
      <c r="F526" s="9"/>
      <c r="G526" s="9"/>
      <c r="H526" s="9"/>
      <c r="I526" s="9"/>
      <c r="J526" s="9"/>
      <c r="K526" s="9"/>
      <c r="L526" s="9"/>
      <c r="M526" s="9"/>
    </row>
    <row r="527">
      <c r="A527" s="9"/>
      <c r="B527" s="9"/>
      <c r="C527" s="9"/>
      <c r="D527" s="9"/>
      <c r="E527" s="9"/>
      <c r="F527" s="9"/>
      <c r="G527" s="9"/>
      <c r="H527" s="9"/>
      <c r="I527" s="9"/>
      <c r="J527" s="9"/>
      <c r="K527" s="9"/>
      <c r="L527" s="9"/>
      <c r="M527" s="9"/>
    </row>
    <row r="528">
      <c r="A528" s="9"/>
      <c r="B528" s="9"/>
      <c r="C528" s="9"/>
      <c r="D528" s="9"/>
      <c r="E528" s="9"/>
      <c r="F528" s="9"/>
      <c r="G528" s="9"/>
      <c r="H528" s="9"/>
      <c r="I528" s="9"/>
      <c r="J528" s="9"/>
      <c r="K528" s="9"/>
      <c r="L528" s="9"/>
      <c r="M528" s="9"/>
    </row>
    <row r="529">
      <c r="A529" s="9"/>
      <c r="B529" s="9"/>
      <c r="C529" s="9"/>
      <c r="D529" s="9"/>
      <c r="E529" s="9"/>
      <c r="F529" s="9"/>
      <c r="G529" s="9"/>
      <c r="H529" s="9"/>
      <c r="I529" s="9"/>
      <c r="J529" s="9"/>
      <c r="K529" s="9"/>
      <c r="L529" s="9"/>
      <c r="M529" s="9"/>
    </row>
    <row r="530">
      <c r="A530" s="9"/>
      <c r="B530" s="9"/>
      <c r="C530" s="9"/>
      <c r="D530" s="9"/>
      <c r="E530" s="9"/>
      <c r="F530" s="9"/>
      <c r="G530" s="9"/>
      <c r="H530" s="9"/>
      <c r="I530" s="9"/>
      <c r="J530" s="9"/>
      <c r="K530" s="9"/>
      <c r="L530" s="9"/>
      <c r="M530" s="9"/>
    </row>
    <row r="531">
      <c r="A531" s="9"/>
      <c r="B531" s="9"/>
      <c r="C531" s="9"/>
      <c r="D531" s="9"/>
      <c r="E531" s="9"/>
      <c r="F531" s="9"/>
      <c r="G531" s="9"/>
      <c r="H531" s="9"/>
      <c r="I531" s="9"/>
      <c r="J531" s="9"/>
      <c r="K531" s="9"/>
      <c r="L531" s="9"/>
      <c r="M531" s="9"/>
    </row>
    <row r="532">
      <c r="A532" s="9"/>
      <c r="B532" s="9"/>
      <c r="C532" s="9"/>
      <c r="D532" s="9"/>
      <c r="E532" s="9"/>
      <c r="F532" s="9"/>
      <c r="G532" s="9"/>
      <c r="H532" s="9"/>
      <c r="I532" s="9"/>
      <c r="J532" s="9"/>
      <c r="K532" s="9"/>
      <c r="L532" s="9"/>
      <c r="M532" s="9"/>
    </row>
    <row r="533">
      <c r="A533" s="9"/>
      <c r="B533" s="9"/>
      <c r="C533" s="9"/>
      <c r="D533" s="9"/>
      <c r="E533" s="9"/>
      <c r="F533" s="9"/>
      <c r="G533" s="9"/>
      <c r="H533" s="9"/>
      <c r="I533" s="9"/>
      <c r="J533" s="9"/>
      <c r="K533" s="9"/>
      <c r="L533" s="9"/>
      <c r="M533" s="9"/>
    </row>
    <row r="534">
      <c r="A534" s="9"/>
      <c r="B534" s="9"/>
      <c r="C534" s="9"/>
      <c r="D534" s="9"/>
      <c r="E534" s="9"/>
      <c r="F534" s="9"/>
      <c r="G534" s="9"/>
      <c r="H534" s="9"/>
      <c r="I534" s="9"/>
      <c r="J534" s="9"/>
      <c r="K534" s="9"/>
      <c r="L534" s="9"/>
      <c r="M534" s="9"/>
    </row>
    <row r="535">
      <c r="A535" s="9"/>
      <c r="B535" s="9"/>
      <c r="C535" s="9"/>
      <c r="D535" s="9"/>
      <c r="E535" s="9"/>
      <c r="F535" s="9"/>
      <c r="G535" s="9"/>
      <c r="H535" s="9"/>
      <c r="I535" s="9"/>
      <c r="J535" s="9"/>
      <c r="K535" s="9"/>
      <c r="L535" s="9"/>
      <c r="M535" s="9"/>
    </row>
    <row r="536">
      <c r="A536" s="9"/>
      <c r="B536" s="9"/>
      <c r="C536" s="9"/>
      <c r="D536" s="9"/>
      <c r="E536" s="9"/>
      <c r="F536" s="9"/>
      <c r="G536" s="9"/>
      <c r="H536" s="9"/>
      <c r="I536" s="9"/>
      <c r="J536" s="9"/>
      <c r="K536" s="9"/>
      <c r="L536" s="9"/>
      <c r="M536" s="9"/>
    </row>
    <row r="537">
      <c r="A537" s="9"/>
      <c r="B537" s="9"/>
      <c r="C537" s="9"/>
      <c r="D537" s="9"/>
      <c r="E537" s="9"/>
      <c r="F537" s="9"/>
      <c r="G537" s="9"/>
      <c r="H537" s="9"/>
      <c r="I537" s="9"/>
      <c r="J537" s="9"/>
      <c r="K537" s="9"/>
      <c r="L537" s="9"/>
      <c r="M537" s="9"/>
    </row>
    <row r="538">
      <c r="A538" s="9"/>
      <c r="B538" s="9"/>
      <c r="C538" s="9"/>
      <c r="D538" s="9"/>
      <c r="E538" s="9"/>
      <c r="F538" s="9"/>
      <c r="G538" s="9"/>
      <c r="H538" s="9"/>
      <c r="I538" s="9"/>
      <c r="J538" s="9"/>
      <c r="K538" s="9"/>
      <c r="L538" s="9"/>
      <c r="M538" s="9"/>
    </row>
    <row r="539">
      <c r="A539" s="9"/>
      <c r="B539" s="9"/>
      <c r="C539" s="9"/>
      <c r="D539" s="9"/>
      <c r="E539" s="9"/>
      <c r="F539" s="9"/>
      <c r="G539" s="9"/>
      <c r="H539" s="9"/>
      <c r="I539" s="9"/>
      <c r="J539" s="9"/>
      <c r="K539" s="9"/>
      <c r="L539" s="9"/>
      <c r="M539" s="9"/>
    </row>
    <row r="540">
      <c r="A540" s="9"/>
      <c r="B540" s="9"/>
      <c r="C540" s="9"/>
      <c r="D540" s="9"/>
      <c r="E540" s="9"/>
      <c r="F540" s="9"/>
      <c r="G540" s="9"/>
      <c r="H540" s="9"/>
      <c r="I540" s="9"/>
      <c r="J540" s="9"/>
      <c r="K540" s="9"/>
      <c r="L540" s="9"/>
      <c r="M540" s="9"/>
    </row>
    <row r="541">
      <c r="A541" s="9"/>
      <c r="B541" s="9"/>
      <c r="C541" s="9"/>
      <c r="D541" s="9"/>
      <c r="E541" s="9"/>
      <c r="F541" s="9"/>
      <c r="G541" s="9"/>
      <c r="H541" s="9"/>
      <c r="I541" s="9"/>
      <c r="J541" s="9"/>
      <c r="K541" s="9"/>
      <c r="L541" s="9"/>
      <c r="M541" s="9"/>
    </row>
    <row r="542">
      <c r="A542" s="9"/>
      <c r="B542" s="9"/>
      <c r="C542" s="9"/>
      <c r="D542" s="9"/>
      <c r="E542" s="9"/>
      <c r="F542" s="9"/>
      <c r="G542" s="9"/>
      <c r="H542" s="9"/>
      <c r="I542" s="9"/>
      <c r="J542" s="9"/>
      <c r="K542" s="9"/>
      <c r="L542" s="9"/>
      <c r="M542" s="9"/>
    </row>
    <row r="543">
      <c r="A543" s="9"/>
      <c r="B543" s="9"/>
      <c r="C543" s="9"/>
      <c r="D543" s="9"/>
      <c r="E543" s="9"/>
      <c r="F543" s="9"/>
      <c r="G543" s="9"/>
      <c r="H543" s="9"/>
      <c r="I543" s="9"/>
      <c r="J543" s="9"/>
      <c r="K543" s="9"/>
      <c r="L543" s="9"/>
      <c r="M543" s="9"/>
    </row>
    <row r="544">
      <c r="A544" s="9"/>
      <c r="B544" s="9"/>
      <c r="C544" s="9"/>
      <c r="D544" s="9"/>
      <c r="E544" s="9"/>
      <c r="F544" s="9"/>
      <c r="G544" s="9"/>
      <c r="H544" s="9"/>
      <c r="I544" s="9"/>
      <c r="J544" s="9"/>
      <c r="K544" s="9"/>
      <c r="L544" s="9"/>
      <c r="M544" s="9"/>
    </row>
    <row r="545">
      <c r="A545" s="9"/>
      <c r="B545" s="9"/>
      <c r="C545" s="9"/>
      <c r="D545" s="9"/>
      <c r="E545" s="9"/>
      <c r="F545" s="9"/>
      <c r="G545" s="9"/>
      <c r="H545" s="9"/>
      <c r="I545" s="9"/>
      <c r="J545" s="9"/>
      <c r="K545" s="9"/>
      <c r="L545" s="9"/>
      <c r="M545" s="9"/>
    </row>
    <row r="546">
      <c r="A546" s="9"/>
      <c r="B546" s="9"/>
      <c r="C546" s="9"/>
      <c r="D546" s="9"/>
      <c r="E546" s="9"/>
      <c r="F546" s="9"/>
      <c r="G546" s="9"/>
      <c r="H546" s="9"/>
      <c r="I546" s="9"/>
      <c r="J546" s="9"/>
      <c r="K546" s="9"/>
      <c r="L546" s="9"/>
      <c r="M546" s="9"/>
    </row>
    <row r="547">
      <c r="A547" s="9"/>
      <c r="B547" s="9"/>
      <c r="C547" s="9"/>
      <c r="D547" s="9"/>
      <c r="E547" s="9"/>
      <c r="F547" s="9"/>
      <c r="G547" s="9"/>
      <c r="H547" s="9"/>
      <c r="I547" s="9"/>
      <c r="J547" s="9"/>
      <c r="K547" s="9"/>
      <c r="L547" s="9"/>
      <c r="M547" s="9"/>
    </row>
    <row r="548">
      <c r="A548" s="9"/>
      <c r="B548" s="9"/>
      <c r="C548" s="9"/>
      <c r="D548" s="9"/>
      <c r="E548" s="9"/>
      <c r="F548" s="9"/>
      <c r="G548" s="9"/>
      <c r="H548" s="9"/>
      <c r="I548" s="9"/>
      <c r="J548" s="9"/>
      <c r="K548" s="9"/>
      <c r="L548" s="9"/>
      <c r="M548" s="9"/>
    </row>
    <row r="549">
      <c r="A549" s="9"/>
      <c r="B549" s="9"/>
      <c r="C549" s="9"/>
      <c r="D549" s="9"/>
      <c r="E549" s="9"/>
      <c r="F549" s="9"/>
      <c r="G549" s="9"/>
      <c r="H549" s="9"/>
      <c r="I549" s="9"/>
      <c r="J549" s="9"/>
      <c r="K549" s="9"/>
      <c r="L549" s="9"/>
      <c r="M549" s="9"/>
    </row>
    <row r="550">
      <c r="A550" s="9"/>
      <c r="B550" s="9"/>
      <c r="C550" s="9"/>
      <c r="D550" s="9"/>
      <c r="E550" s="9"/>
      <c r="F550" s="9"/>
      <c r="G550" s="9"/>
      <c r="H550" s="9"/>
      <c r="I550" s="9"/>
      <c r="J550" s="9"/>
      <c r="K550" s="9"/>
      <c r="L550" s="9"/>
      <c r="M550" s="9"/>
    </row>
    <row r="551">
      <c r="A551" s="9"/>
      <c r="B551" s="9"/>
      <c r="C551" s="9"/>
      <c r="D551" s="9"/>
      <c r="E551" s="9"/>
      <c r="F551" s="9"/>
      <c r="G551" s="9"/>
      <c r="H551" s="9"/>
      <c r="I551" s="9"/>
      <c r="J551" s="9"/>
      <c r="K551" s="9"/>
      <c r="L551" s="9"/>
      <c r="M551" s="9"/>
    </row>
    <row r="552">
      <c r="A552" s="9"/>
      <c r="B552" s="9"/>
      <c r="C552" s="9"/>
      <c r="D552" s="9"/>
      <c r="E552" s="9"/>
      <c r="F552" s="9"/>
      <c r="G552" s="9"/>
      <c r="H552" s="9"/>
      <c r="I552" s="9"/>
      <c r="J552" s="9"/>
      <c r="K552" s="9"/>
      <c r="L552" s="9"/>
      <c r="M552" s="9"/>
    </row>
    <row r="553">
      <c r="A553" s="9"/>
      <c r="B553" s="9"/>
      <c r="C553" s="9"/>
      <c r="D553" s="9"/>
      <c r="E553" s="9"/>
      <c r="F553" s="9"/>
      <c r="G553" s="9"/>
      <c r="H553" s="9"/>
      <c r="I553" s="9"/>
      <c r="J553" s="9"/>
      <c r="K553" s="9"/>
      <c r="L553" s="9"/>
      <c r="M553" s="9"/>
    </row>
    <row r="554">
      <c r="A554" s="9"/>
      <c r="B554" s="9"/>
      <c r="C554" s="9"/>
      <c r="D554" s="9"/>
      <c r="E554" s="9"/>
      <c r="F554" s="9"/>
      <c r="G554" s="9"/>
      <c r="H554" s="9"/>
      <c r="I554" s="9"/>
      <c r="J554" s="9"/>
      <c r="K554" s="9"/>
      <c r="L554" s="9"/>
      <c r="M554" s="9"/>
    </row>
    <row r="555">
      <c r="A555" s="9"/>
      <c r="B555" s="9"/>
      <c r="C555" s="9"/>
      <c r="D555" s="9"/>
      <c r="E555" s="9"/>
      <c r="F555" s="9"/>
      <c r="G555" s="9"/>
      <c r="H555" s="9"/>
      <c r="I555" s="9"/>
      <c r="J555" s="9"/>
      <c r="K555" s="9"/>
      <c r="L555" s="9"/>
      <c r="M555" s="9"/>
    </row>
    <row r="556">
      <c r="A556" s="9"/>
      <c r="B556" s="9"/>
      <c r="C556" s="9"/>
      <c r="D556" s="9"/>
      <c r="E556" s="9"/>
      <c r="F556" s="9"/>
      <c r="G556" s="9"/>
      <c r="H556" s="9"/>
      <c r="I556" s="9"/>
      <c r="J556" s="9"/>
      <c r="K556" s="9"/>
      <c r="L556" s="9"/>
      <c r="M556" s="9"/>
    </row>
    <row r="557">
      <c r="A557" s="9"/>
      <c r="B557" s="9"/>
      <c r="C557" s="9"/>
      <c r="D557" s="9"/>
      <c r="E557" s="9"/>
      <c r="F557" s="9"/>
      <c r="G557" s="9"/>
      <c r="H557" s="9"/>
      <c r="I557" s="9"/>
      <c r="J557" s="9"/>
      <c r="K557" s="9"/>
      <c r="L557" s="9"/>
      <c r="M557" s="9"/>
    </row>
    <row r="558">
      <c r="A558" s="9"/>
      <c r="B558" s="9"/>
      <c r="C558" s="9"/>
      <c r="D558" s="9"/>
      <c r="E558" s="9"/>
      <c r="F558" s="9"/>
      <c r="G558" s="9"/>
      <c r="H558" s="9"/>
      <c r="I558" s="9"/>
      <c r="J558" s="9"/>
      <c r="K558" s="9"/>
      <c r="L558" s="9"/>
      <c r="M558" s="9"/>
    </row>
    <row r="559">
      <c r="A559" s="9"/>
      <c r="B559" s="9"/>
      <c r="C559" s="9"/>
      <c r="D559" s="9"/>
      <c r="E559" s="9"/>
      <c r="F559" s="9"/>
      <c r="G559" s="9"/>
      <c r="H559" s="9"/>
      <c r="I559" s="9"/>
      <c r="J559" s="9"/>
      <c r="K559" s="9"/>
      <c r="L559" s="9"/>
      <c r="M559" s="9"/>
    </row>
    <row r="560">
      <c r="A560" s="9"/>
      <c r="B560" s="9"/>
      <c r="C560" s="9"/>
      <c r="D560" s="9"/>
      <c r="E560" s="9"/>
      <c r="F560" s="9"/>
      <c r="G560" s="9"/>
      <c r="H560" s="9"/>
      <c r="I560" s="9"/>
      <c r="J560" s="9"/>
      <c r="K560" s="9"/>
      <c r="L560" s="9"/>
      <c r="M560" s="9"/>
    </row>
    <row r="561">
      <c r="A561" s="9"/>
      <c r="B561" s="9"/>
      <c r="C561" s="9"/>
      <c r="D561" s="9"/>
      <c r="E561" s="9"/>
      <c r="F561" s="9"/>
      <c r="G561" s="9"/>
      <c r="H561" s="9"/>
      <c r="I561" s="9"/>
      <c r="J561" s="9"/>
      <c r="K561" s="9"/>
      <c r="L561" s="9"/>
      <c r="M561" s="9"/>
    </row>
    <row r="562">
      <c r="A562" s="9"/>
      <c r="B562" s="9"/>
      <c r="C562" s="9"/>
      <c r="D562" s="9"/>
      <c r="E562" s="9"/>
      <c r="F562" s="9"/>
      <c r="G562" s="9"/>
      <c r="H562" s="9"/>
      <c r="I562" s="9"/>
      <c r="J562" s="9"/>
      <c r="K562" s="9"/>
      <c r="L562" s="9"/>
      <c r="M562" s="9"/>
    </row>
    <row r="563">
      <c r="A563" s="9"/>
      <c r="B563" s="9"/>
      <c r="C563" s="9"/>
      <c r="D563" s="9"/>
      <c r="E563" s="9"/>
      <c r="F563" s="9"/>
      <c r="G563" s="9"/>
      <c r="H563" s="9"/>
      <c r="I563" s="9"/>
      <c r="J563" s="9"/>
      <c r="K563" s="9"/>
      <c r="L563" s="9"/>
      <c r="M563" s="9"/>
    </row>
    <row r="564">
      <c r="A564" s="9"/>
      <c r="B564" s="9"/>
      <c r="C564" s="9"/>
      <c r="D564" s="9"/>
      <c r="E564" s="9"/>
      <c r="F564" s="9"/>
      <c r="G564" s="9"/>
      <c r="H564" s="9"/>
      <c r="I564" s="9"/>
      <c r="J564" s="9"/>
      <c r="K564" s="9"/>
      <c r="L564" s="9"/>
      <c r="M564" s="9"/>
    </row>
    <row r="565">
      <c r="A565" s="9"/>
      <c r="B565" s="9"/>
      <c r="C565" s="9"/>
      <c r="D565" s="9"/>
      <c r="E565" s="9"/>
      <c r="F565" s="9"/>
      <c r="G565" s="9"/>
      <c r="H565" s="9"/>
      <c r="I565" s="9"/>
      <c r="J565" s="9"/>
      <c r="K565" s="9"/>
      <c r="L565" s="9"/>
      <c r="M565" s="9"/>
    </row>
    <row r="566">
      <c r="A566" s="9"/>
      <c r="B566" s="9"/>
      <c r="C566" s="9"/>
      <c r="D566" s="9"/>
      <c r="E566" s="9"/>
      <c r="F566" s="9"/>
      <c r="G566" s="9"/>
      <c r="H566" s="9"/>
      <c r="I566" s="9"/>
      <c r="J566" s="9"/>
      <c r="K566" s="9"/>
      <c r="L566" s="9"/>
      <c r="M566" s="9"/>
    </row>
    <row r="567">
      <c r="A567" s="9"/>
      <c r="B567" s="9"/>
      <c r="C567" s="9"/>
      <c r="D567" s="9"/>
      <c r="E567" s="9"/>
      <c r="F567" s="9"/>
      <c r="G567" s="9"/>
      <c r="H567" s="9"/>
      <c r="I567" s="9"/>
      <c r="J567" s="9"/>
      <c r="K567" s="9"/>
      <c r="L567" s="9"/>
      <c r="M567" s="9"/>
    </row>
    <row r="568">
      <c r="A568" s="9"/>
      <c r="B568" s="9"/>
      <c r="C568" s="9"/>
      <c r="D568" s="9"/>
      <c r="E568" s="9"/>
      <c r="F568" s="9"/>
      <c r="G568" s="9"/>
      <c r="H568" s="9"/>
      <c r="I568" s="9"/>
      <c r="J568" s="9"/>
      <c r="K568" s="9"/>
      <c r="L568" s="9"/>
      <c r="M568" s="9"/>
    </row>
    <row r="569">
      <c r="A569" s="9"/>
      <c r="B569" s="9"/>
      <c r="C569" s="9"/>
      <c r="D569" s="9"/>
      <c r="E569" s="9"/>
      <c r="F569" s="9"/>
      <c r="G569" s="9"/>
      <c r="H569" s="9"/>
      <c r="I569" s="9"/>
      <c r="J569" s="9"/>
      <c r="K569" s="9"/>
      <c r="L569" s="9"/>
      <c r="M569" s="9"/>
    </row>
    <row r="570">
      <c r="A570" s="9"/>
      <c r="B570" s="9"/>
      <c r="C570" s="9"/>
      <c r="D570" s="9"/>
      <c r="E570" s="9"/>
      <c r="F570" s="9"/>
      <c r="G570" s="9"/>
      <c r="H570" s="9"/>
      <c r="I570" s="9"/>
      <c r="J570" s="9"/>
      <c r="K570" s="9"/>
      <c r="L570" s="9"/>
      <c r="M570" s="9"/>
    </row>
    <row r="571">
      <c r="A571" s="9"/>
      <c r="B571" s="9"/>
      <c r="C571" s="9"/>
      <c r="D571" s="9"/>
      <c r="E571" s="9"/>
      <c r="F571" s="9"/>
      <c r="G571" s="9"/>
      <c r="H571" s="9"/>
      <c r="I571" s="9"/>
      <c r="J571" s="9"/>
      <c r="K571" s="9"/>
      <c r="L571" s="9"/>
      <c r="M571" s="9"/>
    </row>
    <row r="572">
      <c r="A572" s="9"/>
      <c r="B572" s="9"/>
      <c r="C572" s="9"/>
      <c r="D572" s="9"/>
      <c r="E572" s="9"/>
      <c r="F572" s="9"/>
      <c r="G572" s="9"/>
      <c r="H572" s="9"/>
      <c r="I572" s="9"/>
      <c r="J572" s="9"/>
      <c r="K572" s="9"/>
      <c r="L572" s="9"/>
      <c r="M572" s="9"/>
    </row>
    <row r="573">
      <c r="A573" s="9"/>
      <c r="B573" s="9"/>
      <c r="C573" s="9"/>
      <c r="D573" s="9"/>
      <c r="E573" s="9"/>
      <c r="F573" s="9"/>
      <c r="G573" s="9"/>
      <c r="H573" s="9"/>
      <c r="I573" s="9"/>
      <c r="J573" s="9"/>
      <c r="K573" s="9"/>
      <c r="L573" s="9"/>
      <c r="M573" s="9"/>
    </row>
    <row r="574">
      <c r="A574" s="9"/>
      <c r="B574" s="9"/>
      <c r="C574" s="9"/>
      <c r="D574" s="9"/>
      <c r="E574" s="9"/>
      <c r="F574" s="9"/>
      <c r="G574" s="9"/>
      <c r="H574" s="9"/>
      <c r="I574" s="9"/>
      <c r="J574" s="9"/>
      <c r="K574" s="9"/>
      <c r="L574" s="9"/>
      <c r="M574" s="9"/>
    </row>
    <row r="575">
      <c r="A575" s="9"/>
      <c r="B575" s="9"/>
      <c r="C575" s="9"/>
      <c r="D575" s="9"/>
      <c r="E575" s="9"/>
      <c r="F575" s="9"/>
      <c r="G575" s="9"/>
      <c r="H575" s="9"/>
      <c r="I575" s="9"/>
      <c r="J575" s="9"/>
      <c r="K575" s="9"/>
      <c r="L575" s="9"/>
      <c r="M575" s="9"/>
    </row>
    <row r="576">
      <c r="A576" s="9"/>
      <c r="B576" s="9"/>
      <c r="C576" s="9"/>
      <c r="D576" s="9"/>
      <c r="E576" s="9"/>
      <c r="F576" s="9"/>
      <c r="G576" s="9"/>
      <c r="H576" s="9"/>
      <c r="I576" s="9"/>
      <c r="J576" s="9"/>
      <c r="K576" s="9"/>
      <c r="L576" s="9"/>
      <c r="M576" s="9"/>
    </row>
    <row r="577">
      <c r="A577" s="9"/>
      <c r="B577" s="9"/>
      <c r="C577" s="9"/>
      <c r="D577" s="9"/>
      <c r="E577" s="9"/>
      <c r="F577" s="9"/>
      <c r="G577" s="9"/>
      <c r="H577" s="9"/>
      <c r="I577" s="9"/>
      <c r="J577" s="9"/>
      <c r="K577" s="9"/>
      <c r="L577" s="9"/>
      <c r="M577" s="9"/>
    </row>
    <row r="578">
      <c r="A578" s="9"/>
      <c r="B578" s="9"/>
      <c r="C578" s="9"/>
      <c r="D578" s="9"/>
      <c r="E578" s="9"/>
      <c r="F578" s="9"/>
      <c r="G578" s="9"/>
      <c r="H578" s="9"/>
      <c r="I578" s="9"/>
      <c r="J578" s="9"/>
      <c r="K578" s="9"/>
      <c r="L578" s="9"/>
      <c r="M578" s="9"/>
    </row>
    <row r="579">
      <c r="A579" s="9"/>
      <c r="B579" s="9"/>
      <c r="C579" s="9"/>
      <c r="D579" s="9"/>
      <c r="E579" s="9"/>
      <c r="F579" s="9"/>
      <c r="G579" s="9"/>
      <c r="H579" s="9"/>
      <c r="I579" s="9"/>
      <c r="J579" s="9"/>
      <c r="K579" s="9"/>
      <c r="L579" s="9"/>
      <c r="M579" s="9"/>
    </row>
    <row r="580">
      <c r="A580" s="9"/>
      <c r="B580" s="9"/>
      <c r="C580" s="9"/>
      <c r="D580" s="9"/>
      <c r="E580" s="9"/>
      <c r="F580" s="9"/>
      <c r="G580" s="9"/>
      <c r="H580" s="9"/>
      <c r="I580" s="9"/>
      <c r="J580" s="9"/>
      <c r="K580" s="9"/>
      <c r="L580" s="9"/>
      <c r="M580" s="9"/>
    </row>
    <row r="581">
      <c r="A581" s="9"/>
      <c r="B581" s="9"/>
      <c r="C581" s="9"/>
      <c r="D581" s="9"/>
      <c r="E581" s="9"/>
      <c r="F581" s="9"/>
      <c r="G581" s="9"/>
      <c r="H581" s="9"/>
      <c r="I581" s="9"/>
      <c r="J581" s="9"/>
      <c r="K581" s="9"/>
      <c r="L581" s="9"/>
      <c r="M581" s="9"/>
    </row>
    <row r="582">
      <c r="A582" s="9"/>
      <c r="B582" s="9"/>
      <c r="C582" s="9"/>
      <c r="D582" s="9"/>
      <c r="E582" s="9"/>
      <c r="F582" s="9"/>
      <c r="G582" s="9"/>
      <c r="H582" s="9"/>
      <c r="I582" s="9"/>
      <c r="J582" s="9"/>
      <c r="K582" s="9"/>
      <c r="L582" s="9"/>
      <c r="M582" s="9"/>
    </row>
    <row r="583">
      <c r="A583" s="9"/>
      <c r="B583" s="9"/>
      <c r="C583" s="9"/>
      <c r="D583" s="9"/>
      <c r="E583" s="9"/>
      <c r="F583" s="9"/>
      <c r="G583" s="9"/>
      <c r="H583" s="9"/>
      <c r="I583" s="9"/>
      <c r="J583" s="9"/>
      <c r="K583" s="9"/>
      <c r="L583" s="9"/>
      <c r="M583" s="9"/>
    </row>
    <row r="584">
      <c r="A584" s="9"/>
      <c r="B584" s="9"/>
      <c r="C584" s="9"/>
      <c r="D584" s="9"/>
      <c r="E584" s="9"/>
      <c r="F584" s="9"/>
      <c r="G584" s="9"/>
      <c r="H584" s="9"/>
      <c r="I584" s="9"/>
      <c r="J584" s="9"/>
      <c r="K584" s="9"/>
      <c r="L584" s="9"/>
      <c r="M584" s="9"/>
    </row>
    <row r="585">
      <c r="A585" s="9"/>
      <c r="B585" s="9"/>
      <c r="C585" s="9"/>
      <c r="D585" s="9"/>
      <c r="E585" s="9"/>
      <c r="F585" s="9"/>
      <c r="G585" s="9"/>
      <c r="H585" s="9"/>
      <c r="I585" s="9"/>
      <c r="J585" s="9"/>
      <c r="K585" s="9"/>
      <c r="L585" s="9"/>
      <c r="M585" s="9"/>
    </row>
    <row r="586">
      <c r="A586" s="9"/>
      <c r="B586" s="9"/>
      <c r="C586" s="9"/>
      <c r="D586" s="9"/>
      <c r="E586" s="9"/>
      <c r="F586" s="9"/>
      <c r="G586" s="9"/>
      <c r="H586" s="9"/>
      <c r="I586" s="9"/>
      <c r="J586" s="9"/>
      <c r="K586" s="9"/>
      <c r="L586" s="9"/>
      <c r="M586" s="9"/>
    </row>
    <row r="587">
      <c r="A587" s="9"/>
      <c r="B587" s="9"/>
      <c r="C587" s="9"/>
      <c r="D587" s="9"/>
      <c r="E587" s="9"/>
      <c r="F587" s="9"/>
      <c r="G587" s="9"/>
      <c r="H587" s="9"/>
      <c r="I587" s="9"/>
      <c r="J587" s="9"/>
      <c r="K587" s="9"/>
      <c r="L587" s="9"/>
      <c r="M587" s="9"/>
    </row>
    <row r="588">
      <c r="A588" s="9"/>
      <c r="B588" s="9"/>
      <c r="C588" s="9"/>
      <c r="D588" s="9"/>
      <c r="E588" s="9"/>
      <c r="F588" s="9"/>
      <c r="G588" s="9"/>
      <c r="H588" s="9"/>
      <c r="I588" s="9"/>
      <c r="J588" s="9"/>
      <c r="K588" s="9"/>
      <c r="L588" s="9"/>
      <c r="M588" s="9"/>
    </row>
    <row r="589">
      <c r="A589" s="9"/>
      <c r="B589" s="9"/>
      <c r="C589" s="9"/>
      <c r="D589" s="9"/>
      <c r="E589" s="9"/>
      <c r="F589" s="9"/>
      <c r="G589" s="9"/>
      <c r="H589" s="9"/>
      <c r="I589" s="9"/>
      <c r="J589" s="9"/>
      <c r="K589" s="9"/>
      <c r="L589" s="9"/>
      <c r="M589" s="9"/>
    </row>
    <row r="590">
      <c r="A590" s="9"/>
      <c r="B590" s="9"/>
      <c r="C590" s="9"/>
      <c r="D590" s="9"/>
      <c r="E590" s="9"/>
      <c r="F590" s="9"/>
      <c r="G590" s="9"/>
      <c r="H590" s="9"/>
      <c r="I590" s="9"/>
      <c r="J590" s="9"/>
      <c r="K590" s="9"/>
      <c r="L590" s="9"/>
      <c r="M590" s="9"/>
    </row>
    <row r="591">
      <c r="A591" s="9"/>
      <c r="B591" s="9"/>
      <c r="C591" s="9"/>
      <c r="D591" s="9"/>
      <c r="E591" s="9"/>
      <c r="F591" s="9"/>
      <c r="G591" s="9"/>
      <c r="H591" s="9"/>
      <c r="I591" s="9"/>
      <c r="J591" s="9"/>
      <c r="K591" s="9"/>
      <c r="L591" s="9"/>
      <c r="M591" s="9"/>
    </row>
    <row r="592">
      <c r="A592" s="9"/>
      <c r="B592" s="9"/>
      <c r="C592" s="9"/>
      <c r="D592" s="9"/>
      <c r="E592" s="9"/>
      <c r="F592" s="9"/>
      <c r="G592" s="9"/>
      <c r="H592" s="9"/>
      <c r="I592" s="9"/>
      <c r="J592" s="9"/>
      <c r="K592" s="9"/>
      <c r="L592" s="9"/>
      <c r="M592" s="9"/>
    </row>
    <row r="593">
      <c r="A593" s="9"/>
      <c r="B593" s="9"/>
      <c r="C593" s="9"/>
      <c r="D593" s="9"/>
      <c r="E593" s="9"/>
      <c r="F593" s="9"/>
      <c r="G593" s="9"/>
      <c r="H593" s="9"/>
      <c r="I593" s="9"/>
      <c r="J593" s="9"/>
      <c r="K593" s="9"/>
      <c r="L593" s="9"/>
      <c r="M593" s="9"/>
    </row>
    <row r="594">
      <c r="A594" s="9"/>
      <c r="B594" s="9"/>
      <c r="C594" s="9"/>
      <c r="D594" s="9"/>
      <c r="E594" s="9"/>
      <c r="F594" s="9"/>
      <c r="G594" s="9"/>
      <c r="H594" s="9"/>
      <c r="I594" s="9"/>
      <c r="J594" s="9"/>
      <c r="K594" s="9"/>
      <c r="L594" s="9"/>
      <c r="M594" s="9"/>
    </row>
    <row r="595">
      <c r="A595" s="9"/>
      <c r="B595" s="9"/>
      <c r="C595" s="9"/>
      <c r="D595" s="9"/>
      <c r="E595" s="9"/>
      <c r="F595" s="9"/>
      <c r="G595" s="9"/>
      <c r="H595" s="9"/>
      <c r="I595" s="9"/>
      <c r="J595" s="9"/>
      <c r="K595" s="9"/>
      <c r="L595" s="9"/>
      <c r="M595" s="9"/>
    </row>
    <row r="596">
      <c r="A596" s="9"/>
      <c r="B596" s="9"/>
      <c r="C596" s="9"/>
      <c r="D596" s="9"/>
      <c r="E596" s="9"/>
      <c r="F596" s="9"/>
      <c r="G596" s="9"/>
      <c r="H596" s="9"/>
      <c r="I596" s="9"/>
      <c r="J596" s="9"/>
      <c r="K596" s="9"/>
      <c r="L596" s="9"/>
      <c r="M596" s="9"/>
    </row>
    <row r="597">
      <c r="A597" s="9"/>
      <c r="B597" s="9"/>
      <c r="C597" s="9"/>
      <c r="D597" s="9"/>
      <c r="E597" s="9"/>
      <c r="F597" s="9"/>
      <c r="G597" s="9"/>
      <c r="H597" s="9"/>
      <c r="I597" s="9"/>
      <c r="J597" s="9"/>
      <c r="K597" s="9"/>
      <c r="L597" s="9"/>
      <c r="M597" s="9"/>
    </row>
    <row r="598">
      <c r="A598" s="9"/>
      <c r="B598" s="9"/>
      <c r="C598" s="9"/>
      <c r="D598" s="9"/>
      <c r="E598" s="9"/>
      <c r="F598" s="9"/>
      <c r="G598" s="9"/>
      <c r="H598" s="9"/>
      <c r="I598" s="9"/>
      <c r="J598" s="9"/>
      <c r="K598" s="9"/>
      <c r="L598" s="9"/>
      <c r="M598" s="9"/>
    </row>
    <row r="599">
      <c r="A599" s="9"/>
      <c r="B599" s="9"/>
      <c r="C599" s="9"/>
      <c r="D599" s="9"/>
      <c r="E599" s="9"/>
      <c r="F599" s="9"/>
      <c r="G599" s="9"/>
      <c r="H599" s="9"/>
      <c r="I599" s="9"/>
      <c r="J599" s="9"/>
      <c r="K599" s="9"/>
      <c r="L599" s="9"/>
      <c r="M599" s="9"/>
    </row>
    <row r="600">
      <c r="A600" s="9"/>
      <c r="B600" s="9"/>
      <c r="C600" s="9"/>
      <c r="D600" s="9"/>
      <c r="E600" s="9"/>
      <c r="F600" s="9"/>
      <c r="G600" s="9"/>
      <c r="H600" s="9"/>
      <c r="I600" s="9"/>
      <c r="J600" s="9"/>
      <c r="K600" s="9"/>
      <c r="L600" s="9"/>
      <c r="M600" s="9"/>
    </row>
    <row r="601">
      <c r="A601" s="9"/>
      <c r="B601" s="9"/>
      <c r="C601" s="9"/>
      <c r="D601" s="9"/>
      <c r="E601" s="9"/>
      <c r="F601" s="9"/>
      <c r="G601" s="9"/>
      <c r="H601" s="9"/>
      <c r="I601" s="9"/>
      <c r="J601" s="9"/>
      <c r="K601" s="9"/>
      <c r="L601" s="9"/>
      <c r="M601" s="9"/>
    </row>
    <row r="602">
      <c r="A602" s="9"/>
      <c r="B602" s="9"/>
      <c r="C602" s="9"/>
      <c r="D602" s="9"/>
      <c r="E602" s="9"/>
      <c r="F602" s="9"/>
      <c r="G602" s="9"/>
      <c r="H602" s="9"/>
      <c r="I602" s="9"/>
      <c r="J602" s="9"/>
      <c r="K602" s="9"/>
      <c r="L602" s="9"/>
      <c r="M602" s="9"/>
    </row>
    <row r="603">
      <c r="A603" s="9"/>
      <c r="B603" s="9"/>
      <c r="C603" s="9"/>
      <c r="D603" s="9"/>
      <c r="E603" s="9"/>
      <c r="F603" s="9"/>
      <c r="G603" s="9"/>
      <c r="H603" s="9"/>
      <c r="I603" s="9"/>
      <c r="J603" s="9"/>
      <c r="K603" s="9"/>
      <c r="L603" s="9"/>
      <c r="M603" s="9"/>
    </row>
    <row r="604">
      <c r="A604" s="9"/>
      <c r="B604" s="9"/>
      <c r="C604" s="9"/>
      <c r="D604" s="9"/>
      <c r="E604" s="9"/>
      <c r="F604" s="9"/>
      <c r="G604" s="9"/>
      <c r="H604" s="9"/>
      <c r="I604" s="9"/>
      <c r="J604" s="9"/>
      <c r="K604" s="9"/>
      <c r="L604" s="9"/>
      <c r="M604" s="9"/>
    </row>
    <row r="605">
      <c r="A605" s="9"/>
      <c r="B605" s="9"/>
      <c r="C605" s="9"/>
      <c r="D605" s="9"/>
      <c r="E605" s="9"/>
      <c r="F605" s="9"/>
      <c r="G605" s="9"/>
      <c r="H605" s="9"/>
      <c r="I605" s="9"/>
      <c r="J605" s="9"/>
      <c r="K605" s="9"/>
      <c r="L605" s="9"/>
      <c r="M605" s="9"/>
    </row>
    <row r="606">
      <c r="A606" s="9"/>
      <c r="B606" s="9"/>
      <c r="C606" s="9"/>
      <c r="D606" s="9"/>
      <c r="E606" s="9"/>
      <c r="F606" s="9"/>
      <c r="G606" s="9"/>
      <c r="H606" s="9"/>
      <c r="I606" s="9"/>
      <c r="J606" s="9"/>
      <c r="K606" s="9"/>
      <c r="L606" s="9"/>
      <c r="M606" s="9"/>
    </row>
    <row r="607">
      <c r="A607" s="9"/>
      <c r="B607" s="9"/>
      <c r="C607" s="9"/>
      <c r="D607" s="9"/>
      <c r="E607" s="9"/>
      <c r="F607" s="9"/>
      <c r="G607" s="9"/>
      <c r="H607" s="9"/>
      <c r="I607" s="9"/>
      <c r="J607" s="9"/>
      <c r="K607" s="9"/>
      <c r="L607" s="9"/>
      <c r="M607" s="9"/>
    </row>
    <row r="608">
      <c r="A608" s="9"/>
      <c r="B608" s="9"/>
      <c r="C608" s="9"/>
      <c r="D608" s="9"/>
      <c r="E608" s="9"/>
      <c r="F608" s="9"/>
      <c r="G608" s="9"/>
      <c r="H608" s="9"/>
      <c r="I608" s="9"/>
      <c r="J608" s="9"/>
      <c r="K608" s="9"/>
      <c r="L608" s="9"/>
      <c r="M608" s="9"/>
    </row>
    <row r="609">
      <c r="A609" s="9"/>
      <c r="B609" s="9"/>
      <c r="C609" s="9"/>
      <c r="D609" s="9"/>
      <c r="E609" s="9"/>
      <c r="F609" s="9"/>
      <c r="G609" s="9"/>
      <c r="H609" s="9"/>
      <c r="I609" s="9"/>
      <c r="J609" s="9"/>
      <c r="K609" s="9"/>
      <c r="L609" s="9"/>
      <c r="M609" s="9"/>
    </row>
    <row r="610">
      <c r="A610" s="9"/>
      <c r="B610" s="9"/>
      <c r="C610" s="9"/>
      <c r="D610" s="9"/>
      <c r="E610" s="9"/>
      <c r="F610" s="9"/>
      <c r="G610" s="9"/>
      <c r="H610" s="9"/>
      <c r="I610" s="9"/>
      <c r="J610" s="9"/>
      <c r="K610" s="9"/>
      <c r="L610" s="9"/>
      <c r="M610" s="9"/>
    </row>
    <row r="611">
      <c r="A611" s="9"/>
      <c r="B611" s="9"/>
      <c r="C611" s="9"/>
      <c r="D611" s="9"/>
      <c r="E611" s="9"/>
      <c r="F611" s="9"/>
      <c r="G611" s="9"/>
      <c r="H611" s="9"/>
      <c r="I611" s="9"/>
      <c r="J611" s="9"/>
      <c r="K611" s="9"/>
      <c r="L611" s="9"/>
      <c r="M611" s="9"/>
    </row>
    <row r="612">
      <c r="A612" s="9"/>
      <c r="B612" s="9"/>
      <c r="C612" s="9"/>
      <c r="D612" s="9"/>
      <c r="E612" s="9"/>
      <c r="F612" s="9"/>
      <c r="G612" s="9"/>
      <c r="H612" s="9"/>
      <c r="I612" s="9"/>
      <c r="J612" s="9"/>
      <c r="K612" s="9"/>
      <c r="L612" s="9"/>
      <c r="M612" s="9"/>
    </row>
    <row r="613">
      <c r="A613" s="9"/>
      <c r="B613" s="9"/>
      <c r="C613" s="9"/>
      <c r="D613" s="9"/>
      <c r="E613" s="9"/>
      <c r="F613" s="9"/>
      <c r="G613" s="9"/>
      <c r="H613" s="9"/>
      <c r="I613" s="9"/>
      <c r="J613" s="9"/>
      <c r="K613" s="9"/>
      <c r="L613" s="9"/>
      <c r="M613" s="9"/>
    </row>
    <row r="614">
      <c r="A614" s="9"/>
      <c r="B614" s="9"/>
      <c r="C614" s="9"/>
      <c r="D614" s="9"/>
      <c r="E614" s="9"/>
      <c r="F614" s="9"/>
      <c r="G614" s="9"/>
      <c r="H614" s="9"/>
      <c r="I614" s="9"/>
      <c r="J614" s="9"/>
      <c r="K614" s="9"/>
      <c r="L614" s="9"/>
      <c r="M614" s="9"/>
    </row>
    <row r="615">
      <c r="A615" s="9"/>
      <c r="B615" s="9"/>
      <c r="C615" s="9"/>
      <c r="D615" s="9"/>
      <c r="E615" s="9"/>
      <c r="F615" s="9"/>
      <c r="G615" s="9"/>
      <c r="H615" s="9"/>
      <c r="I615" s="9"/>
      <c r="J615" s="9"/>
      <c r="K615" s="9"/>
      <c r="L615" s="9"/>
      <c r="M615" s="9"/>
    </row>
    <row r="616">
      <c r="A616" s="9"/>
      <c r="B616" s="9"/>
      <c r="C616" s="9"/>
      <c r="D616" s="9"/>
      <c r="E616" s="9"/>
      <c r="F616" s="9"/>
      <c r="G616" s="9"/>
      <c r="H616" s="9"/>
      <c r="I616" s="9"/>
      <c r="J616" s="9"/>
      <c r="K616" s="9"/>
      <c r="L616" s="9"/>
      <c r="M616" s="9"/>
    </row>
    <row r="617">
      <c r="A617" s="9"/>
      <c r="B617" s="9"/>
      <c r="C617" s="9"/>
      <c r="D617" s="9"/>
      <c r="E617" s="9"/>
      <c r="F617" s="9"/>
      <c r="G617" s="9"/>
      <c r="H617" s="9"/>
      <c r="I617" s="9"/>
      <c r="J617" s="9"/>
      <c r="K617" s="9"/>
      <c r="L617" s="9"/>
      <c r="M617" s="9"/>
    </row>
    <row r="618">
      <c r="A618" s="9"/>
      <c r="B618" s="9"/>
      <c r="C618" s="9"/>
      <c r="D618" s="9"/>
      <c r="E618" s="9"/>
      <c r="F618" s="9"/>
      <c r="G618" s="9"/>
      <c r="H618" s="9"/>
      <c r="I618" s="9"/>
      <c r="J618" s="9"/>
      <c r="K618" s="9"/>
      <c r="L618" s="9"/>
      <c r="M618" s="9"/>
    </row>
    <row r="619">
      <c r="A619" s="9"/>
      <c r="B619" s="9"/>
      <c r="C619" s="9"/>
      <c r="D619" s="9"/>
      <c r="E619" s="9"/>
      <c r="F619" s="9"/>
      <c r="G619" s="9"/>
      <c r="H619" s="9"/>
      <c r="I619" s="9"/>
      <c r="J619" s="9"/>
      <c r="K619" s="9"/>
      <c r="L619" s="9"/>
      <c r="M619" s="9"/>
    </row>
    <row r="620">
      <c r="A620" s="9"/>
      <c r="B620" s="9"/>
      <c r="C620" s="9"/>
      <c r="D620" s="9"/>
      <c r="E620" s="9"/>
      <c r="F620" s="9"/>
      <c r="G620" s="9"/>
      <c r="H620" s="9"/>
      <c r="I620" s="9"/>
      <c r="J620" s="9"/>
      <c r="K620" s="9"/>
      <c r="L620" s="9"/>
      <c r="M620" s="9"/>
    </row>
    <row r="621">
      <c r="A621" s="9"/>
      <c r="B621" s="9"/>
      <c r="C621" s="9"/>
      <c r="D621" s="9"/>
      <c r="E621" s="9"/>
      <c r="F621" s="9"/>
      <c r="G621" s="9"/>
      <c r="H621" s="9"/>
      <c r="I621" s="9"/>
      <c r="J621" s="9"/>
      <c r="K621" s="9"/>
      <c r="L621" s="9"/>
      <c r="M621" s="9"/>
    </row>
    <row r="622">
      <c r="A622" s="9"/>
      <c r="B622" s="9"/>
      <c r="C622" s="9"/>
      <c r="D622" s="9"/>
      <c r="E622" s="9"/>
      <c r="F622" s="9"/>
      <c r="G622" s="9"/>
      <c r="H622" s="9"/>
      <c r="I622" s="9"/>
      <c r="J622" s="9"/>
      <c r="K622" s="9"/>
      <c r="L622" s="9"/>
      <c r="M622" s="9"/>
    </row>
    <row r="623">
      <c r="A623" s="9"/>
      <c r="B623" s="9"/>
      <c r="C623" s="9"/>
      <c r="D623" s="9"/>
      <c r="E623" s="9"/>
      <c r="F623" s="9"/>
      <c r="G623" s="9"/>
      <c r="H623" s="9"/>
      <c r="I623" s="9"/>
      <c r="J623" s="9"/>
      <c r="K623" s="9"/>
      <c r="L623" s="9"/>
      <c r="M623" s="9"/>
    </row>
    <row r="624">
      <c r="A624" s="9"/>
      <c r="B624" s="9"/>
      <c r="C624" s="9"/>
      <c r="D624" s="9"/>
      <c r="E624" s="9"/>
      <c r="F624" s="9"/>
      <c r="G624" s="9"/>
      <c r="H624" s="9"/>
      <c r="I624" s="9"/>
      <c r="J624" s="9"/>
      <c r="K624" s="9"/>
      <c r="L624" s="9"/>
      <c r="M624" s="9"/>
    </row>
    <row r="625">
      <c r="A625" s="9"/>
      <c r="B625" s="9"/>
      <c r="C625" s="9"/>
      <c r="D625" s="9"/>
      <c r="E625" s="9"/>
      <c r="F625" s="9"/>
      <c r="G625" s="9"/>
      <c r="H625" s="9"/>
      <c r="I625" s="9"/>
      <c r="J625" s="9"/>
      <c r="K625" s="9"/>
      <c r="L625" s="9"/>
      <c r="M625" s="9"/>
    </row>
    <row r="626">
      <c r="A626" s="9"/>
      <c r="B626" s="9"/>
      <c r="C626" s="9"/>
      <c r="D626" s="9"/>
      <c r="E626" s="9"/>
      <c r="F626" s="9"/>
      <c r="G626" s="9"/>
      <c r="H626" s="9"/>
      <c r="I626" s="9"/>
      <c r="J626" s="9"/>
      <c r="K626" s="9"/>
      <c r="L626" s="9"/>
      <c r="M626" s="9"/>
    </row>
    <row r="627">
      <c r="A627" s="9"/>
      <c r="B627" s="9"/>
      <c r="C627" s="9"/>
      <c r="D627" s="9"/>
      <c r="E627" s="9"/>
      <c r="F627" s="9"/>
      <c r="G627" s="9"/>
      <c r="H627" s="9"/>
      <c r="I627" s="9"/>
      <c r="J627" s="9"/>
      <c r="K627" s="9"/>
      <c r="L627" s="9"/>
      <c r="M627" s="9"/>
    </row>
    <row r="628">
      <c r="A628" s="9"/>
      <c r="B628" s="9"/>
      <c r="C628" s="9"/>
      <c r="D628" s="9"/>
      <c r="E628" s="9"/>
      <c r="F628" s="9"/>
      <c r="G628" s="9"/>
      <c r="H628" s="9"/>
      <c r="I628" s="9"/>
      <c r="J628" s="9"/>
      <c r="K628" s="9"/>
      <c r="L628" s="9"/>
      <c r="M628" s="9"/>
    </row>
    <row r="629">
      <c r="A629" s="9"/>
      <c r="B629" s="9"/>
      <c r="C629" s="9"/>
      <c r="D629" s="9"/>
      <c r="E629" s="9"/>
      <c r="F629" s="9"/>
      <c r="G629" s="9"/>
      <c r="H629" s="9"/>
      <c r="I629" s="9"/>
      <c r="J629" s="9"/>
      <c r="K629" s="9"/>
      <c r="L629" s="9"/>
      <c r="M629" s="9"/>
    </row>
    <row r="630">
      <c r="A630" s="9"/>
      <c r="B630" s="9"/>
      <c r="C630" s="9"/>
      <c r="D630" s="9"/>
      <c r="E630" s="9"/>
      <c r="F630" s="9"/>
      <c r="G630" s="9"/>
      <c r="H630" s="9"/>
      <c r="I630" s="9"/>
      <c r="J630" s="9"/>
      <c r="K630" s="9"/>
      <c r="L630" s="9"/>
      <c r="M630" s="9"/>
    </row>
    <row r="631">
      <c r="A631" s="9"/>
      <c r="B631" s="9"/>
      <c r="C631" s="9"/>
      <c r="D631" s="9"/>
      <c r="E631" s="9"/>
      <c r="F631" s="9"/>
      <c r="G631" s="9"/>
      <c r="H631" s="9"/>
      <c r="I631" s="9"/>
      <c r="J631" s="9"/>
      <c r="K631" s="9"/>
      <c r="L631" s="9"/>
      <c r="M631" s="9"/>
    </row>
    <row r="632">
      <c r="A632" s="9"/>
      <c r="B632" s="9"/>
      <c r="C632" s="9"/>
      <c r="D632" s="9"/>
      <c r="E632" s="9"/>
      <c r="F632" s="9"/>
      <c r="G632" s="9"/>
      <c r="H632" s="9"/>
      <c r="I632" s="9"/>
      <c r="J632" s="9"/>
      <c r="K632" s="9"/>
      <c r="L632" s="9"/>
      <c r="M632" s="9"/>
    </row>
    <row r="633">
      <c r="A633" s="9"/>
      <c r="B633" s="9"/>
      <c r="C633" s="9"/>
      <c r="D633" s="9"/>
      <c r="E633" s="9"/>
      <c r="F633" s="9"/>
      <c r="G633" s="9"/>
      <c r="H633" s="9"/>
      <c r="I633" s="9"/>
      <c r="J633" s="9"/>
      <c r="K633" s="9"/>
      <c r="L633" s="9"/>
      <c r="M633" s="9"/>
    </row>
    <row r="634">
      <c r="A634" s="9"/>
      <c r="B634" s="9"/>
      <c r="C634" s="9"/>
      <c r="D634" s="9"/>
      <c r="E634" s="9"/>
      <c r="F634" s="9"/>
      <c r="G634" s="9"/>
      <c r="H634" s="9"/>
      <c r="I634" s="9"/>
      <c r="J634" s="9"/>
      <c r="K634" s="9"/>
      <c r="L634" s="9"/>
      <c r="M634" s="9"/>
    </row>
    <row r="635">
      <c r="A635" s="9"/>
      <c r="B635" s="9"/>
      <c r="C635" s="9"/>
      <c r="D635" s="9"/>
      <c r="E635" s="9"/>
      <c r="F635" s="9"/>
      <c r="G635" s="9"/>
      <c r="H635" s="9"/>
      <c r="I635" s="9"/>
      <c r="J635" s="9"/>
      <c r="K635" s="9"/>
      <c r="L635" s="9"/>
      <c r="M635" s="9"/>
    </row>
    <row r="636">
      <c r="A636" s="9"/>
      <c r="B636" s="9"/>
      <c r="C636" s="9"/>
      <c r="D636" s="9"/>
      <c r="E636" s="9"/>
      <c r="F636" s="9"/>
      <c r="G636" s="9"/>
      <c r="H636" s="9"/>
      <c r="I636" s="9"/>
      <c r="J636" s="9"/>
      <c r="K636" s="9"/>
      <c r="L636" s="9"/>
      <c r="M636" s="9"/>
    </row>
    <row r="637">
      <c r="A637" s="9"/>
      <c r="B637" s="9"/>
      <c r="C637" s="9"/>
      <c r="D637" s="9"/>
      <c r="E637" s="9"/>
      <c r="F637" s="9"/>
      <c r="G637" s="9"/>
      <c r="H637" s="9"/>
      <c r="I637" s="9"/>
      <c r="J637" s="9"/>
      <c r="K637" s="9"/>
      <c r="L637" s="9"/>
      <c r="M637" s="9"/>
    </row>
    <row r="638">
      <c r="A638" s="9"/>
      <c r="B638" s="9"/>
      <c r="C638" s="9"/>
      <c r="D638" s="9"/>
      <c r="E638" s="9"/>
      <c r="F638" s="9"/>
      <c r="G638" s="9"/>
      <c r="H638" s="9"/>
      <c r="I638" s="9"/>
      <c r="J638" s="9"/>
      <c r="K638" s="9"/>
      <c r="L638" s="9"/>
      <c r="M638" s="9"/>
    </row>
    <row r="639">
      <c r="A639" s="9"/>
      <c r="B639" s="9"/>
      <c r="C639" s="9"/>
      <c r="D639" s="9"/>
      <c r="E639" s="9"/>
      <c r="F639" s="9"/>
      <c r="G639" s="9"/>
      <c r="H639" s="9"/>
      <c r="I639" s="9"/>
      <c r="J639" s="9"/>
      <c r="K639" s="9"/>
      <c r="L639" s="9"/>
      <c r="M639" s="9"/>
    </row>
    <row r="640">
      <c r="A640" s="9"/>
      <c r="B640" s="9"/>
      <c r="C640" s="9"/>
      <c r="D640" s="9"/>
      <c r="E640" s="9"/>
      <c r="F640" s="9"/>
      <c r="G640" s="9"/>
      <c r="H640" s="9"/>
      <c r="I640" s="9"/>
      <c r="J640" s="9"/>
      <c r="K640" s="9"/>
      <c r="L640" s="9"/>
      <c r="M640" s="9"/>
    </row>
    <row r="641">
      <c r="A641" s="9"/>
      <c r="B641" s="9"/>
      <c r="C641" s="9"/>
      <c r="D641" s="9"/>
      <c r="E641" s="9"/>
      <c r="F641" s="9"/>
      <c r="G641" s="9"/>
      <c r="H641" s="9"/>
      <c r="I641" s="9"/>
      <c r="J641" s="9"/>
      <c r="K641" s="9"/>
      <c r="L641" s="9"/>
      <c r="M641" s="9"/>
    </row>
    <row r="642">
      <c r="A642" s="9"/>
      <c r="B642" s="9"/>
      <c r="C642" s="9"/>
      <c r="D642" s="9"/>
      <c r="E642" s="9"/>
      <c r="F642" s="9"/>
      <c r="G642" s="9"/>
      <c r="H642" s="9"/>
      <c r="I642" s="9"/>
      <c r="J642" s="9"/>
      <c r="K642" s="9"/>
      <c r="L642" s="9"/>
      <c r="M642" s="9"/>
    </row>
    <row r="643">
      <c r="A643" s="9"/>
      <c r="B643" s="9"/>
      <c r="C643" s="9"/>
      <c r="D643" s="9"/>
      <c r="E643" s="9"/>
      <c r="F643" s="9"/>
      <c r="G643" s="9"/>
      <c r="H643" s="9"/>
      <c r="I643" s="9"/>
      <c r="J643" s="9"/>
      <c r="K643" s="9"/>
      <c r="L643" s="9"/>
      <c r="M643" s="9"/>
    </row>
    <row r="644">
      <c r="A644" s="9"/>
      <c r="B644" s="9"/>
      <c r="C644" s="9"/>
      <c r="D644" s="9"/>
      <c r="E644" s="9"/>
      <c r="F644" s="9"/>
      <c r="G644" s="9"/>
      <c r="H644" s="9"/>
      <c r="I644" s="9"/>
      <c r="J644" s="9"/>
      <c r="K644" s="9"/>
      <c r="L644" s="9"/>
      <c r="M644" s="9"/>
    </row>
    <row r="645">
      <c r="A645" s="9"/>
      <c r="B645" s="9"/>
      <c r="C645" s="9"/>
      <c r="D645" s="9"/>
      <c r="E645" s="9"/>
      <c r="F645" s="9"/>
      <c r="G645" s="9"/>
      <c r="H645" s="9"/>
      <c r="I645" s="9"/>
      <c r="J645" s="9"/>
      <c r="K645" s="9"/>
      <c r="L645" s="9"/>
      <c r="M645" s="9"/>
    </row>
    <row r="646">
      <c r="A646" s="9"/>
      <c r="B646" s="9"/>
      <c r="C646" s="9"/>
      <c r="D646" s="9"/>
      <c r="E646" s="9"/>
      <c r="F646" s="9"/>
      <c r="G646" s="9"/>
      <c r="H646" s="9"/>
      <c r="I646" s="9"/>
      <c r="J646" s="9"/>
      <c r="K646" s="9"/>
      <c r="L646" s="9"/>
      <c r="M646" s="9"/>
    </row>
    <row r="647">
      <c r="A647" s="9"/>
      <c r="B647" s="9"/>
      <c r="C647" s="9"/>
      <c r="D647" s="9"/>
      <c r="E647" s="9"/>
      <c r="F647" s="9"/>
      <c r="G647" s="9"/>
      <c r="H647" s="9"/>
      <c r="I647" s="9"/>
      <c r="J647" s="9"/>
      <c r="K647" s="9"/>
      <c r="L647" s="9"/>
      <c r="M647" s="9"/>
    </row>
    <row r="648">
      <c r="A648" s="9"/>
      <c r="B648" s="9"/>
      <c r="C648" s="9"/>
      <c r="D648" s="9"/>
      <c r="E648" s="9"/>
      <c r="F648" s="9"/>
      <c r="G648" s="9"/>
      <c r="H648" s="9"/>
      <c r="I648" s="9"/>
      <c r="J648" s="9"/>
      <c r="K648" s="9"/>
      <c r="L648" s="9"/>
      <c r="M648" s="9"/>
    </row>
    <row r="649">
      <c r="A649" s="9"/>
      <c r="B649" s="9"/>
      <c r="C649" s="9"/>
      <c r="D649" s="9"/>
      <c r="E649" s="9"/>
      <c r="F649" s="9"/>
      <c r="G649" s="9"/>
      <c r="H649" s="9"/>
      <c r="I649" s="9"/>
      <c r="J649" s="9"/>
      <c r="K649" s="9"/>
      <c r="L649" s="9"/>
      <c r="M649" s="9"/>
    </row>
    <row r="650">
      <c r="A650" s="9"/>
      <c r="B650" s="9"/>
      <c r="C650" s="9"/>
      <c r="D650" s="9"/>
      <c r="E650" s="9"/>
      <c r="F650" s="9"/>
      <c r="G650" s="9"/>
      <c r="H650" s="9"/>
      <c r="I650" s="9"/>
      <c r="J650" s="9"/>
      <c r="K650" s="9"/>
      <c r="L650" s="9"/>
      <c r="M650" s="9"/>
    </row>
    <row r="651">
      <c r="A651" s="9"/>
      <c r="B651" s="9"/>
      <c r="C651" s="9"/>
      <c r="D651" s="9"/>
      <c r="E651" s="9"/>
      <c r="F651" s="9"/>
      <c r="G651" s="9"/>
      <c r="H651" s="9"/>
      <c r="I651" s="9"/>
      <c r="J651" s="9"/>
      <c r="K651" s="9"/>
      <c r="L651" s="9"/>
      <c r="M651" s="9"/>
    </row>
    <row r="652">
      <c r="A652" s="9"/>
      <c r="B652" s="9"/>
      <c r="C652" s="9"/>
      <c r="D652" s="9"/>
      <c r="E652" s="9"/>
      <c r="F652" s="9"/>
      <c r="G652" s="9"/>
      <c r="H652" s="9"/>
      <c r="I652" s="9"/>
      <c r="J652" s="9"/>
      <c r="K652" s="9"/>
      <c r="L652" s="9"/>
      <c r="M652" s="9"/>
    </row>
    <row r="653">
      <c r="A653" s="9"/>
      <c r="B653" s="9"/>
      <c r="C653" s="9"/>
      <c r="D653" s="9"/>
      <c r="E653" s="9"/>
      <c r="F653" s="9"/>
      <c r="G653" s="9"/>
      <c r="H653" s="9"/>
      <c r="I653" s="9"/>
      <c r="J653" s="9"/>
      <c r="K653" s="9"/>
      <c r="L653" s="9"/>
      <c r="M653" s="9"/>
    </row>
    <row r="654">
      <c r="A654" s="9"/>
      <c r="B654" s="9"/>
      <c r="C654" s="9"/>
      <c r="D654" s="9"/>
      <c r="E654" s="9"/>
      <c r="F654" s="9"/>
      <c r="G654" s="9"/>
      <c r="H654" s="9"/>
      <c r="I654" s="9"/>
      <c r="J654" s="9"/>
      <c r="K654" s="9"/>
      <c r="L654" s="9"/>
      <c r="M654" s="9"/>
    </row>
    <row r="655">
      <c r="A655" s="9"/>
      <c r="B655" s="9"/>
      <c r="C655" s="9"/>
      <c r="D655" s="9"/>
      <c r="E655" s="9"/>
      <c r="F655" s="9"/>
      <c r="G655" s="9"/>
      <c r="H655" s="9"/>
      <c r="I655" s="9"/>
      <c r="J655" s="9"/>
      <c r="K655" s="9"/>
      <c r="L655" s="9"/>
      <c r="M655" s="9"/>
    </row>
    <row r="656">
      <c r="A656" s="9"/>
      <c r="B656" s="9"/>
      <c r="C656" s="9"/>
      <c r="D656" s="9"/>
      <c r="E656" s="9"/>
      <c r="F656" s="9"/>
      <c r="G656" s="9"/>
      <c r="H656" s="9"/>
      <c r="I656" s="9"/>
      <c r="J656" s="9"/>
      <c r="K656" s="9"/>
      <c r="L656" s="9"/>
      <c r="M656" s="9"/>
    </row>
    <row r="657">
      <c r="A657" s="9"/>
      <c r="B657" s="9"/>
      <c r="C657" s="9"/>
      <c r="D657" s="9"/>
      <c r="E657" s="9"/>
      <c r="F657" s="9"/>
      <c r="G657" s="9"/>
      <c r="H657" s="9"/>
      <c r="I657" s="9"/>
      <c r="J657" s="9"/>
      <c r="K657" s="9"/>
      <c r="L657" s="9"/>
      <c r="M657" s="9"/>
    </row>
    <row r="658">
      <c r="A658" s="9"/>
      <c r="B658" s="9"/>
      <c r="C658" s="9"/>
      <c r="D658" s="9"/>
      <c r="E658" s="9"/>
      <c r="F658" s="9"/>
      <c r="G658" s="9"/>
      <c r="H658" s="9"/>
      <c r="I658" s="9"/>
      <c r="J658" s="9"/>
      <c r="K658" s="9"/>
      <c r="L658" s="9"/>
      <c r="M658" s="9"/>
    </row>
    <row r="659">
      <c r="A659" s="9"/>
      <c r="B659" s="9"/>
      <c r="C659" s="9"/>
      <c r="D659" s="9"/>
      <c r="E659" s="9"/>
      <c r="F659" s="9"/>
      <c r="G659" s="9"/>
      <c r="H659" s="9"/>
      <c r="I659" s="9"/>
      <c r="J659" s="9"/>
      <c r="K659" s="9"/>
      <c r="L659" s="9"/>
      <c r="M659" s="9"/>
    </row>
    <row r="660">
      <c r="A660" s="9"/>
      <c r="B660" s="9"/>
      <c r="C660" s="9"/>
      <c r="D660" s="9"/>
      <c r="E660" s="9"/>
      <c r="F660" s="9"/>
      <c r="G660" s="9"/>
      <c r="H660" s="9"/>
      <c r="I660" s="9"/>
      <c r="J660" s="9"/>
      <c r="K660" s="9"/>
      <c r="L660" s="9"/>
      <c r="M660" s="9"/>
    </row>
    <row r="661">
      <c r="A661" s="9"/>
      <c r="B661" s="9"/>
      <c r="C661" s="9"/>
      <c r="D661" s="9"/>
      <c r="E661" s="9"/>
      <c r="F661" s="9"/>
      <c r="G661" s="9"/>
      <c r="H661" s="9"/>
      <c r="I661" s="9"/>
      <c r="J661" s="9"/>
      <c r="K661" s="9"/>
      <c r="L661" s="9"/>
      <c r="M661" s="9"/>
    </row>
    <row r="662">
      <c r="A662" s="9"/>
      <c r="B662" s="9"/>
      <c r="C662" s="9"/>
      <c r="D662" s="9"/>
      <c r="E662" s="9"/>
      <c r="F662" s="9"/>
      <c r="G662" s="9"/>
      <c r="H662" s="9"/>
      <c r="I662" s="9"/>
      <c r="J662" s="9"/>
      <c r="K662" s="9"/>
      <c r="L662" s="9"/>
      <c r="M662" s="9"/>
    </row>
    <row r="663">
      <c r="A663" s="9"/>
      <c r="B663" s="9"/>
      <c r="C663" s="9"/>
      <c r="D663" s="9"/>
      <c r="E663" s="9"/>
      <c r="F663" s="9"/>
      <c r="G663" s="9"/>
      <c r="H663" s="9"/>
      <c r="I663" s="9"/>
      <c r="J663" s="9"/>
      <c r="K663" s="9"/>
      <c r="L663" s="9"/>
      <c r="M663" s="9"/>
    </row>
    <row r="664">
      <c r="A664" s="9"/>
      <c r="B664" s="9"/>
      <c r="C664" s="9"/>
      <c r="D664" s="9"/>
      <c r="E664" s="9"/>
      <c r="F664" s="9"/>
      <c r="G664" s="9"/>
      <c r="H664" s="9"/>
      <c r="I664" s="9"/>
      <c r="J664" s="9"/>
      <c r="K664" s="9"/>
      <c r="L664" s="9"/>
      <c r="M664" s="9"/>
    </row>
    <row r="665">
      <c r="A665" s="9"/>
      <c r="B665" s="9"/>
      <c r="C665" s="9"/>
      <c r="D665" s="9"/>
      <c r="E665" s="9"/>
      <c r="F665" s="9"/>
      <c r="G665" s="9"/>
      <c r="H665" s="9"/>
      <c r="I665" s="9"/>
      <c r="J665" s="9"/>
      <c r="K665" s="9"/>
      <c r="L665" s="9"/>
      <c r="M665" s="9"/>
    </row>
    <row r="666">
      <c r="A666" s="9"/>
      <c r="B666" s="9"/>
      <c r="C666" s="9"/>
      <c r="D666" s="9"/>
      <c r="E666" s="9"/>
      <c r="F666" s="9"/>
      <c r="G666" s="9"/>
      <c r="H666" s="9"/>
      <c r="I666" s="9"/>
      <c r="J666" s="9"/>
      <c r="K666" s="9"/>
      <c r="L666" s="9"/>
      <c r="M666" s="9"/>
    </row>
    <row r="667">
      <c r="A667" s="9"/>
      <c r="B667" s="9"/>
      <c r="C667" s="9"/>
      <c r="D667" s="9"/>
      <c r="E667" s="9"/>
      <c r="F667" s="9"/>
      <c r="G667" s="9"/>
      <c r="H667" s="9"/>
      <c r="I667" s="9"/>
      <c r="J667" s="9"/>
      <c r="K667" s="9"/>
      <c r="L667" s="9"/>
      <c r="M667" s="9"/>
    </row>
    <row r="668">
      <c r="A668" s="9"/>
      <c r="B668" s="9"/>
      <c r="C668" s="9"/>
      <c r="D668" s="9"/>
      <c r="E668" s="9"/>
      <c r="F668" s="9"/>
      <c r="G668" s="9"/>
      <c r="H668" s="9"/>
      <c r="I668" s="9"/>
      <c r="J668" s="9"/>
      <c r="K668" s="9"/>
      <c r="L668" s="9"/>
      <c r="M668" s="9"/>
    </row>
    <row r="669">
      <c r="A669" s="9"/>
      <c r="B669" s="9"/>
      <c r="C669" s="9"/>
      <c r="D669" s="9"/>
      <c r="E669" s="9"/>
      <c r="F669" s="9"/>
      <c r="G669" s="9"/>
      <c r="H669" s="9"/>
      <c r="I669" s="9"/>
      <c r="J669" s="9"/>
      <c r="K669" s="9"/>
      <c r="L669" s="9"/>
      <c r="M669" s="9"/>
    </row>
    <row r="670">
      <c r="A670" s="9"/>
      <c r="B670" s="9"/>
      <c r="C670" s="9"/>
      <c r="D670" s="9"/>
      <c r="E670" s="9"/>
      <c r="F670" s="9"/>
      <c r="G670" s="9"/>
      <c r="H670" s="9"/>
      <c r="I670" s="9"/>
      <c r="J670" s="9"/>
      <c r="K670" s="9"/>
      <c r="L670" s="9"/>
      <c r="M670" s="9"/>
    </row>
    <row r="671">
      <c r="A671" s="9"/>
      <c r="B671" s="9"/>
      <c r="C671" s="9"/>
      <c r="D671" s="9"/>
      <c r="E671" s="9"/>
      <c r="F671" s="9"/>
      <c r="G671" s="9"/>
      <c r="H671" s="9"/>
      <c r="I671" s="9"/>
      <c r="J671" s="9"/>
      <c r="K671" s="9"/>
      <c r="L671" s="9"/>
      <c r="M671" s="9"/>
    </row>
    <row r="672">
      <c r="A672" s="9"/>
      <c r="B672" s="9"/>
      <c r="C672" s="9"/>
      <c r="D672" s="9"/>
      <c r="E672" s="9"/>
      <c r="F672" s="9"/>
      <c r="G672" s="9"/>
      <c r="H672" s="9"/>
      <c r="I672" s="9"/>
      <c r="J672" s="9"/>
      <c r="K672" s="9"/>
      <c r="L672" s="9"/>
      <c r="M672" s="9"/>
    </row>
    <row r="673">
      <c r="A673" s="9"/>
      <c r="B673" s="9"/>
      <c r="C673" s="9"/>
      <c r="D673" s="9"/>
      <c r="E673" s="9"/>
      <c r="F673" s="9"/>
      <c r="G673" s="9"/>
      <c r="H673" s="9"/>
      <c r="I673" s="9"/>
      <c r="J673" s="9"/>
      <c r="K673" s="9"/>
      <c r="L673" s="9"/>
      <c r="M673" s="9"/>
    </row>
    <row r="674">
      <c r="A674" s="9"/>
      <c r="B674" s="9"/>
      <c r="C674" s="9"/>
      <c r="D674" s="9"/>
      <c r="E674" s="9"/>
      <c r="F674" s="9"/>
      <c r="G674" s="9"/>
      <c r="H674" s="9"/>
      <c r="I674" s="9"/>
      <c r="J674" s="9"/>
      <c r="K674" s="9"/>
      <c r="L674" s="9"/>
      <c r="M674" s="9"/>
    </row>
    <row r="675">
      <c r="A675" s="9"/>
      <c r="B675" s="9"/>
      <c r="C675" s="9"/>
      <c r="D675" s="9"/>
      <c r="E675" s="9"/>
      <c r="F675" s="9"/>
      <c r="G675" s="9"/>
      <c r="H675" s="9"/>
      <c r="I675" s="9"/>
      <c r="J675" s="9"/>
      <c r="K675" s="9"/>
      <c r="L675" s="9"/>
      <c r="M675" s="9"/>
    </row>
    <row r="676">
      <c r="A676" s="9"/>
      <c r="B676" s="9"/>
      <c r="C676" s="9"/>
      <c r="D676" s="9"/>
      <c r="E676" s="9"/>
      <c r="F676" s="9"/>
      <c r="G676" s="9"/>
      <c r="H676" s="9"/>
      <c r="I676" s="9"/>
      <c r="J676" s="9"/>
      <c r="K676" s="9"/>
      <c r="L676" s="9"/>
      <c r="M676" s="9"/>
    </row>
    <row r="677">
      <c r="A677" s="9"/>
      <c r="B677" s="9"/>
      <c r="C677" s="9"/>
      <c r="D677" s="9"/>
      <c r="E677" s="9"/>
      <c r="F677" s="9"/>
      <c r="G677" s="9"/>
      <c r="H677" s="9"/>
      <c r="I677" s="9"/>
      <c r="J677" s="9"/>
      <c r="K677" s="9"/>
      <c r="L677" s="9"/>
      <c r="M677" s="9"/>
    </row>
    <row r="678">
      <c r="A678" s="9"/>
      <c r="B678" s="9"/>
      <c r="C678" s="9"/>
      <c r="D678" s="9"/>
      <c r="E678" s="9"/>
      <c r="F678" s="9"/>
      <c r="G678" s="9"/>
      <c r="H678" s="9"/>
      <c r="I678" s="9"/>
      <c r="J678" s="9"/>
      <c r="K678" s="9"/>
      <c r="L678" s="9"/>
      <c r="M678" s="9"/>
    </row>
    <row r="679">
      <c r="A679" s="9"/>
      <c r="B679" s="9"/>
      <c r="C679" s="9"/>
      <c r="D679" s="9"/>
      <c r="E679" s="9"/>
      <c r="F679" s="9"/>
      <c r="G679" s="9"/>
      <c r="H679" s="9"/>
      <c r="I679" s="9"/>
      <c r="J679" s="9"/>
      <c r="K679" s="9"/>
      <c r="L679" s="9"/>
      <c r="M679" s="9"/>
    </row>
    <row r="680">
      <c r="A680" s="9"/>
      <c r="B680" s="9"/>
      <c r="C680" s="9"/>
      <c r="D680" s="9"/>
      <c r="E680" s="9"/>
      <c r="F680" s="9"/>
      <c r="G680" s="9"/>
      <c r="H680" s="9"/>
      <c r="I680" s="9"/>
      <c r="J680" s="9"/>
      <c r="K680" s="9"/>
      <c r="L680" s="9"/>
      <c r="M680" s="9"/>
    </row>
    <row r="681">
      <c r="A681" s="9"/>
      <c r="B681" s="9"/>
      <c r="C681" s="9"/>
      <c r="D681" s="9"/>
      <c r="E681" s="9"/>
      <c r="F681" s="9"/>
      <c r="G681" s="9"/>
      <c r="H681" s="9"/>
      <c r="I681" s="9"/>
      <c r="J681" s="9"/>
      <c r="K681" s="9"/>
      <c r="L681" s="9"/>
      <c r="M681" s="9"/>
    </row>
    <row r="682">
      <c r="A682" s="9"/>
      <c r="B682" s="9"/>
      <c r="C682" s="9"/>
      <c r="D682" s="9"/>
      <c r="E682" s="9"/>
      <c r="F682" s="9"/>
      <c r="G682" s="9"/>
      <c r="H682" s="9"/>
      <c r="I682" s="9"/>
      <c r="J682" s="9"/>
      <c r="K682" s="9"/>
      <c r="L682" s="9"/>
      <c r="M682" s="9"/>
    </row>
    <row r="683">
      <c r="A683" s="9"/>
      <c r="B683" s="9"/>
      <c r="C683" s="9"/>
      <c r="D683" s="9"/>
      <c r="E683" s="9"/>
      <c r="F683" s="9"/>
      <c r="G683" s="9"/>
      <c r="H683" s="9"/>
      <c r="I683" s="9"/>
      <c r="J683" s="9"/>
      <c r="K683" s="9"/>
      <c r="L683" s="9"/>
      <c r="M683" s="9"/>
    </row>
    <row r="684">
      <c r="A684" s="9"/>
      <c r="B684" s="9"/>
      <c r="C684" s="9"/>
      <c r="D684" s="9"/>
      <c r="E684" s="9"/>
      <c r="F684" s="9"/>
      <c r="G684" s="9"/>
      <c r="H684" s="9"/>
      <c r="I684" s="9"/>
      <c r="J684" s="9"/>
      <c r="K684" s="9"/>
      <c r="L684" s="9"/>
      <c r="M684" s="9"/>
    </row>
    <row r="685">
      <c r="A685" s="9"/>
      <c r="B685" s="9"/>
      <c r="C685" s="9"/>
      <c r="D685" s="9"/>
      <c r="E685" s="9"/>
      <c r="F685" s="9"/>
      <c r="G685" s="9"/>
      <c r="H685" s="9"/>
      <c r="I685" s="9"/>
      <c r="J685" s="9"/>
      <c r="K685" s="9"/>
      <c r="L685" s="9"/>
      <c r="M685" s="9"/>
    </row>
    <row r="686">
      <c r="A686" s="9"/>
      <c r="B686" s="9"/>
      <c r="C686" s="9"/>
      <c r="D686" s="9"/>
      <c r="E686" s="9"/>
      <c r="F686" s="9"/>
      <c r="G686" s="9"/>
      <c r="H686" s="9"/>
      <c r="I686" s="9"/>
      <c r="J686" s="9"/>
      <c r="K686" s="9"/>
      <c r="L686" s="9"/>
      <c r="M686" s="9"/>
    </row>
    <row r="687">
      <c r="A687" s="9"/>
      <c r="B687" s="9"/>
      <c r="C687" s="9"/>
      <c r="D687" s="9"/>
      <c r="E687" s="9"/>
      <c r="F687" s="9"/>
      <c r="G687" s="9"/>
      <c r="H687" s="9"/>
      <c r="I687" s="9"/>
      <c r="J687" s="9"/>
      <c r="K687" s="9"/>
      <c r="L687" s="9"/>
      <c r="M687" s="9"/>
    </row>
    <row r="688">
      <c r="A688" s="9"/>
      <c r="B688" s="9"/>
      <c r="C688" s="9"/>
      <c r="D688" s="9"/>
      <c r="E688" s="9"/>
      <c r="F688" s="9"/>
      <c r="G688" s="9"/>
      <c r="H688" s="9"/>
      <c r="I688" s="9"/>
      <c r="J688" s="9"/>
      <c r="K688" s="9"/>
      <c r="L688" s="9"/>
      <c r="M688" s="9"/>
    </row>
    <row r="689">
      <c r="A689" s="9"/>
      <c r="B689" s="9"/>
      <c r="C689" s="9"/>
      <c r="D689" s="9"/>
      <c r="E689" s="9"/>
      <c r="F689" s="9"/>
      <c r="G689" s="9"/>
      <c r="H689" s="9"/>
      <c r="I689" s="9"/>
      <c r="J689" s="9"/>
      <c r="K689" s="9"/>
      <c r="L689" s="9"/>
      <c r="M689" s="9"/>
    </row>
    <row r="690">
      <c r="A690" s="9"/>
      <c r="B690" s="9"/>
      <c r="C690" s="9"/>
      <c r="D690" s="9"/>
      <c r="E690" s="9"/>
      <c r="F690" s="9"/>
      <c r="G690" s="9"/>
      <c r="H690" s="9"/>
      <c r="I690" s="9"/>
      <c r="J690" s="9"/>
      <c r="K690" s="9"/>
      <c r="L690" s="9"/>
      <c r="M690" s="9"/>
    </row>
    <row r="691">
      <c r="A691" s="9"/>
      <c r="B691" s="9"/>
      <c r="C691" s="9"/>
      <c r="D691" s="9"/>
      <c r="E691" s="9"/>
      <c r="F691" s="9"/>
      <c r="G691" s="9"/>
      <c r="H691" s="9"/>
      <c r="I691" s="9"/>
      <c r="J691" s="9"/>
      <c r="K691" s="9"/>
      <c r="L691" s="9"/>
      <c r="M691" s="9"/>
    </row>
    <row r="692">
      <c r="A692" s="9"/>
      <c r="B692" s="9"/>
      <c r="C692" s="9"/>
      <c r="D692" s="9"/>
      <c r="E692" s="9"/>
      <c r="F692" s="9"/>
      <c r="G692" s="9"/>
      <c r="H692" s="9"/>
      <c r="I692" s="9"/>
      <c r="J692" s="9"/>
      <c r="K692" s="9"/>
      <c r="L692" s="9"/>
      <c r="M692" s="9"/>
    </row>
    <row r="693">
      <c r="A693" s="9"/>
      <c r="B693" s="9"/>
      <c r="C693" s="9"/>
      <c r="D693" s="9"/>
      <c r="E693" s="9"/>
      <c r="F693" s="9"/>
      <c r="G693" s="9"/>
      <c r="H693" s="9"/>
      <c r="I693" s="9"/>
      <c r="J693" s="9"/>
      <c r="K693" s="9"/>
      <c r="L693" s="9"/>
      <c r="M693" s="9"/>
    </row>
    <row r="694">
      <c r="A694" s="9"/>
      <c r="B694" s="9"/>
      <c r="C694" s="9"/>
      <c r="D694" s="9"/>
      <c r="E694" s="9"/>
      <c r="F694" s="9"/>
      <c r="G694" s="9"/>
      <c r="H694" s="9"/>
      <c r="I694" s="9"/>
      <c r="J694" s="9"/>
      <c r="K694" s="9"/>
      <c r="L694" s="9"/>
      <c r="M694" s="9"/>
    </row>
    <row r="695">
      <c r="A695" s="9"/>
      <c r="B695" s="9"/>
      <c r="C695" s="9"/>
      <c r="D695" s="9"/>
      <c r="E695" s="9"/>
      <c r="F695" s="9"/>
      <c r="G695" s="9"/>
      <c r="H695" s="9"/>
      <c r="I695" s="9"/>
      <c r="J695" s="9"/>
      <c r="K695" s="9"/>
      <c r="L695" s="9"/>
      <c r="M695" s="9"/>
    </row>
    <row r="696">
      <c r="A696" s="9"/>
      <c r="B696" s="9"/>
      <c r="C696" s="9"/>
      <c r="D696" s="9"/>
      <c r="E696" s="9"/>
      <c r="F696" s="9"/>
      <c r="G696" s="9"/>
      <c r="H696" s="9"/>
      <c r="I696" s="9"/>
      <c r="J696" s="9"/>
      <c r="K696" s="9"/>
      <c r="L696" s="9"/>
      <c r="M696" s="9"/>
    </row>
    <row r="697">
      <c r="A697" s="9"/>
      <c r="B697" s="9"/>
      <c r="C697" s="9"/>
      <c r="D697" s="9"/>
      <c r="E697" s="9"/>
      <c r="F697" s="9"/>
      <c r="G697" s="9"/>
      <c r="H697" s="9"/>
      <c r="I697" s="9"/>
      <c r="J697" s="9"/>
      <c r="K697" s="9"/>
      <c r="L697" s="9"/>
      <c r="M697" s="9"/>
    </row>
    <row r="698">
      <c r="A698" s="9"/>
      <c r="B698" s="9"/>
      <c r="C698" s="9"/>
      <c r="D698" s="9"/>
      <c r="E698" s="9"/>
      <c r="F698" s="9"/>
      <c r="G698" s="9"/>
      <c r="H698" s="9"/>
      <c r="I698" s="9"/>
      <c r="J698" s="9"/>
      <c r="K698" s="9"/>
      <c r="L698" s="9"/>
      <c r="M698" s="9"/>
    </row>
    <row r="699">
      <c r="A699" s="9"/>
      <c r="B699" s="9"/>
      <c r="C699" s="9"/>
      <c r="D699" s="9"/>
      <c r="E699" s="9"/>
      <c r="F699" s="9"/>
      <c r="G699" s="9"/>
      <c r="H699" s="9"/>
      <c r="I699" s="9"/>
      <c r="J699" s="9"/>
      <c r="K699" s="9"/>
      <c r="L699" s="9"/>
      <c r="M699" s="9"/>
    </row>
    <row r="700">
      <c r="A700" s="9"/>
      <c r="B700" s="9"/>
      <c r="C700" s="9"/>
      <c r="D700" s="9"/>
      <c r="E700" s="9"/>
      <c r="F700" s="9"/>
      <c r="G700" s="9"/>
      <c r="H700" s="9"/>
      <c r="I700" s="9"/>
      <c r="J700" s="9"/>
      <c r="K700" s="9"/>
      <c r="L700" s="9"/>
      <c r="M700" s="9"/>
    </row>
    <row r="701">
      <c r="A701" s="9"/>
      <c r="B701" s="9"/>
      <c r="C701" s="9"/>
      <c r="D701" s="9"/>
      <c r="E701" s="9"/>
      <c r="F701" s="9"/>
      <c r="G701" s="9"/>
      <c r="H701" s="9"/>
      <c r="I701" s="9"/>
      <c r="J701" s="9"/>
      <c r="K701" s="9"/>
      <c r="L701" s="9"/>
      <c r="M701" s="9"/>
    </row>
    <row r="702">
      <c r="A702" s="9"/>
      <c r="B702" s="9"/>
      <c r="C702" s="9"/>
      <c r="D702" s="9"/>
      <c r="E702" s="9"/>
      <c r="F702" s="9"/>
      <c r="G702" s="9"/>
      <c r="H702" s="9"/>
      <c r="I702" s="9"/>
      <c r="J702" s="9"/>
      <c r="K702" s="9"/>
      <c r="L702" s="9"/>
      <c r="M702" s="9"/>
    </row>
    <row r="703">
      <c r="A703" s="9"/>
      <c r="B703" s="9"/>
      <c r="C703" s="9"/>
      <c r="D703" s="9"/>
      <c r="E703" s="9"/>
      <c r="F703" s="9"/>
      <c r="G703" s="9"/>
      <c r="H703" s="9"/>
      <c r="I703" s="9"/>
      <c r="J703" s="9"/>
      <c r="K703" s="9"/>
      <c r="L703" s="9"/>
      <c r="M703" s="9"/>
    </row>
    <row r="704">
      <c r="A704" s="9"/>
      <c r="B704" s="9"/>
      <c r="C704" s="9"/>
      <c r="D704" s="9"/>
      <c r="E704" s="9"/>
      <c r="F704" s="9"/>
      <c r="G704" s="9"/>
      <c r="H704" s="9"/>
      <c r="I704" s="9"/>
      <c r="J704" s="9"/>
      <c r="K704" s="9"/>
      <c r="L704" s="9"/>
      <c r="M704" s="9"/>
    </row>
    <row r="705">
      <c r="A705" s="9"/>
      <c r="B705" s="9"/>
      <c r="C705" s="9"/>
      <c r="D705" s="9"/>
      <c r="E705" s="9"/>
      <c r="F705" s="9"/>
      <c r="G705" s="9"/>
      <c r="H705" s="9"/>
      <c r="I705" s="9"/>
      <c r="J705" s="9"/>
      <c r="K705" s="9"/>
      <c r="L705" s="9"/>
      <c r="M705" s="9"/>
    </row>
    <row r="706">
      <c r="A706" s="9"/>
      <c r="B706" s="9"/>
      <c r="C706" s="9"/>
      <c r="D706" s="9"/>
      <c r="E706" s="9"/>
      <c r="F706" s="9"/>
      <c r="G706" s="9"/>
      <c r="H706" s="9"/>
      <c r="I706" s="9"/>
      <c r="J706" s="9"/>
      <c r="K706" s="9"/>
      <c r="L706" s="9"/>
      <c r="M706" s="9"/>
    </row>
    <row r="707">
      <c r="A707" s="9"/>
      <c r="B707" s="9"/>
      <c r="C707" s="9"/>
      <c r="D707" s="9"/>
      <c r="E707" s="9"/>
      <c r="F707" s="9"/>
      <c r="G707" s="9"/>
      <c r="H707" s="9"/>
      <c r="I707" s="9"/>
      <c r="J707" s="9"/>
      <c r="K707" s="9"/>
      <c r="L707" s="9"/>
      <c r="M707" s="9"/>
    </row>
    <row r="708">
      <c r="A708" s="9"/>
      <c r="B708" s="9"/>
      <c r="C708" s="9"/>
      <c r="D708" s="9"/>
      <c r="E708" s="9"/>
      <c r="F708" s="9"/>
      <c r="G708" s="9"/>
      <c r="H708" s="9"/>
      <c r="I708" s="9"/>
      <c r="J708" s="9"/>
      <c r="K708" s="9"/>
      <c r="L708" s="9"/>
      <c r="M708" s="9"/>
    </row>
    <row r="709">
      <c r="A709" s="9"/>
      <c r="B709" s="9"/>
      <c r="C709" s="9"/>
      <c r="D709" s="9"/>
      <c r="E709" s="9"/>
      <c r="F709" s="9"/>
      <c r="G709" s="9"/>
      <c r="H709" s="9"/>
      <c r="I709" s="9"/>
      <c r="J709" s="9"/>
      <c r="K709" s="9"/>
      <c r="L709" s="9"/>
      <c r="M709" s="9"/>
    </row>
    <row r="710">
      <c r="A710" s="9"/>
      <c r="B710" s="9"/>
      <c r="C710" s="9"/>
      <c r="D710" s="9"/>
      <c r="E710" s="9"/>
      <c r="F710" s="9"/>
      <c r="G710" s="9"/>
      <c r="H710" s="9"/>
      <c r="I710" s="9"/>
      <c r="J710" s="9"/>
      <c r="K710" s="9"/>
      <c r="L710" s="9"/>
      <c r="M710" s="9"/>
    </row>
    <row r="711">
      <c r="A711" s="9"/>
      <c r="B711" s="9"/>
      <c r="C711" s="9"/>
      <c r="D711" s="9"/>
      <c r="E711" s="9"/>
      <c r="F711" s="9"/>
      <c r="G711" s="9"/>
      <c r="H711" s="9"/>
      <c r="I711" s="9"/>
      <c r="J711" s="9"/>
      <c r="K711" s="9"/>
      <c r="L711" s="9"/>
      <c r="M711" s="9"/>
    </row>
    <row r="712">
      <c r="A712" s="9"/>
      <c r="B712" s="9"/>
      <c r="C712" s="9"/>
      <c r="D712" s="9"/>
      <c r="E712" s="9"/>
      <c r="F712" s="9"/>
      <c r="G712" s="9"/>
      <c r="H712" s="9"/>
      <c r="I712" s="9"/>
      <c r="J712" s="9"/>
      <c r="K712" s="9"/>
      <c r="L712" s="9"/>
      <c r="M712" s="9"/>
    </row>
    <row r="713">
      <c r="A713" s="9"/>
      <c r="B713" s="9"/>
      <c r="C713" s="9"/>
      <c r="D713" s="9"/>
      <c r="E713" s="9"/>
      <c r="F713" s="9"/>
      <c r="G713" s="9"/>
      <c r="H713" s="9"/>
      <c r="I713" s="9"/>
      <c r="J713" s="9"/>
      <c r="K713" s="9"/>
      <c r="L713" s="9"/>
      <c r="M713" s="9"/>
    </row>
    <row r="714">
      <c r="A714" s="9"/>
      <c r="B714" s="9"/>
      <c r="C714" s="9"/>
      <c r="D714" s="9"/>
      <c r="E714" s="9"/>
      <c r="F714" s="9"/>
      <c r="G714" s="9"/>
      <c r="H714" s="9"/>
      <c r="I714" s="9"/>
      <c r="J714" s="9"/>
      <c r="K714" s="9"/>
      <c r="L714" s="9"/>
      <c r="M714" s="9"/>
    </row>
    <row r="715">
      <c r="A715" s="9"/>
      <c r="B715" s="9"/>
      <c r="C715" s="9"/>
      <c r="D715" s="9"/>
      <c r="E715" s="9"/>
      <c r="F715" s="9"/>
      <c r="G715" s="9"/>
      <c r="H715" s="9"/>
      <c r="I715" s="9"/>
      <c r="J715" s="9"/>
      <c r="K715" s="9"/>
      <c r="L715" s="9"/>
      <c r="M715" s="9"/>
    </row>
    <row r="716">
      <c r="A716" s="9"/>
      <c r="B716" s="9"/>
      <c r="C716" s="9"/>
      <c r="D716" s="9"/>
      <c r="E716" s="9"/>
      <c r="F716" s="9"/>
      <c r="G716" s="9"/>
      <c r="H716" s="9"/>
      <c r="I716" s="9"/>
      <c r="J716" s="9"/>
      <c r="K716" s="9"/>
      <c r="L716" s="9"/>
      <c r="M716" s="9"/>
    </row>
    <row r="717">
      <c r="A717" s="9"/>
      <c r="B717" s="9"/>
      <c r="C717" s="9"/>
      <c r="D717" s="9"/>
      <c r="E717" s="9"/>
      <c r="F717" s="9"/>
      <c r="G717" s="9"/>
      <c r="H717" s="9"/>
      <c r="I717" s="9"/>
      <c r="J717" s="9"/>
      <c r="K717" s="9"/>
      <c r="L717" s="9"/>
      <c r="M717" s="9"/>
    </row>
    <row r="718">
      <c r="A718" s="9"/>
      <c r="B718" s="9"/>
      <c r="C718" s="9"/>
      <c r="D718" s="9"/>
      <c r="E718" s="9"/>
      <c r="F718" s="9"/>
      <c r="G718" s="9"/>
      <c r="H718" s="9"/>
      <c r="I718" s="9"/>
      <c r="J718" s="9"/>
      <c r="K718" s="9"/>
      <c r="L718" s="9"/>
      <c r="M718" s="9"/>
    </row>
    <row r="719">
      <c r="A719" s="9"/>
      <c r="B719" s="9"/>
      <c r="C719" s="9"/>
      <c r="D719" s="9"/>
      <c r="E719" s="9"/>
      <c r="F719" s="9"/>
      <c r="G719" s="9"/>
      <c r="H719" s="9"/>
      <c r="I719" s="9"/>
      <c r="J719" s="9"/>
      <c r="K719" s="9"/>
      <c r="L719" s="9"/>
      <c r="M719" s="9"/>
    </row>
    <row r="720">
      <c r="A720" s="9"/>
      <c r="B720" s="9"/>
      <c r="C720" s="9"/>
      <c r="D720" s="9"/>
      <c r="E720" s="9"/>
      <c r="F720" s="9"/>
      <c r="G720" s="9"/>
      <c r="H720" s="9"/>
      <c r="I720" s="9"/>
      <c r="J720" s="9"/>
      <c r="K720" s="9"/>
      <c r="L720" s="9"/>
      <c r="M720" s="9"/>
    </row>
    <row r="721">
      <c r="A721" s="9"/>
      <c r="B721" s="9"/>
      <c r="C721" s="9"/>
      <c r="D721" s="9"/>
      <c r="E721" s="9"/>
      <c r="F721" s="9"/>
      <c r="G721" s="9"/>
      <c r="H721" s="9"/>
      <c r="I721" s="9"/>
      <c r="J721" s="9"/>
      <c r="K721" s="9"/>
      <c r="L721" s="9"/>
      <c r="M721" s="9"/>
    </row>
    <row r="722">
      <c r="A722" s="9"/>
      <c r="B722" s="9"/>
      <c r="C722" s="9"/>
      <c r="D722" s="9"/>
      <c r="E722" s="9"/>
      <c r="F722" s="9"/>
      <c r="G722" s="9"/>
      <c r="H722" s="9"/>
      <c r="I722" s="9"/>
      <c r="J722" s="9"/>
      <c r="K722" s="9"/>
      <c r="L722" s="9"/>
      <c r="M722" s="9"/>
    </row>
    <row r="723">
      <c r="A723" s="9"/>
      <c r="B723" s="9"/>
      <c r="C723" s="9"/>
      <c r="D723" s="9"/>
      <c r="E723" s="9"/>
      <c r="F723" s="9"/>
      <c r="G723" s="9"/>
      <c r="H723" s="9"/>
      <c r="I723" s="9"/>
      <c r="J723" s="9"/>
      <c r="K723" s="9"/>
      <c r="L723" s="9"/>
      <c r="M723" s="9"/>
    </row>
    <row r="724">
      <c r="A724" s="9"/>
      <c r="B724" s="9"/>
      <c r="C724" s="9"/>
      <c r="D724" s="9"/>
      <c r="E724" s="9"/>
      <c r="F724" s="9"/>
      <c r="G724" s="9"/>
      <c r="H724" s="9"/>
      <c r="I724" s="9"/>
      <c r="J724" s="9"/>
      <c r="K724" s="9"/>
      <c r="L724" s="9"/>
      <c r="M724" s="9"/>
    </row>
    <row r="725">
      <c r="A725" s="9"/>
      <c r="B725" s="9"/>
      <c r="C725" s="9"/>
      <c r="D725" s="9"/>
      <c r="E725" s="9"/>
      <c r="F725" s="9"/>
      <c r="G725" s="9"/>
      <c r="H725" s="9"/>
      <c r="I725" s="9"/>
      <c r="J725" s="9"/>
      <c r="K725" s="9"/>
      <c r="L725" s="9"/>
      <c r="M725" s="9"/>
    </row>
    <row r="726">
      <c r="A726" s="9"/>
      <c r="B726" s="9"/>
      <c r="C726" s="9"/>
      <c r="D726" s="9"/>
      <c r="E726" s="9"/>
      <c r="F726" s="9"/>
      <c r="G726" s="9"/>
      <c r="H726" s="9"/>
      <c r="I726" s="9"/>
      <c r="J726" s="9"/>
      <c r="K726" s="9"/>
      <c r="L726" s="9"/>
      <c r="M726" s="9"/>
    </row>
    <row r="727">
      <c r="A727" s="9"/>
      <c r="B727" s="9"/>
      <c r="C727" s="9"/>
      <c r="D727" s="9"/>
      <c r="E727" s="9"/>
      <c r="F727" s="9"/>
      <c r="G727" s="9"/>
      <c r="H727" s="9"/>
      <c r="I727" s="9"/>
      <c r="J727" s="9"/>
      <c r="K727" s="9"/>
      <c r="L727" s="9"/>
      <c r="M727" s="9"/>
    </row>
    <row r="728">
      <c r="A728" s="9"/>
      <c r="B728" s="9"/>
      <c r="C728" s="9"/>
      <c r="D728" s="9"/>
      <c r="E728" s="9"/>
      <c r="F728" s="9"/>
      <c r="G728" s="9"/>
      <c r="H728" s="9"/>
      <c r="I728" s="9"/>
      <c r="J728" s="9"/>
      <c r="K728" s="9"/>
      <c r="L728" s="9"/>
      <c r="M728" s="9"/>
    </row>
    <row r="729">
      <c r="A729" s="9"/>
      <c r="B729" s="9"/>
      <c r="C729" s="9"/>
      <c r="D729" s="9"/>
      <c r="E729" s="9"/>
      <c r="F729" s="9"/>
      <c r="G729" s="9"/>
      <c r="H729" s="9"/>
      <c r="I729" s="9"/>
      <c r="J729" s="9"/>
      <c r="K729" s="9"/>
      <c r="L729" s="9"/>
      <c r="M729" s="9"/>
    </row>
    <row r="730">
      <c r="A730" s="9"/>
      <c r="B730" s="9"/>
      <c r="C730" s="9"/>
      <c r="D730" s="9"/>
      <c r="E730" s="9"/>
      <c r="F730" s="9"/>
      <c r="G730" s="9"/>
      <c r="H730" s="9"/>
      <c r="I730" s="9"/>
      <c r="J730" s="9"/>
      <c r="K730" s="9"/>
      <c r="L730" s="9"/>
      <c r="M730" s="9"/>
    </row>
    <row r="731">
      <c r="A731" s="9"/>
      <c r="B731" s="9"/>
      <c r="C731" s="9"/>
      <c r="D731" s="9"/>
      <c r="E731" s="9"/>
      <c r="F731" s="9"/>
      <c r="G731" s="9"/>
      <c r="H731" s="9"/>
      <c r="I731" s="9"/>
      <c r="J731" s="9"/>
      <c r="K731" s="9"/>
      <c r="L731" s="9"/>
      <c r="M731" s="9"/>
    </row>
    <row r="732">
      <c r="A732" s="9"/>
      <c r="B732" s="9"/>
      <c r="C732" s="9"/>
      <c r="D732" s="9"/>
      <c r="E732" s="9"/>
      <c r="F732" s="9"/>
      <c r="G732" s="9"/>
      <c r="H732" s="9"/>
      <c r="I732" s="9"/>
      <c r="J732" s="9"/>
      <c r="K732" s="9"/>
      <c r="L732" s="9"/>
      <c r="M732" s="9"/>
    </row>
    <row r="733">
      <c r="A733" s="9"/>
      <c r="B733" s="9"/>
      <c r="C733" s="9"/>
      <c r="D733" s="9"/>
      <c r="E733" s="9"/>
      <c r="F733" s="9"/>
      <c r="G733" s="9"/>
      <c r="H733" s="9"/>
      <c r="I733" s="9"/>
      <c r="J733" s="9"/>
      <c r="K733" s="9"/>
      <c r="L733" s="9"/>
      <c r="M733" s="9"/>
    </row>
    <row r="734">
      <c r="A734" s="9"/>
      <c r="B734" s="9"/>
      <c r="C734" s="9"/>
      <c r="D734" s="9"/>
      <c r="E734" s="9"/>
      <c r="F734" s="9"/>
      <c r="G734" s="9"/>
      <c r="H734" s="9"/>
      <c r="I734" s="9"/>
      <c r="J734" s="9"/>
      <c r="K734" s="9"/>
      <c r="L734" s="9"/>
      <c r="M734" s="9"/>
    </row>
    <row r="735">
      <c r="A735" s="9"/>
      <c r="B735" s="9"/>
      <c r="C735" s="9"/>
      <c r="D735" s="9"/>
      <c r="E735" s="9"/>
      <c r="F735" s="9"/>
      <c r="G735" s="9"/>
      <c r="H735" s="9"/>
      <c r="I735" s="9"/>
      <c r="J735" s="9"/>
      <c r="K735" s="9"/>
      <c r="L735" s="9"/>
      <c r="M735" s="9"/>
    </row>
    <row r="736">
      <c r="A736" s="9"/>
      <c r="B736" s="9"/>
      <c r="C736" s="9"/>
      <c r="D736" s="9"/>
      <c r="E736" s="9"/>
      <c r="F736" s="9"/>
      <c r="G736" s="9"/>
      <c r="H736" s="9"/>
      <c r="I736" s="9"/>
      <c r="J736" s="9"/>
      <c r="K736" s="9"/>
      <c r="L736" s="9"/>
      <c r="M736" s="9"/>
    </row>
    <row r="737">
      <c r="A737" s="9"/>
      <c r="B737" s="9"/>
      <c r="C737" s="9"/>
      <c r="D737" s="9"/>
      <c r="E737" s="9"/>
      <c r="F737" s="9"/>
      <c r="G737" s="9"/>
      <c r="H737" s="9"/>
      <c r="I737" s="9"/>
      <c r="J737" s="9"/>
      <c r="K737" s="9"/>
      <c r="L737" s="9"/>
      <c r="M737" s="9"/>
    </row>
    <row r="738">
      <c r="A738" s="9"/>
      <c r="B738" s="9"/>
      <c r="C738" s="9"/>
      <c r="D738" s="9"/>
      <c r="E738" s="9"/>
      <c r="F738" s="9"/>
      <c r="G738" s="9"/>
      <c r="H738" s="9"/>
      <c r="I738" s="9"/>
      <c r="J738" s="9"/>
      <c r="K738" s="9"/>
      <c r="L738" s="9"/>
      <c r="M738" s="9"/>
    </row>
    <row r="739">
      <c r="A739" s="9"/>
      <c r="B739" s="9"/>
      <c r="C739" s="9"/>
      <c r="D739" s="9"/>
      <c r="E739" s="9"/>
      <c r="F739" s="9"/>
      <c r="G739" s="9"/>
      <c r="H739" s="9"/>
      <c r="I739" s="9"/>
      <c r="J739" s="9"/>
      <c r="K739" s="9"/>
      <c r="L739" s="9"/>
      <c r="M739" s="9"/>
    </row>
    <row r="740">
      <c r="A740" s="9"/>
      <c r="B740" s="9"/>
      <c r="C740" s="9"/>
      <c r="D740" s="9"/>
      <c r="E740" s="9"/>
      <c r="F740" s="9"/>
      <c r="G740" s="9"/>
      <c r="H740" s="9"/>
      <c r="I740" s="9"/>
      <c r="J740" s="9"/>
      <c r="K740" s="9"/>
      <c r="L740" s="9"/>
      <c r="M740" s="9"/>
    </row>
    <row r="741">
      <c r="A741" s="9"/>
      <c r="B741" s="9"/>
      <c r="C741" s="9"/>
      <c r="D741" s="9"/>
      <c r="E741" s="9"/>
      <c r="F741" s="9"/>
      <c r="G741" s="9"/>
      <c r="H741" s="9"/>
      <c r="I741" s="9"/>
      <c r="J741" s="9"/>
      <c r="K741" s="9"/>
      <c r="L741" s="9"/>
      <c r="M741" s="9"/>
    </row>
    <row r="742">
      <c r="A742" s="9"/>
      <c r="B742" s="9"/>
      <c r="C742" s="9"/>
      <c r="D742" s="9"/>
      <c r="E742" s="9"/>
      <c r="F742" s="9"/>
      <c r="G742" s="9"/>
      <c r="H742" s="9"/>
      <c r="I742" s="9"/>
      <c r="J742" s="9"/>
      <c r="K742" s="9"/>
      <c r="L742" s="9"/>
      <c r="M742" s="9"/>
    </row>
    <row r="743">
      <c r="A743" s="9"/>
      <c r="B743" s="9"/>
      <c r="C743" s="9"/>
      <c r="D743" s="9"/>
      <c r="E743" s="9"/>
      <c r="F743" s="9"/>
      <c r="G743" s="9"/>
      <c r="H743" s="9"/>
      <c r="I743" s="9"/>
      <c r="J743" s="9"/>
      <c r="K743" s="9"/>
      <c r="L743" s="9"/>
      <c r="M743" s="9"/>
    </row>
    <row r="744">
      <c r="A744" s="9"/>
      <c r="B744" s="9"/>
      <c r="C744" s="9"/>
      <c r="D744" s="9"/>
      <c r="E744" s="9"/>
      <c r="F744" s="9"/>
      <c r="G744" s="9"/>
      <c r="H744" s="9"/>
      <c r="I744" s="9"/>
      <c r="J744" s="9"/>
      <c r="K744" s="9"/>
      <c r="L744" s="9"/>
      <c r="M744" s="9"/>
    </row>
    <row r="745">
      <c r="A745" s="9"/>
      <c r="B745" s="9"/>
      <c r="C745" s="9"/>
      <c r="D745" s="9"/>
      <c r="E745" s="9"/>
      <c r="F745" s="9"/>
      <c r="G745" s="9"/>
      <c r="H745" s="9"/>
      <c r="I745" s="9"/>
      <c r="J745" s="9"/>
      <c r="K745" s="9"/>
      <c r="L745" s="9"/>
      <c r="M745" s="9"/>
    </row>
    <row r="746">
      <c r="A746" s="9"/>
      <c r="B746" s="9"/>
      <c r="C746" s="9"/>
      <c r="D746" s="9"/>
      <c r="E746" s="9"/>
      <c r="F746" s="9"/>
      <c r="G746" s="9"/>
      <c r="H746" s="9"/>
      <c r="I746" s="9"/>
      <c r="J746" s="9"/>
      <c r="K746" s="9"/>
      <c r="L746" s="9"/>
      <c r="M746" s="9"/>
    </row>
    <row r="747">
      <c r="A747" s="9"/>
      <c r="B747" s="9"/>
      <c r="C747" s="9"/>
      <c r="D747" s="9"/>
      <c r="E747" s="9"/>
      <c r="F747" s="9"/>
      <c r="G747" s="9"/>
      <c r="H747" s="9"/>
      <c r="I747" s="9"/>
      <c r="J747" s="9"/>
      <c r="K747" s="9"/>
      <c r="L747" s="9"/>
      <c r="M747" s="9"/>
    </row>
    <row r="748">
      <c r="A748" s="9"/>
      <c r="B748" s="9"/>
      <c r="C748" s="9"/>
      <c r="D748" s="9"/>
      <c r="E748" s="9"/>
      <c r="F748" s="9"/>
      <c r="G748" s="9"/>
      <c r="H748" s="9"/>
      <c r="I748" s="9"/>
      <c r="J748" s="9"/>
      <c r="K748" s="9"/>
      <c r="L748" s="9"/>
      <c r="M748" s="9"/>
    </row>
    <row r="749">
      <c r="A749" s="9"/>
      <c r="B749" s="9"/>
      <c r="C749" s="9"/>
      <c r="D749" s="9"/>
      <c r="E749" s="9"/>
      <c r="F749" s="9"/>
      <c r="G749" s="9"/>
      <c r="H749" s="9"/>
      <c r="I749" s="9"/>
      <c r="J749" s="9"/>
      <c r="K749" s="9"/>
      <c r="L749" s="9"/>
      <c r="M749" s="9"/>
    </row>
    <row r="750">
      <c r="A750" s="9"/>
      <c r="B750" s="9"/>
      <c r="C750" s="9"/>
      <c r="D750" s="9"/>
      <c r="E750" s="9"/>
      <c r="F750" s="9"/>
      <c r="G750" s="9"/>
      <c r="H750" s="9"/>
      <c r="I750" s="9"/>
      <c r="J750" s="9"/>
      <c r="K750" s="9"/>
      <c r="L750" s="9"/>
      <c r="M750" s="9"/>
    </row>
    <row r="751">
      <c r="A751" s="9"/>
      <c r="B751" s="9"/>
      <c r="C751" s="9"/>
      <c r="D751" s="9"/>
      <c r="E751" s="9"/>
      <c r="F751" s="9"/>
      <c r="G751" s="9"/>
      <c r="H751" s="9"/>
      <c r="I751" s="9"/>
      <c r="J751" s="9"/>
      <c r="K751" s="9"/>
      <c r="L751" s="9"/>
      <c r="M751" s="9"/>
    </row>
    <row r="752">
      <c r="A752" s="9"/>
      <c r="B752" s="9"/>
      <c r="C752" s="9"/>
      <c r="D752" s="9"/>
      <c r="E752" s="9"/>
      <c r="F752" s="9"/>
      <c r="G752" s="9"/>
      <c r="H752" s="9"/>
      <c r="I752" s="9"/>
      <c r="J752" s="9"/>
      <c r="K752" s="9"/>
      <c r="L752" s="9"/>
      <c r="M752" s="9"/>
    </row>
    <row r="753">
      <c r="A753" s="9"/>
      <c r="B753" s="9"/>
      <c r="C753" s="9"/>
      <c r="D753" s="9"/>
      <c r="E753" s="9"/>
      <c r="F753" s="9"/>
      <c r="G753" s="9"/>
      <c r="H753" s="9"/>
      <c r="I753" s="9"/>
      <c r="J753" s="9"/>
      <c r="K753" s="9"/>
      <c r="L753" s="9"/>
      <c r="M753" s="9"/>
    </row>
    <row r="754">
      <c r="A754" s="9"/>
      <c r="B754" s="9"/>
      <c r="C754" s="9"/>
      <c r="D754" s="9"/>
      <c r="E754" s="9"/>
      <c r="F754" s="9"/>
      <c r="G754" s="9"/>
      <c r="H754" s="9"/>
      <c r="I754" s="9"/>
      <c r="J754" s="9"/>
      <c r="K754" s="9"/>
      <c r="L754" s="9"/>
      <c r="M754" s="9"/>
    </row>
    <row r="755">
      <c r="A755" s="9"/>
      <c r="B755" s="9"/>
      <c r="C755" s="9"/>
      <c r="D755" s="9"/>
      <c r="E755" s="9"/>
      <c r="F755" s="9"/>
      <c r="G755" s="9"/>
      <c r="H755" s="9"/>
      <c r="I755" s="9"/>
      <c r="J755" s="9"/>
      <c r="K755" s="9"/>
      <c r="L755" s="9"/>
      <c r="M755" s="9"/>
    </row>
    <row r="756">
      <c r="A756" s="9"/>
      <c r="B756" s="9"/>
      <c r="C756" s="9"/>
      <c r="D756" s="9"/>
      <c r="E756" s="9"/>
      <c r="F756" s="9"/>
      <c r="G756" s="9"/>
      <c r="H756" s="9"/>
      <c r="I756" s="9"/>
      <c r="J756" s="9"/>
      <c r="K756" s="9"/>
      <c r="L756" s="9"/>
      <c r="M756" s="9"/>
    </row>
    <row r="757">
      <c r="A757" s="9"/>
      <c r="B757" s="9"/>
      <c r="C757" s="9"/>
      <c r="D757" s="9"/>
      <c r="E757" s="9"/>
      <c r="F757" s="9"/>
      <c r="G757" s="9"/>
      <c r="H757" s="9"/>
      <c r="I757" s="9"/>
      <c r="J757" s="9"/>
      <c r="K757" s="9"/>
      <c r="L757" s="9"/>
      <c r="M757" s="9"/>
    </row>
    <row r="758">
      <c r="A758" s="9"/>
      <c r="B758" s="9"/>
      <c r="C758" s="9"/>
      <c r="D758" s="9"/>
      <c r="E758" s="9"/>
      <c r="F758" s="9"/>
      <c r="G758" s="9"/>
      <c r="H758" s="9"/>
      <c r="I758" s="9"/>
      <c r="J758" s="9"/>
      <c r="K758" s="9"/>
      <c r="L758" s="9"/>
      <c r="M758" s="9"/>
    </row>
    <row r="759">
      <c r="A759" s="9"/>
      <c r="B759" s="9"/>
      <c r="C759" s="9"/>
      <c r="D759" s="9"/>
      <c r="E759" s="9"/>
      <c r="F759" s="9"/>
      <c r="G759" s="9"/>
      <c r="H759" s="9"/>
      <c r="I759" s="9"/>
      <c r="J759" s="9"/>
      <c r="K759" s="9"/>
      <c r="L759" s="9"/>
      <c r="M759" s="9"/>
    </row>
    <row r="760">
      <c r="A760" s="9"/>
      <c r="B760" s="9"/>
      <c r="C760" s="9"/>
      <c r="D760" s="9"/>
      <c r="E760" s="9"/>
      <c r="F760" s="9"/>
      <c r="G760" s="9"/>
      <c r="H760" s="9"/>
      <c r="I760" s="9"/>
      <c r="J760" s="9"/>
      <c r="K760" s="9"/>
      <c r="L760" s="9"/>
      <c r="M760" s="9"/>
    </row>
    <row r="761">
      <c r="A761" s="9"/>
      <c r="B761" s="9"/>
      <c r="C761" s="9"/>
      <c r="D761" s="9"/>
      <c r="E761" s="9"/>
      <c r="F761" s="9"/>
      <c r="G761" s="9"/>
      <c r="H761" s="9"/>
      <c r="I761" s="9"/>
      <c r="J761" s="9"/>
      <c r="K761" s="9"/>
      <c r="L761" s="9"/>
      <c r="M761" s="9"/>
    </row>
    <row r="762">
      <c r="A762" s="9"/>
      <c r="B762" s="9"/>
      <c r="C762" s="9"/>
      <c r="D762" s="9"/>
      <c r="E762" s="9"/>
      <c r="F762" s="9"/>
      <c r="G762" s="9"/>
      <c r="H762" s="9"/>
      <c r="I762" s="9"/>
      <c r="J762" s="9"/>
      <c r="K762" s="9"/>
      <c r="L762" s="9"/>
      <c r="M762" s="9"/>
    </row>
    <row r="763">
      <c r="A763" s="9"/>
      <c r="B763" s="9"/>
      <c r="C763" s="9"/>
      <c r="D763" s="9"/>
      <c r="E763" s="9"/>
      <c r="F763" s="9"/>
      <c r="G763" s="9"/>
      <c r="H763" s="9"/>
      <c r="I763" s="9"/>
      <c r="J763" s="9"/>
      <c r="K763" s="9"/>
      <c r="L763" s="9"/>
      <c r="M763" s="9"/>
    </row>
    <row r="764">
      <c r="A764" s="9"/>
      <c r="B764" s="9"/>
      <c r="C764" s="9"/>
      <c r="D764" s="9"/>
      <c r="E764" s="9"/>
      <c r="F764" s="9"/>
      <c r="G764" s="9"/>
      <c r="H764" s="9"/>
      <c r="I764" s="9"/>
      <c r="J764" s="9"/>
      <c r="K764" s="9"/>
      <c r="L764" s="9"/>
      <c r="M764" s="9"/>
    </row>
    <row r="765">
      <c r="A765" s="9"/>
      <c r="B765" s="9"/>
      <c r="C765" s="9"/>
      <c r="D765" s="9"/>
      <c r="E765" s="9"/>
      <c r="F765" s="9"/>
      <c r="G765" s="9"/>
      <c r="H765" s="9"/>
      <c r="I765" s="9"/>
      <c r="J765" s="9"/>
      <c r="K765" s="9"/>
      <c r="L765" s="9"/>
      <c r="M765" s="9"/>
    </row>
    <row r="766">
      <c r="A766" s="9"/>
      <c r="B766" s="9"/>
      <c r="C766" s="9"/>
      <c r="D766" s="9"/>
      <c r="E766" s="9"/>
      <c r="F766" s="9"/>
      <c r="G766" s="9"/>
      <c r="H766" s="9"/>
      <c r="I766" s="9"/>
      <c r="J766" s="9"/>
      <c r="K766" s="9"/>
      <c r="L766" s="9"/>
      <c r="M766" s="9"/>
    </row>
    <row r="767">
      <c r="A767" s="9"/>
      <c r="B767" s="9"/>
      <c r="C767" s="9"/>
      <c r="D767" s="9"/>
      <c r="E767" s="9"/>
      <c r="F767" s="9"/>
      <c r="G767" s="9"/>
      <c r="H767" s="9"/>
      <c r="I767" s="9"/>
      <c r="J767" s="9"/>
      <c r="K767" s="9"/>
      <c r="L767" s="9"/>
      <c r="M767" s="9"/>
    </row>
    <row r="768">
      <c r="A768" s="9"/>
      <c r="B768" s="9"/>
      <c r="C768" s="9"/>
      <c r="D768" s="9"/>
      <c r="E768" s="9"/>
      <c r="F768" s="9"/>
      <c r="G768" s="9"/>
      <c r="H768" s="9"/>
      <c r="I768" s="9"/>
      <c r="J768" s="9"/>
      <c r="K768" s="9"/>
      <c r="L768" s="9"/>
      <c r="M768" s="9"/>
    </row>
    <row r="769">
      <c r="A769" s="9"/>
      <c r="B769" s="9"/>
      <c r="C769" s="9"/>
      <c r="D769" s="9"/>
      <c r="E769" s="9"/>
      <c r="F769" s="9"/>
      <c r="G769" s="9"/>
      <c r="H769" s="9"/>
      <c r="I769" s="9"/>
      <c r="J769" s="9"/>
      <c r="K769" s="9"/>
      <c r="L769" s="9"/>
      <c r="M769" s="9"/>
    </row>
    <row r="770">
      <c r="A770" s="9"/>
      <c r="B770" s="9"/>
      <c r="C770" s="9"/>
      <c r="D770" s="9"/>
      <c r="E770" s="9"/>
      <c r="F770" s="9"/>
      <c r="G770" s="9"/>
      <c r="H770" s="9"/>
      <c r="I770" s="9"/>
      <c r="J770" s="9"/>
      <c r="K770" s="9"/>
      <c r="L770" s="9"/>
      <c r="M770" s="9"/>
    </row>
    <row r="771">
      <c r="A771" s="9"/>
      <c r="B771" s="9"/>
      <c r="C771" s="9"/>
      <c r="D771" s="9"/>
      <c r="E771" s="9"/>
      <c r="F771" s="9"/>
      <c r="G771" s="9"/>
      <c r="H771" s="9"/>
      <c r="I771" s="9"/>
      <c r="J771" s="9"/>
      <c r="K771" s="9"/>
      <c r="L771" s="9"/>
      <c r="M771" s="9"/>
    </row>
    <row r="772">
      <c r="A772" s="9"/>
      <c r="B772" s="9"/>
      <c r="C772" s="9"/>
      <c r="D772" s="9"/>
      <c r="E772" s="9"/>
      <c r="F772" s="9"/>
      <c r="G772" s="9"/>
      <c r="H772" s="9"/>
      <c r="I772" s="9"/>
      <c r="J772" s="9"/>
      <c r="K772" s="9"/>
      <c r="L772" s="9"/>
      <c r="M772" s="9"/>
    </row>
    <row r="773">
      <c r="A773" s="9"/>
      <c r="B773" s="9"/>
      <c r="C773" s="9"/>
      <c r="D773" s="9"/>
      <c r="E773" s="9"/>
      <c r="F773" s="9"/>
      <c r="G773" s="9"/>
      <c r="H773" s="9"/>
      <c r="I773" s="9"/>
      <c r="J773" s="9"/>
      <c r="K773" s="9"/>
      <c r="L773" s="9"/>
      <c r="M773" s="9"/>
    </row>
    <row r="774">
      <c r="A774" s="9"/>
      <c r="B774" s="9"/>
      <c r="C774" s="9"/>
      <c r="D774" s="9"/>
      <c r="E774" s="9"/>
      <c r="F774" s="9"/>
      <c r="G774" s="9"/>
      <c r="H774" s="9"/>
      <c r="I774" s="9"/>
      <c r="J774" s="9"/>
      <c r="K774" s="9"/>
      <c r="L774" s="9"/>
      <c r="M774" s="9"/>
    </row>
    <row r="775">
      <c r="A775" s="9"/>
      <c r="B775" s="9"/>
      <c r="C775" s="9"/>
      <c r="D775" s="9"/>
      <c r="E775" s="9"/>
      <c r="F775" s="9"/>
      <c r="G775" s="9"/>
      <c r="H775" s="9"/>
      <c r="I775" s="9"/>
      <c r="J775" s="9"/>
      <c r="K775" s="9"/>
      <c r="L775" s="9"/>
      <c r="M775" s="9"/>
    </row>
    <row r="776">
      <c r="A776" s="9"/>
      <c r="B776" s="9"/>
      <c r="C776" s="9"/>
      <c r="D776" s="9"/>
      <c r="E776" s="9"/>
      <c r="F776" s="9"/>
      <c r="G776" s="9"/>
      <c r="H776" s="9"/>
      <c r="I776" s="9"/>
      <c r="J776" s="9"/>
      <c r="K776" s="9"/>
      <c r="L776" s="9"/>
      <c r="M776" s="9"/>
    </row>
    <row r="777">
      <c r="A777" s="9"/>
      <c r="B777" s="9"/>
      <c r="C777" s="9"/>
      <c r="D777" s="9"/>
      <c r="E777" s="9"/>
      <c r="F777" s="9"/>
      <c r="G777" s="9"/>
      <c r="H777" s="9"/>
      <c r="I777" s="9"/>
      <c r="J777" s="9"/>
      <c r="K777" s="9"/>
      <c r="L777" s="9"/>
      <c r="M777" s="9"/>
    </row>
    <row r="778">
      <c r="A778" s="9"/>
      <c r="B778" s="9"/>
      <c r="C778" s="9"/>
      <c r="D778" s="9"/>
      <c r="E778" s="9"/>
      <c r="F778" s="9"/>
      <c r="G778" s="9"/>
      <c r="H778" s="9"/>
      <c r="I778" s="9"/>
      <c r="J778" s="9"/>
      <c r="K778" s="9"/>
      <c r="L778" s="9"/>
      <c r="M778" s="9"/>
    </row>
    <row r="779">
      <c r="A779" s="9"/>
      <c r="B779" s="9"/>
      <c r="C779" s="9"/>
      <c r="D779" s="9"/>
      <c r="E779" s="9"/>
      <c r="F779" s="9"/>
      <c r="G779" s="9"/>
      <c r="H779" s="9"/>
      <c r="I779" s="9"/>
      <c r="J779" s="9"/>
      <c r="K779" s="9"/>
      <c r="L779" s="9"/>
      <c r="M779" s="9"/>
    </row>
    <row r="780">
      <c r="A780" s="9"/>
      <c r="B780" s="9"/>
      <c r="C780" s="9"/>
      <c r="D780" s="9"/>
      <c r="E780" s="9"/>
      <c r="F780" s="9"/>
      <c r="G780" s="9"/>
      <c r="H780" s="9"/>
      <c r="I780" s="9"/>
      <c r="J780" s="9"/>
      <c r="K780" s="9"/>
      <c r="L780" s="9"/>
      <c r="M780" s="9"/>
    </row>
    <row r="781">
      <c r="A781" s="9"/>
      <c r="B781" s="9"/>
      <c r="C781" s="9"/>
      <c r="D781" s="9"/>
      <c r="E781" s="9"/>
      <c r="F781" s="9"/>
      <c r="G781" s="9"/>
      <c r="H781" s="9"/>
      <c r="I781" s="9"/>
      <c r="J781" s="9"/>
      <c r="K781" s="9"/>
      <c r="L781" s="9"/>
      <c r="M781" s="9"/>
    </row>
    <row r="782">
      <c r="A782" s="9"/>
      <c r="B782" s="9"/>
      <c r="C782" s="9"/>
      <c r="D782" s="9"/>
      <c r="E782" s="9"/>
      <c r="F782" s="9"/>
      <c r="G782" s="9"/>
      <c r="H782" s="9"/>
      <c r="I782" s="9"/>
      <c r="J782" s="9"/>
      <c r="K782" s="9"/>
      <c r="L782" s="9"/>
      <c r="M782" s="9"/>
    </row>
    <row r="783">
      <c r="A783" s="9"/>
      <c r="B783" s="9"/>
      <c r="C783" s="9"/>
      <c r="D783" s="9"/>
      <c r="E783" s="9"/>
      <c r="F783" s="9"/>
      <c r="G783" s="9"/>
      <c r="H783" s="9"/>
      <c r="I783" s="9"/>
      <c r="J783" s="9"/>
      <c r="K783" s="9"/>
      <c r="L783" s="9"/>
      <c r="M783" s="9"/>
    </row>
    <row r="784">
      <c r="A784" s="9"/>
      <c r="B784" s="9"/>
      <c r="C784" s="9"/>
      <c r="D784" s="9"/>
      <c r="E784" s="9"/>
      <c r="F784" s="9"/>
      <c r="G784" s="9"/>
      <c r="H784" s="9"/>
      <c r="I784" s="9"/>
      <c r="J784" s="9"/>
      <c r="K784" s="9"/>
      <c r="L784" s="9"/>
      <c r="M784" s="9"/>
    </row>
    <row r="785">
      <c r="A785" s="9"/>
      <c r="B785" s="9"/>
      <c r="C785" s="9"/>
      <c r="D785" s="9"/>
      <c r="E785" s="9"/>
      <c r="F785" s="9"/>
      <c r="G785" s="9"/>
      <c r="H785" s="9"/>
      <c r="I785" s="9"/>
      <c r="J785" s="9"/>
      <c r="K785" s="9"/>
      <c r="L785" s="9"/>
      <c r="M785" s="9"/>
    </row>
    <row r="786">
      <c r="A786" s="9"/>
      <c r="B786" s="9"/>
      <c r="C786" s="9"/>
      <c r="D786" s="9"/>
      <c r="E786" s="9"/>
      <c r="F786" s="9"/>
      <c r="G786" s="9"/>
      <c r="H786" s="9"/>
      <c r="I786" s="9"/>
      <c r="J786" s="9"/>
      <c r="K786" s="9"/>
      <c r="L786" s="9"/>
      <c r="M786" s="9"/>
    </row>
    <row r="787">
      <c r="A787" s="9"/>
      <c r="B787" s="9"/>
      <c r="C787" s="9"/>
      <c r="D787" s="9"/>
      <c r="E787" s="9"/>
      <c r="F787" s="9"/>
      <c r="G787" s="9"/>
      <c r="H787" s="9"/>
      <c r="I787" s="9"/>
      <c r="J787" s="9"/>
      <c r="K787" s="9"/>
      <c r="L787" s="9"/>
      <c r="M787" s="9"/>
    </row>
    <row r="788">
      <c r="A788" s="9"/>
      <c r="B788" s="9"/>
      <c r="C788" s="9"/>
      <c r="D788" s="9"/>
      <c r="E788" s="9"/>
      <c r="F788" s="9"/>
      <c r="G788" s="9"/>
      <c r="H788" s="9"/>
      <c r="I788" s="9"/>
      <c r="J788" s="9"/>
      <c r="K788" s="9"/>
      <c r="L788" s="9"/>
      <c r="M788" s="9"/>
    </row>
    <row r="789">
      <c r="A789" s="9"/>
      <c r="B789" s="9"/>
      <c r="C789" s="9"/>
      <c r="D789" s="9"/>
      <c r="E789" s="9"/>
      <c r="F789" s="9"/>
      <c r="G789" s="9"/>
      <c r="H789" s="9"/>
      <c r="I789" s="9"/>
      <c r="J789" s="9"/>
      <c r="K789" s="9"/>
      <c r="L789" s="9"/>
      <c r="M789" s="9"/>
    </row>
    <row r="790">
      <c r="A790" s="9"/>
      <c r="B790" s="9"/>
      <c r="C790" s="9"/>
      <c r="D790" s="9"/>
      <c r="E790" s="9"/>
      <c r="F790" s="9"/>
      <c r="G790" s="9"/>
      <c r="H790" s="9"/>
      <c r="I790" s="9"/>
      <c r="J790" s="9"/>
      <c r="K790" s="9"/>
      <c r="L790" s="9"/>
      <c r="M790" s="9"/>
    </row>
    <row r="791">
      <c r="A791" s="9"/>
      <c r="B791" s="9"/>
      <c r="C791" s="9"/>
      <c r="D791" s="9"/>
      <c r="E791" s="9"/>
      <c r="F791" s="9"/>
      <c r="G791" s="9"/>
      <c r="H791" s="9"/>
      <c r="I791" s="9"/>
      <c r="J791" s="9"/>
      <c r="K791" s="9"/>
      <c r="L791" s="9"/>
      <c r="M791" s="9"/>
    </row>
    <row r="792">
      <c r="A792" s="9"/>
      <c r="B792" s="9"/>
      <c r="C792" s="9"/>
      <c r="D792" s="9"/>
      <c r="E792" s="9"/>
      <c r="F792" s="9"/>
      <c r="G792" s="9"/>
      <c r="H792" s="9"/>
      <c r="I792" s="9"/>
      <c r="J792" s="9"/>
      <c r="K792" s="9"/>
      <c r="L792" s="9"/>
      <c r="M792" s="9"/>
    </row>
    <row r="793">
      <c r="A793" s="9"/>
      <c r="B793" s="9"/>
      <c r="C793" s="9"/>
      <c r="D793" s="9"/>
      <c r="E793" s="9"/>
      <c r="F793" s="9"/>
      <c r="G793" s="9"/>
      <c r="H793" s="9"/>
      <c r="I793" s="9"/>
      <c r="J793" s="9"/>
      <c r="K793" s="9"/>
      <c r="L793" s="9"/>
      <c r="M793" s="9"/>
    </row>
    <row r="794">
      <c r="A794" s="9"/>
      <c r="B794" s="9"/>
      <c r="C794" s="9"/>
      <c r="D794" s="9"/>
      <c r="E794" s="9"/>
      <c r="F794" s="9"/>
      <c r="G794" s="9"/>
      <c r="H794" s="9"/>
      <c r="I794" s="9"/>
      <c r="J794" s="9"/>
      <c r="K794" s="9"/>
      <c r="L794" s="9"/>
      <c r="M794" s="9"/>
    </row>
    <row r="795">
      <c r="A795" s="9"/>
      <c r="B795" s="9"/>
      <c r="C795" s="9"/>
      <c r="D795" s="9"/>
      <c r="E795" s="9"/>
      <c r="F795" s="9"/>
      <c r="G795" s="9"/>
      <c r="H795" s="9"/>
      <c r="I795" s="9"/>
      <c r="J795" s="9"/>
      <c r="K795" s="9"/>
      <c r="L795" s="9"/>
      <c r="M795" s="9"/>
    </row>
    <row r="796">
      <c r="A796" s="9"/>
      <c r="B796" s="9"/>
      <c r="C796" s="9"/>
      <c r="D796" s="9"/>
      <c r="E796" s="9"/>
      <c r="F796" s="9"/>
      <c r="G796" s="9"/>
      <c r="H796" s="9"/>
      <c r="I796" s="9"/>
      <c r="J796" s="9"/>
      <c r="K796" s="9"/>
      <c r="L796" s="9"/>
      <c r="M796" s="9"/>
    </row>
    <row r="797">
      <c r="A797" s="9"/>
      <c r="B797" s="9"/>
      <c r="C797" s="9"/>
      <c r="D797" s="9"/>
      <c r="E797" s="9"/>
      <c r="F797" s="9"/>
      <c r="G797" s="9"/>
      <c r="H797" s="9"/>
      <c r="I797" s="9"/>
      <c r="J797" s="9"/>
      <c r="K797" s="9"/>
      <c r="L797" s="9"/>
      <c r="M797" s="9"/>
    </row>
    <row r="798">
      <c r="A798" s="9"/>
      <c r="B798" s="9"/>
      <c r="C798" s="9"/>
      <c r="D798" s="9"/>
      <c r="E798" s="9"/>
      <c r="F798" s="9"/>
      <c r="G798" s="9"/>
      <c r="H798" s="9"/>
      <c r="I798" s="9"/>
      <c r="J798" s="9"/>
      <c r="K798" s="9"/>
      <c r="L798" s="9"/>
      <c r="M798" s="9"/>
    </row>
    <row r="799">
      <c r="A799" s="9"/>
      <c r="B799" s="9"/>
      <c r="C799" s="9"/>
      <c r="D799" s="9"/>
      <c r="E799" s="9"/>
      <c r="F799" s="9"/>
      <c r="G799" s="9"/>
      <c r="H799" s="9"/>
      <c r="I799" s="9"/>
      <c r="J799" s="9"/>
      <c r="K799" s="9"/>
      <c r="L799" s="9"/>
      <c r="M799" s="9"/>
    </row>
    <row r="800">
      <c r="A800" s="9"/>
      <c r="B800" s="9"/>
      <c r="C800" s="9"/>
      <c r="D800" s="9"/>
      <c r="E800" s="9"/>
      <c r="F800" s="9"/>
      <c r="G800" s="9"/>
      <c r="H800" s="9"/>
      <c r="I800" s="9"/>
      <c r="J800" s="9"/>
      <c r="K800" s="9"/>
      <c r="L800" s="9"/>
      <c r="M800" s="9"/>
    </row>
    <row r="801">
      <c r="A801" s="9"/>
      <c r="B801" s="9"/>
      <c r="C801" s="9"/>
      <c r="D801" s="9"/>
      <c r="E801" s="9"/>
      <c r="F801" s="9"/>
      <c r="G801" s="9"/>
      <c r="H801" s="9"/>
      <c r="I801" s="9"/>
      <c r="J801" s="9"/>
      <c r="K801" s="9"/>
      <c r="L801" s="9"/>
      <c r="M801" s="9"/>
    </row>
    <row r="802">
      <c r="A802" s="9"/>
      <c r="B802" s="9"/>
      <c r="C802" s="9"/>
      <c r="D802" s="9"/>
      <c r="E802" s="9"/>
      <c r="F802" s="9"/>
      <c r="G802" s="9"/>
      <c r="H802" s="9"/>
      <c r="I802" s="9"/>
      <c r="J802" s="9"/>
      <c r="K802" s="9"/>
      <c r="L802" s="9"/>
      <c r="M802" s="9"/>
    </row>
    <row r="803">
      <c r="A803" s="9"/>
      <c r="B803" s="9"/>
      <c r="C803" s="9"/>
      <c r="D803" s="9"/>
      <c r="E803" s="9"/>
      <c r="F803" s="9"/>
      <c r="G803" s="9"/>
      <c r="H803" s="9"/>
      <c r="I803" s="9"/>
      <c r="J803" s="9"/>
      <c r="K803" s="9"/>
      <c r="L803" s="9"/>
      <c r="M803" s="9"/>
    </row>
    <row r="804">
      <c r="A804" s="9"/>
      <c r="B804" s="9"/>
      <c r="C804" s="9"/>
      <c r="D804" s="9"/>
      <c r="E804" s="9"/>
      <c r="F804" s="9"/>
      <c r="G804" s="9"/>
      <c r="H804" s="9"/>
      <c r="I804" s="9"/>
      <c r="J804" s="9"/>
      <c r="K804" s="9"/>
      <c r="L804" s="9"/>
      <c r="M804" s="9"/>
    </row>
    <row r="805">
      <c r="A805" s="9"/>
      <c r="B805" s="9"/>
      <c r="C805" s="9"/>
      <c r="D805" s="9"/>
      <c r="E805" s="9"/>
      <c r="F805" s="9"/>
      <c r="G805" s="9"/>
      <c r="H805" s="9"/>
      <c r="I805" s="9"/>
      <c r="J805" s="9"/>
      <c r="K805" s="9"/>
      <c r="L805" s="9"/>
      <c r="M805" s="9"/>
    </row>
    <row r="806">
      <c r="A806" s="9"/>
      <c r="B806" s="9"/>
      <c r="C806" s="9"/>
      <c r="D806" s="9"/>
      <c r="E806" s="9"/>
      <c r="F806" s="9"/>
      <c r="G806" s="9"/>
      <c r="H806" s="9"/>
      <c r="I806" s="9"/>
      <c r="J806" s="9"/>
      <c r="K806" s="9"/>
      <c r="L806" s="9"/>
      <c r="M806" s="9"/>
    </row>
    <row r="807">
      <c r="A807" s="9"/>
      <c r="B807" s="9"/>
      <c r="C807" s="9"/>
      <c r="D807" s="9"/>
      <c r="E807" s="9"/>
      <c r="F807" s="9"/>
      <c r="G807" s="9"/>
      <c r="H807" s="9"/>
      <c r="I807" s="9"/>
      <c r="J807" s="9"/>
      <c r="K807" s="9"/>
      <c r="L807" s="9"/>
      <c r="M807" s="9"/>
    </row>
    <row r="808">
      <c r="A808" s="9"/>
      <c r="B808" s="9"/>
      <c r="C808" s="9"/>
      <c r="D808" s="9"/>
      <c r="E808" s="9"/>
      <c r="F808" s="9"/>
      <c r="G808" s="9"/>
      <c r="H808" s="9"/>
      <c r="I808" s="9"/>
      <c r="J808" s="9"/>
      <c r="K808" s="9"/>
      <c r="L808" s="9"/>
      <c r="M808" s="9"/>
    </row>
    <row r="809">
      <c r="A809" s="9"/>
      <c r="B809" s="9"/>
      <c r="C809" s="9"/>
      <c r="D809" s="9"/>
      <c r="E809" s="9"/>
      <c r="F809" s="9"/>
      <c r="G809" s="9"/>
      <c r="H809" s="9"/>
      <c r="I809" s="9"/>
      <c r="J809" s="9"/>
      <c r="K809" s="9"/>
      <c r="L809" s="9"/>
      <c r="M809" s="9"/>
    </row>
    <row r="810">
      <c r="A810" s="9"/>
      <c r="B810" s="9"/>
      <c r="C810" s="9"/>
      <c r="D810" s="9"/>
      <c r="E810" s="9"/>
      <c r="F810" s="9"/>
      <c r="G810" s="9"/>
      <c r="H810" s="9"/>
      <c r="I810" s="9"/>
      <c r="J810" s="9"/>
      <c r="K810" s="9"/>
      <c r="L810" s="9"/>
      <c r="M810" s="9"/>
    </row>
    <row r="811">
      <c r="A811" s="9"/>
      <c r="B811" s="9"/>
      <c r="C811" s="9"/>
      <c r="D811" s="9"/>
      <c r="E811" s="9"/>
      <c r="F811" s="9"/>
      <c r="G811" s="9"/>
      <c r="H811" s="9"/>
      <c r="I811" s="9"/>
      <c r="J811" s="9"/>
      <c r="K811" s="9"/>
      <c r="L811" s="9"/>
      <c r="M811" s="9"/>
    </row>
    <row r="812">
      <c r="A812" s="9"/>
      <c r="B812" s="9"/>
      <c r="C812" s="9"/>
      <c r="D812" s="9"/>
      <c r="E812" s="9"/>
      <c r="F812" s="9"/>
      <c r="G812" s="9"/>
      <c r="H812" s="9"/>
      <c r="I812" s="9"/>
      <c r="J812" s="9"/>
      <c r="K812" s="9"/>
      <c r="L812" s="9"/>
      <c r="M812" s="9"/>
    </row>
    <row r="813">
      <c r="A813" s="9"/>
      <c r="B813" s="9"/>
      <c r="C813" s="9"/>
      <c r="D813" s="9"/>
      <c r="E813" s="9"/>
      <c r="F813" s="9"/>
      <c r="G813" s="9"/>
      <c r="H813" s="9"/>
      <c r="I813" s="9"/>
      <c r="J813" s="9"/>
      <c r="K813" s="9"/>
      <c r="L813" s="9"/>
      <c r="M813" s="9"/>
    </row>
    <row r="814">
      <c r="A814" s="9"/>
      <c r="B814" s="9"/>
      <c r="C814" s="9"/>
      <c r="D814" s="9"/>
      <c r="E814" s="9"/>
      <c r="F814" s="9"/>
      <c r="G814" s="9"/>
      <c r="H814" s="9"/>
      <c r="I814" s="9"/>
      <c r="J814" s="9"/>
      <c r="K814" s="9"/>
      <c r="L814" s="9"/>
      <c r="M814" s="9"/>
    </row>
    <row r="815">
      <c r="A815" s="9"/>
      <c r="B815" s="9"/>
      <c r="C815" s="9"/>
      <c r="D815" s="9"/>
      <c r="E815" s="9"/>
      <c r="F815" s="9"/>
      <c r="G815" s="9"/>
      <c r="H815" s="9"/>
      <c r="I815" s="9"/>
      <c r="J815" s="9"/>
      <c r="K815" s="9"/>
      <c r="L815" s="9"/>
      <c r="M815" s="9"/>
    </row>
    <row r="816">
      <c r="A816" s="9"/>
      <c r="B816" s="9"/>
      <c r="C816" s="9"/>
      <c r="D816" s="9"/>
      <c r="E816" s="9"/>
      <c r="F816" s="9"/>
      <c r="G816" s="9"/>
      <c r="H816" s="9"/>
      <c r="I816" s="9"/>
      <c r="J816" s="9"/>
      <c r="K816" s="9"/>
      <c r="L816" s="9"/>
      <c r="M816" s="9"/>
    </row>
    <row r="817">
      <c r="A817" s="9"/>
      <c r="B817" s="9"/>
      <c r="C817" s="9"/>
      <c r="D817" s="9"/>
      <c r="E817" s="9"/>
      <c r="F817" s="9"/>
      <c r="G817" s="9"/>
      <c r="H817" s="9"/>
      <c r="I817" s="9"/>
      <c r="J817" s="9"/>
      <c r="K817" s="9"/>
      <c r="L817" s="9"/>
      <c r="M817" s="9"/>
    </row>
    <row r="818">
      <c r="A818" s="9"/>
      <c r="B818" s="9"/>
      <c r="C818" s="9"/>
      <c r="D818" s="9"/>
      <c r="E818" s="9"/>
      <c r="F818" s="9"/>
      <c r="G818" s="9"/>
      <c r="H818" s="9"/>
      <c r="I818" s="9"/>
      <c r="J818" s="9"/>
      <c r="K818" s="9"/>
      <c r="L818" s="9"/>
      <c r="M818" s="9"/>
    </row>
    <row r="819">
      <c r="A819" s="9"/>
      <c r="B819" s="9"/>
      <c r="C819" s="9"/>
      <c r="D819" s="9"/>
      <c r="E819" s="9"/>
      <c r="F819" s="9"/>
      <c r="G819" s="9"/>
      <c r="H819" s="9"/>
      <c r="I819" s="9"/>
      <c r="J819" s="9"/>
      <c r="K819" s="9"/>
      <c r="L819" s="9"/>
      <c r="M819" s="9"/>
    </row>
    <row r="820">
      <c r="A820" s="9"/>
      <c r="B820" s="9"/>
      <c r="C820" s="9"/>
      <c r="D820" s="9"/>
      <c r="E820" s="9"/>
      <c r="F820" s="9"/>
      <c r="G820" s="9"/>
      <c r="H820" s="9"/>
      <c r="I820" s="9"/>
      <c r="J820" s="9"/>
      <c r="K820" s="9"/>
      <c r="L820" s="9"/>
      <c r="M820" s="9"/>
    </row>
    <row r="821">
      <c r="A821" s="9"/>
      <c r="B821" s="9"/>
      <c r="C821" s="9"/>
      <c r="D821" s="9"/>
      <c r="E821" s="9"/>
      <c r="F821" s="9"/>
      <c r="G821" s="9"/>
      <c r="H821" s="9"/>
      <c r="I821" s="9"/>
      <c r="J821" s="9"/>
      <c r="K821" s="9"/>
      <c r="L821" s="9"/>
      <c r="M821" s="9"/>
    </row>
    <row r="822">
      <c r="A822" s="9"/>
      <c r="B822" s="9"/>
      <c r="C822" s="9"/>
      <c r="D822" s="9"/>
      <c r="E822" s="9"/>
      <c r="F822" s="9"/>
      <c r="G822" s="9"/>
      <c r="H822" s="9"/>
      <c r="I822" s="9"/>
      <c r="J822" s="9"/>
      <c r="K822" s="9"/>
      <c r="L822" s="9"/>
      <c r="M822" s="9"/>
    </row>
    <row r="823">
      <c r="A823" s="9"/>
      <c r="B823" s="9"/>
      <c r="C823" s="9"/>
      <c r="D823" s="9"/>
      <c r="E823" s="9"/>
      <c r="F823" s="9"/>
      <c r="G823" s="9"/>
      <c r="H823" s="9"/>
      <c r="I823" s="9"/>
      <c r="J823" s="9"/>
      <c r="K823" s="9"/>
      <c r="L823" s="9"/>
      <c r="M823" s="9"/>
    </row>
    <row r="824">
      <c r="A824" s="9"/>
      <c r="B824" s="9"/>
      <c r="C824" s="9"/>
      <c r="D824" s="9"/>
      <c r="E824" s="9"/>
      <c r="F824" s="9"/>
      <c r="G824" s="9"/>
      <c r="H824" s="9"/>
      <c r="I824" s="9"/>
      <c r="J824" s="9"/>
      <c r="K824" s="9"/>
      <c r="L824" s="9"/>
      <c r="M824" s="9"/>
    </row>
    <row r="825">
      <c r="A825" s="9"/>
      <c r="B825" s="9"/>
      <c r="C825" s="9"/>
      <c r="D825" s="9"/>
      <c r="E825" s="9"/>
      <c r="F825" s="9"/>
      <c r="G825" s="9"/>
      <c r="H825" s="9"/>
      <c r="I825" s="9"/>
      <c r="J825" s="9"/>
      <c r="K825" s="9"/>
      <c r="L825" s="9"/>
      <c r="M825" s="9"/>
    </row>
    <row r="826">
      <c r="A826" s="9"/>
      <c r="B826" s="9"/>
      <c r="C826" s="9"/>
      <c r="D826" s="9"/>
      <c r="E826" s="9"/>
      <c r="F826" s="9"/>
      <c r="G826" s="9"/>
      <c r="H826" s="9"/>
      <c r="I826" s="9"/>
      <c r="J826" s="9"/>
      <c r="K826" s="9"/>
      <c r="L826" s="9"/>
      <c r="M826" s="9"/>
    </row>
    <row r="827">
      <c r="A827" s="9"/>
      <c r="B827" s="9"/>
      <c r="C827" s="9"/>
      <c r="D827" s="9"/>
      <c r="E827" s="9"/>
      <c r="F827" s="9"/>
      <c r="G827" s="9"/>
      <c r="H827" s="9"/>
      <c r="I827" s="9"/>
      <c r="J827" s="9"/>
      <c r="K827" s="9"/>
      <c r="L827" s="9"/>
      <c r="M827" s="9"/>
    </row>
    <row r="828">
      <c r="A828" s="9"/>
      <c r="B828" s="9"/>
      <c r="C828" s="9"/>
      <c r="D828" s="9"/>
      <c r="E828" s="9"/>
      <c r="F828" s="9"/>
      <c r="G828" s="9"/>
      <c r="H828" s="9"/>
      <c r="I828" s="9"/>
      <c r="J828" s="9"/>
      <c r="K828" s="9"/>
      <c r="L828" s="9"/>
      <c r="M828" s="9"/>
    </row>
    <row r="829">
      <c r="A829" s="9"/>
      <c r="B829" s="9"/>
      <c r="C829" s="9"/>
      <c r="D829" s="9"/>
      <c r="E829" s="9"/>
      <c r="F829" s="9"/>
      <c r="G829" s="9"/>
      <c r="H829" s="9"/>
      <c r="I829" s="9"/>
      <c r="J829" s="9"/>
      <c r="K829" s="9"/>
      <c r="L829" s="9"/>
      <c r="M829" s="9"/>
    </row>
    <row r="830">
      <c r="A830" s="9"/>
      <c r="B830" s="9"/>
      <c r="C830" s="9"/>
      <c r="D830" s="9"/>
      <c r="E830" s="9"/>
      <c r="F830" s="9"/>
      <c r="G830" s="9"/>
      <c r="H830" s="9"/>
      <c r="I830" s="9"/>
      <c r="J830" s="9"/>
      <c r="K830" s="9"/>
      <c r="L830" s="9"/>
      <c r="M830" s="9"/>
    </row>
    <row r="831">
      <c r="A831" s="9"/>
      <c r="B831" s="9"/>
      <c r="C831" s="9"/>
      <c r="D831" s="9"/>
      <c r="E831" s="9"/>
      <c r="F831" s="9"/>
      <c r="G831" s="9"/>
      <c r="H831" s="9"/>
      <c r="I831" s="9"/>
      <c r="J831" s="9"/>
      <c r="K831" s="9"/>
      <c r="L831" s="9"/>
      <c r="M831" s="9"/>
    </row>
    <row r="832">
      <c r="A832" s="9"/>
      <c r="B832" s="9"/>
      <c r="C832" s="9"/>
      <c r="D832" s="9"/>
      <c r="E832" s="9"/>
      <c r="F832" s="9"/>
      <c r="G832" s="9"/>
      <c r="H832" s="9"/>
      <c r="I832" s="9"/>
      <c r="J832" s="9"/>
      <c r="K832" s="9"/>
      <c r="L832" s="9"/>
      <c r="M832" s="9"/>
    </row>
    <row r="833">
      <c r="A833" s="9"/>
      <c r="B833" s="9"/>
      <c r="C833" s="9"/>
      <c r="D833" s="9"/>
      <c r="E833" s="9"/>
      <c r="F833" s="9"/>
      <c r="G833" s="9"/>
      <c r="H833" s="9"/>
      <c r="I833" s="9"/>
      <c r="J833" s="9"/>
      <c r="K833" s="9"/>
      <c r="L833" s="9"/>
      <c r="M833" s="9"/>
    </row>
    <row r="834">
      <c r="A834" s="9"/>
      <c r="B834" s="9"/>
      <c r="C834" s="9"/>
      <c r="D834" s="9"/>
      <c r="E834" s="9"/>
      <c r="F834" s="9"/>
      <c r="G834" s="9"/>
      <c r="H834" s="9"/>
      <c r="I834" s="9"/>
      <c r="J834" s="9"/>
      <c r="K834" s="9"/>
      <c r="L834" s="9"/>
      <c r="M834" s="9"/>
    </row>
    <row r="835">
      <c r="A835" s="9"/>
      <c r="B835" s="9"/>
      <c r="C835" s="9"/>
      <c r="D835" s="9"/>
      <c r="E835" s="9"/>
      <c r="F835" s="9"/>
      <c r="G835" s="9"/>
      <c r="H835" s="9"/>
      <c r="I835" s="9"/>
      <c r="J835" s="9"/>
      <c r="K835" s="9"/>
      <c r="L835" s="9"/>
      <c r="M835" s="9"/>
    </row>
    <row r="836">
      <c r="A836" s="9"/>
      <c r="B836" s="9"/>
      <c r="C836" s="9"/>
      <c r="D836" s="9"/>
      <c r="E836" s="9"/>
      <c r="F836" s="9"/>
      <c r="G836" s="9"/>
      <c r="H836" s="9"/>
      <c r="I836" s="9"/>
      <c r="J836" s="9"/>
      <c r="K836" s="9"/>
      <c r="L836" s="9"/>
      <c r="M836" s="9"/>
    </row>
    <row r="837">
      <c r="A837" s="9"/>
      <c r="B837" s="9"/>
      <c r="C837" s="9"/>
      <c r="D837" s="9"/>
      <c r="E837" s="9"/>
      <c r="F837" s="9"/>
      <c r="G837" s="9"/>
      <c r="H837" s="9"/>
      <c r="I837" s="9"/>
      <c r="J837" s="9"/>
      <c r="K837" s="9"/>
      <c r="L837" s="9"/>
      <c r="M837" s="9"/>
    </row>
    <row r="838">
      <c r="A838" s="9"/>
      <c r="B838" s="9"/>
      <c r="C838" s="9"/>
      <c r="D838" s="9"/>
      <c r="E838" s="9"/>
      <c r="F838" s="9"/>
      <c r="G838" s="9"/>
      <c r="H838" s="9"/>
      <c r="I838" s="9"/>
      <c r="J838" s="9"/>
      <c r="K838" s="9"/>
      <c r="L838" s="9"/>
      <c r="M838" s="9"/>
    </row>
    <row r="839">
      <c r="A839" s="9"/>
      <c r="B839" s="9"/>
      <c r="C839" s="9"/>
      <c r="D839" s="9"/>
      <c r="E839" s="9"/>
      <c r="F839" s="9"/>
      <c r="G839" s="9"/>
      <c r="H839" s="9"/>
      <c r="I839" s="9"/>
      <c r="J839" s="9"/>
      <c r="K839" s="9"/>
      <c r="L839" s="9"/>
      <c r="M839" s="9"/>
    </row>
    <row r="840">
      <c r="A840" s="9"/>
      <c r="B840" s="9"/>
      <c r="C840" s="9"/>
      <c r="D840" s="9"/>
      <c r="E840" s="9"/>
      <c r="F840" s="9"/>
      <c r="G840" s="9"/>
      <c r="H840" s="9"/>
      <c r="I840" s="9"/>
      <c r="J840" s="9"/>
      <c r="K840" s="9"/>
      <c r="L840" s="9"/>
      <c r="M840" s="9"/>
    </row>
    <row r="841">
      <c r="A841" s="9"/>
      <c r="B841" s="9"/>
      <c r="C841" s="9"/>
      <c r="D841" s="9"/>
      <c r="E841" s="9"/>
      <c r="F841" s="9"/>
      <c r="G841" s="9"/>
      <c r="H841" s="9"/>
      <c r="I841" s="9"/>
      <c r="J841" s="9"/>
      <c r="K841" s="9"/>
      <c r="L841" s="9"/>
      <c r="M841" s="9"/>
    </row>
    <row r="842">
      <c r="A842" s="9"/>
      <c r="B842" s="9"/>
      <c r="C842" s="9"/>
      <c r="D842" s="9"/>
      <c r="E842" s="9"/>
      <c r="F842" s="9"/>
      <c r="G842" s="9"/>
      <c r="H842" s="9"/>
      <c r="I842" s="9"/>
      <c r="J842" s="9"/>
      <c r="K842" s="9"/>
      <c r="L842" s="9"/>
      <c r="M842" s="9"/>
    </row>
    <row r="843">
      <c r="A843" s="9"/>
      <c r="B843" s="9"/>
      <c r="C843" s="9"/>
      <c r="D843" s="9"/>
      <c r="E843" s="9"/>
      <c r="F843" s="9"/>
      <c r="G843" s="9"/>
      <c r="H843" s="9"/>
      <c r="I843" s="9"/>
      <c r="J843" s="9"/>
      <c r="K843" s="9"/>
      <c r="L843" s="9"/>
      <c r="M843" s="9"/>
    </row>
    <row r="844">
      <c r="A844" s="9"/>
      <c r="B844" s="9"/>
      <c r="C844" s="9"/>
      <c r="D844" s="9"/>
      <c r="E844" s="9"/>
      <c r="F844" s="9"/>
      <c r="G844" s="9"/>
      <c r="H844" s="9"/>
      <c r="I844" s="9"/>
      <c r="J844" s="9"/>
      <c r="K844" s="9"/>
      <c r="L844" s="9"/>
      <c r="M844" s="9"/>
    </row>
    <row r="845">
      <c r="A845" s="9"/>
      <c r="B845" s="9"/>
      <c r="C845" s="9"/>
      <c r="D845" s="9"/>
      <c r="E845" s="9"/>
      <c r="F845" s="9"/>
      <c r="G845" s="9"/>
      <c r="H845" s="9"/>
      <c r="I845" s="9"/>
      <c r="J845" s="9"/>
      <c r="K845" s="9"/>
      <c r="L845" s="9"/>
      <c r="M845" s="9"/>
    </row>
    <row r="846">
      <c r="A846" s="9"/>
      <c r="B846" s="9"/>
      <c r="C846" s="9"/>
      <c r="D846" s="9"/>
      <c r="E846" s="9"/>
      <c r="F846" s="9"/>
      <c r="G846" s="9"/>
      <c r="H846" s="9"/>
      <c r="I846" s="9"/>
      <c r="J846" s="9"/>
      <c r="K846" s="9"/>
      <c r="L846" s="9"/>
      <c r="M846" s="9"/>
    </row>
    <row r="847">
      <c r="A847" s="9"/>
      <c r="B847" s="9"/>
      <c r="C847" s="9"/>
      <c r="D847" s="9"/>
      <c r="E847" s="9"/>
      <c r="F847" s="9"/>
      <c r="G847" s="9"/>
      <c r="H847" s="9"/>
      <c r="I847" s="9"/>
      <c r="J847" s="9"/>
      <c r="K847" s="9"/>
      <c r="L847" s="9"/>
      <c r="M847" s="9"/>
    </row>
    <row r="848">
      <c r="A848" s="9"/>
      <c r="B848" s="9"/>
      <c r="C848" s="9"/>
      <c r="D848" s="9"/>
      <c r="E848" s="9"/>
      <c r="F848" s="9"/>
      <c r="G848" s="9"/>
      <c r="H848" s="9"/>
      <c r="I848" s="9"/>
      <c r="J848" s="9"/>
      <c r="K848" s="9"/>
      <c r="L848" s="9"/>
      <c r="M848" s="9"/>
    </row>
    <row r="849">
      <c r="A849" s="9"/>
      <c r="B849" s="9"/>
      <c r="C849" s="9"/>
      <c r="D849" s="9"/>
      <c r="E849" s="9"/>
      <c r="F849" s="9"/>
      <c r="G849" s="9"/>
      <c r="H849" s="9"/>
      <c r="I849" s="9"/>
      <c r="J849" s="9"/>
      <c r="K849" s="9"/>
      <c r="L849" s="9"/>
      <c r="M849" s="9"/>
    </row>
    <row r="850">
      <c r="A850" s="9"/>
      <c r="B850" s="9"/>
      <c r="C850" s="9"/>
      <c r="D850" s="9"/>
      <c r="E850" s="9"/>
      <c r="F850" s="9"/>
      <c r="G850" s="9"/>
      <c r="H850" s="9"/>
      <c r="I850" s="9"/>
      <c r="J850" s="9"/>
      <c r="K850" s="9"/>
      <c r="L850" s="9"/>
      <c r="M850" s="9"/>
    </row>
    <row r="851">
      <c r="A851" s="9"/>
      <c r="B851" s="9"/>
      <c r="C851" s="9"/>
      <c r="D851" s="9"/>
      <c r="E851" s="9"/>
      <c r="F851" s="9"/>
      <c r="G851" s="9"/>
      <c r="H851" s="9"/>
      <c r="I851" s="9"/>
      <c r="J851" s="9"/>
      <c r="K851" s="9"/>
      <c r="L851" s="9"/>
      <c r="M851" s="9"/>
    </row>
    <row r="852">
      <c r="A852" s="9"/>
      <c r="B852" s="9"/>
      <c r="C852" s="9"/>
      <c r="D852" s="9"/>
      <c r="E852" s="9"/>
      <c r="F852" s="9"/>
      <c r="G852" s="9"/>
      <c r="H852" s="9"/>
      <c r="I852" s="9"/>
      <c r="J852" s="9"/>
      <c r="K852" s="9"/>
      <c r="L852" s="9"/>
      <c r="M852" s="9"/>
    </row>
    <row r="853">
      <c r="A853" s="9"/>
      <c r="B853" s="9"/>
      <c r="C853" s="9"/>
      <c r="D853" s="9"/>
      <c r="E853" s="9"/>
      <c r="F853" s="9"/>
      <c r="G853" s="9"/>
      <c r="H853" s="9"/>
      <c r="I853" s="9"/>
      <c r="J853" s="9"/>
      <c r="K853" s="9"/>
      <c r="L853" s="9"/>
      <c r="M853" s="9"/>
    </row>
    <row r="854">
      <c r="A854" s="9"/>
      <c r="B854" s="9"/>
      <c r="C854" s="9"/>
      <c r="D854" s="9"/>
      <c r="E854" s="9"/>
      <c r="F854" s="9"/>
      <c r="G854" s="9"/>
      <c r="H854" s="9"/>
      <c r="I854" s="9"/>
      <c r="J854" s="9"/>
      <c r="K854" s="9"/>
      <c r="L854" s="9"/>
      <c r="M854" s="9"/>
    </row>
    <row r="855">
      <c r="A855" s="9"/>
      <c r="B855" s="9"/>
      <c r="C855" s="9"/>
      <c r="D855" s="9"/>
      <c r="E855" s="9"/>
      <c r="F855" s="9"/>
      <c r="G855" s="9"/>
      <c r="H855" s="9"/>
      <c r="I855" s="9"/>
      <c r="J855" s="9"/>
      <c r="K855" s="9"/>
      <c r="L855" s="9"/>
      <c r="M855" s="9"/>
    </row>
    <row r="856">
      <c r="A856" s="9"/>
      <c r="B856" s="9"/>
      <c r="C856" s="9"/>
      <c r="D856" s="9"/>
      <c r="E856" s="9"/>
      <c r="F856" s="9"/>
      <c r="G856" s="9"/>
      <c r="H856" s="9"/>
      <c r="I856" s="9"/>
      <c r="J856" s="9"/>
      <c r="K856" s="9"/>
      <c r="L856" s="9"/>
      <c r="M856" s="9"/>
    </row>
    <row r="857">
      <c r="A857" s="9"/>
      <c r="B857" s="9"/>
      <c r="C857" s="9"/>
      <c r="D857" s="9"/>
      <c r="E857" s="9"/>
      <c r="F857" s="9"/>
      <c r="G857" s="9"/>
      <c r="H857" s="9"/>
      <c r="I857" s="9"/>
      <c r="J857" s="9"/>
      <c r="K857" s="9"/>
      <c r="L857" s="9"/>
      <c r="M857" s="9"/>
    </row>
    <row r="858">
      <c r="A858" s="9"/>
      <c r="B858" s="9"/>
      <c r="C858" s="9"/>
      <c r="D858" s="9"/>
      <c r="E858" s="9"/>
      <c r="F858" s="9"/>
      <c r="G858" s="9"/>
      <c r="H858" s="9"/>
      <c r="I858" s="9"/>
      <c r="J858" s="9"/>
      <c r="K858" s="9"/>
      <c r="L858" s="9"/>
      <c r="M858" s="9"/>
    </row>
    <row r="859">
      <c r="A859" s="9"/>
      <c r="B859" s="9"/>
      <c r="C859" s="9"/>
      <c r="D859" s="9"/>
      <c r="E859" s="9"/>
      <c r="F859" s="9"/>
      <c r="G859" s="9"/>
      <c r="H859" s="9"/>
      <c r="I859" s="9"/>
      <c r="J859" s="9"/>
      <c r="K859" s="9"/>
      <c r="L859" s="9"/>
      <c r="M859" s="9"/>
    </row>
    <row r="860">
      <c r="A860" s="9"/>
      <c r="B860" s="9"/>
      <c r="C860" s="9"/>
      <c r="D860" s="9"/>
      <c r="E860" s="9"/>
      <c r="F860" s="9"/>
      <c r="G860" s="9"/>
      <c r="H860" s="9"/>
      <c r="I860" s="9"/>
      <c r="J860" s="9"/>
      <c r="K860" s="9"/>
      <c r="L860" s="9"/>
      <c r="M860" s="9"/>
    </row>
    <row r="861">
      <c r="A861" s="9"/>
      <c r="B861" s="9"/>
      <c r="C861" s="9"/>
      <c r="D861" s="9"/>
      <c r="E861" s="9"/>
      <c r="F861" s="9"/>
      <c r="G861" s="9"/>
      <c r="H861" s="9"/>
      <c r="I861" s="9"/>
      <c r="J861" s="9"/>
      <c r="K861" s="9"/>
      <c r="L861" s="9"/>
      <c r="M861" s="9"/>
    </row>
    <row r="862">
      <c r="A862" s="9"/>
      <c r="B862" s="9"/>
      <c r="C862" s="9"/>
      <c r="D862" s="9"/>
      <c r="E862" s="9"/>
      <c r="F862" s="9"/>
      <c r="G862" s="9"/>
      <c r="H862" s="9"/>
      <c r="I862" s="9"/>
      <c r="J862" s="9"/>
      <c r="K862" s="9"/>
      <c r="L862" s="9"/>
      <c r="M862" s="9"/>
    </row>
    <row r="863">
      <c r="A863" s="9"/>
      <c r="B863" s="9"/>
      <c r="C863" s="9"/>
      <c r="D863" s="9"/>
      <c r="E863" s="9"/>
      <c r="F863" s="9"/>
      <c r="G863" s="9"/>
      <c r="H863" s="9"/>
      <c r="I863" s="9"/>
      <c r="J863" s="9"/>
      <c r="K863" s="9"/>
      <c r="L863" s="9"/>
      <c r="M863" s="9"/>
    </row>
    <row r="864">
      <c r="A864" s="9"/>
      <c r="B864" s="9"/>
      <c r="C864" s="9"/>
      <c r="D864" s="9"/>
      <c r="E864" s="9"/>
      <c r="F864" s="9"/>
      <c r="G864" s="9"/>
      <c r="H864" s="9"/>
      <c r="I864" s="9"/>
      <c r="J864" s="9"/>
      <c r="K864" s="9"/>
      <c r="L864" s="9"/>
      <c r="M864" s="9"/>
    </row>
    <row r="865">
      <c r="A865" s="9"/>
      <c r="B865" s="9"/>
      <c r="C865" s="9"/>
      <c r="D865" s="9"/>
      <c r="E865" s="9"/>
      <c r="F865" s="9"/>
      <c r="G865" s="9"/>
      <c r="H865" s="9"/>
      <c r="I865" s="9"/>
      <c r="J865" s="9"/>
      <c r="K865" s="9"/>
      <c r="L865" s="9"/>
      <c r="M865" s="9"/>
    </row>
    <row r="866">
      <c r="A866" s="9"/>
      <c r="B866" s="9"/>
      <c r="C866" s="9"/>
      <c r="D866" s="9"/>
      <c r="E866" s="9"/>
      <c r="F866" s="9"/>
      <c r="G866" s="9"/>
      <c r="H866" s="9"/>
      <c r="I866" s="9"/>
      <c r="J866" s="9"/>
      <c r="K866" s="9"/>
      <c r="L866" s="9"/>
      <c r="M866" s="9"/>
    </row>
    <row r="867">
      <c r="A867" s="9"/>
      <c r="B867" s="9"/>
      <c r="C867" s="9"/>
      <c r="D867" s="9"/>
      <c r="E867" s="9"/>
      <c r="F867" s="9"/>
      <c r="G867" s="9"/>
      <c r="H867" s="9"/>
      <c r="I867" s="9"/>
      <c r="J867" s="9"/>
      <c r="K867" s="9"/>
      <c r="L867" s="9"/>
      <c r="M867" s="9"/>
    </row>
    <row r="868">
      <c r="A868" s="9"/>
      <c r="B868" s="9"/>
      <c r="C868" s="9"/>
      <c r="D868" s="9"/>
      <c r="E868" s="9"/>
      <c r="F868" s="9"/>
      <c r="G868" s="9"/>
      <c r="H868" s="9"/>
      <c r="I868" s="9"/>
      <c r="J868" s="9"/>
      <c r="K868" s="9"/>
      <c r="L868" s="9"/>
      <c r="M868" s="9"/>
    </row>
    <row r="869">
      <c r="A869" s="9"/>
      <c r="B869" s="9"/>
      <c r="C869" s="9"/>
      <c r="D869" s="9"/>
      <c r="E869" s="9"/>
      <c r="F869" s="9"/>
      <c r="G869" s="9"/>
      <c r="H869" s="9"/>
      <c r="I869" s="9"/>
      <c r="J869" s="9"/>
      <c r="K869" s="9"/>
      <c r="L869" s="9"/>
      <c r="M869" s="9"/>
    </row>
    <row r="870">
      <c r="A870" s="9"/>
      <c r="B870" s="9"/>
      <c r="C870" s="9"/>
      <c r="D870" s="9"/>
      <c r="E870" s="9"/>
      <c r="F870" s="9"/>
      <c r="G870" s="9"/>
      <c r="H870" s="9"/>
      <c r="I870" s="9"/>
      <c r="J870" s="9"/>
      <c r="K870" s="9"/>
      <c r="L870" s="9"/>
      <c r="M870" s="9"/>
    </row>
    <row r="871">
      <c r="A871" s="9"/>
      <c r="B871" s="9"/>
      <c r="C871" s="9"/>
      <c r="D871" s="9"/>
      <c r="E871" s="9"/>
      <c r="F871" s="9"/>
      <c r="G871" s="9"/>
      <c r="H871" s="9"/>
      <c r="I871" s="9"/>
      <c r="J871" s="9"/>
      <c r="K871" s="9"/>
      <c r="L871" s="9"/>
      <c r="M871" s="9"/>
    </row>
    <row r="872">
      <c r="A872" s="9"/>
      <c r="B872" s="9"/>
      <c r="C872" s="9"/>
      <c r="D872" s="9"/>
      <c r="E872" s="9"/>
      <c r="F872" s="9"/>
      <c r="G872" s="9"/>
      <c r="H872" s="9"/>
      <c r="I872" s="9"/>
      <c r="J872" s="9"/>
      <c r="K872" s="9"/>
      <c r="L872" s="9"/>
      <c r="M872" s="9"/>
    </row>
    <row r="873">
      <c r="A873" s="9"/>
      <c r="B873" s="9"/>
      <c r="C873" s="9"/>
      <c r="D873" s="9"/>
      <c r="E873" s="9"/>
      <c r="F873" s="9"/>
      <c r="G873" s="9"/>
      <c r="H873" s="9"/>
      <c r="I873" s="9"/>
      <c r="J873" s="9"/>
      <c r="K873" s="9"/>
      <c r="L873" s="9"/>
      <c r="M873" s="9"/>
    </row>
    <row r="874">
      <c r="A874" s="9"/>
      <c r="B874" s="9"/>
      <c r="C874" s="9"/>
      <c r="D874" s="9"/>
      <c r="E874" s="9"/>
      <c r="F874" s="9"/>
      <c r="G874" s="9"/>
      <c r="H874" s="9"/>
      <c r="I874" s="9"/>
      <c r="J874" s="9"/>
      <c r="K874" s="9"/>
      <c r="L874" s="9"/>
      <c r="M874" s="9"/>
    </row>
    <row r="875">
      <c r="A875" s="9"/>
      <c r="B875" s="9"/>
      <c r="C875" s="9"/>
      <c r="D875" s="9"/>
      <c r="E875" s="9"/>
      <c r="F875" s="9"/>
      <c r="G875" s="9"/>
      <c r="H875" s="9"/>
      <c r="I875" s="9"/>
      <c r="J875" s="9"/>
      <c r="K875" s="9"/>
      <c r="L875" s="9"/>
      <c r="M875" s="9"/>
    </row>
    <row r="876">
      <c r="A876" s="9"/>
      <c r="B876" s="9"/>
      <c r="C876" s="9"/>
      <c r="D876" s="9"/>
      <c r="E876" s="9"/>
      <c r="F876" s="9"/>
      <c r="G876" s="9"/>
      <c r="H876" s="9"/>
      <c r="I876" s="9"/>
      <c r="J876" s="9"/>
      <c r="K876" s="9"/>
      <c r="L876" s="9"/>
      <c r="M876" s="9"/>
    </row>
    <row r="877">
      <c r="A877" s="9"/>
      <c r="B877" s="9"/>
      <c r="C877" s="9"/>
      <c r="D877" s="9"/>
      <c r="E877" s="9"/>
      <c r="F877" s="9"/>
      <c r="G877" s="9"/>
      <c r="H877" s="9"/>
      <c r="I877" s="9"/>
      <c r="J877" s="9"/>
      <c r="K877" s="9"/>
      <c r="L877" s="9"/>
      <c r="M877" s="9"/>
    </row>
    <row r="878">
      <c r="A878" s="9"/>
      <c r="B878" s="9"/>
      <c r="C878" s="9"/>
      <c r="D878" s="9"/>
      <c r="E878" s="9"/>
      <c r="F878" s="9"/>
      <c r="G878" s="9"/>
      <c r="H878" s="9"/>
      <c r="I878" s="9"/>
      <c r="J878" s="9"/>
      <c r="K878" s="9"/>
      <c r="L878" s="9"/>
      <c r="M878" s="9"/>
    </row>
    <row r="879">
      <c r="A879" s="9"/>
      <c r="B879" s="9"/>
      <c r="C879" s="9"/>
      <c r="D879" s="9"/>
      <c r="E879" s="9"/>
      <c r="F879" s="9"/>
      <c r="G879" s="9"/>
      <c r="H879" s="9"/>
      <c r="I879" s="9"/>
      <c r="J879" s="9"/>
      <c r="K879" s="9"/>
      <c r="L879" s="9"/>
      <c r="M879" s="9"/>
    </row>
    <row r="880">
      <c r="A880" s="9"/>
      <c r="B880" s="9"/>
      <c r="C880" s="9"/>
      <c r="D880" s="9"/>
      <c r="E880" s="9"/>
      <c r="F880" s="9"/>
      <c r="G880" s="9"/>
      <c r="H880" s="9"/>
      <c r="I880" s="9"/>
      <c r="J880" s="9"/>
      <c r="K880" s="9"/>
      <c r="L880" s="9"/>
      <c r="M880" s="9"/>
    </row>
    <row r="881">
      <c r="A881" s="9"/>
      <c r="B881" s="9"/>
      <c r="C881" s="9"/>
      <c r="D881" s="9"/>
      <c r="E881" s="9"/>
      <c r="F881" s="9"/>
      <c r="G881" s="9"/>
      <c r="H881" s="9"/>
      <c r="I881" s="9"/>
      <c r="J881" s="9"/>
      <c r="K881" s="9"/>
      <c r="L881" s="9"/>
      <c r="M881" s="9"/>
    </row>
    <row r="882">
      <c r="A882" s="9"/>
      <c r="B882" s="9"/>
      <c r="C882" s="9"/>
      <c r="D882" s="9"/>
      <c r="E882" s="9"/>
      <c r="F882" s="9"/>
      <c r="G882" s="9"/>
      <c r="H882" s="9"/>
      <c r="I882" s="9"/>
      <c r="J882" s="9"/>
      <c r="K882" s="9"/>
      <c r="L882" s="9"/>
      <c r="M882" s="9"/>
    </row>
    <row r="883">
      <c r="A883" s="9"/>
      <c r="B883" s="9"/>
      <c r="C883" s="9"/>
      <c r="D883" s="9"/>
      <c r="E883" s="9"/>
      <c r="F883" s="9"/>
      <c r="G883" s="9"/>
      <c r="H883" s="9"/>
      <c r="I883" s="9"/>
      <c r="J883" s="9"/>
      <c r="K883" s="9"/>
      <c r="L883" s="9"/>
      <c r="M883" s="9"/>
    </row>
    <row r="884">
      <c r="A884" s="9"/>
      <c r="B884" s="9"/>
      <c r="C884" s="9"/>
      <c r="D884" s="9"/>
      <c r="E884" s="9"/>
      <c r="F884" s="9"/>
      <c r="G884" s="9"/>
      <c r="H884" s="9"/>
      <c r="I884" s="9"/>
      <c r="J884" s="9"/>
      <c r="K884" s="9"/>
      <c r="L884" s="9"/>
      <c r="M884" s="9"/>
    </row>
    <row r="885">
      <c r="A885" s="9"/>
      <c r="B885" s="9"/>
      <c r="C885" s="9"/>
      <c r="D885" s="9"/>
      <c r="E885" s="9"/>
      <c r="F885" s="9"/>
      <c r="G885" s="9"/>
      <c r="H885" s="9"/>
      <c r="I885" s="9"/>
      <c r="J885" s="9"/>
      <c r="K885" s="9"/>
      <c r="L885" s="9"/>
      <c r="M885" s="9"/>
    </row>
    <row r="886">
      <c r="A886" s="9"/>
      <c r="B886" s="9"/>
      <c r="C886" s="9"/>
      <c r="D886" s="9"/>
      <c r="E886" s="9"/>
      <c r="F886" s="9"/>
      <c r="G886" s="9"/>
      <c r="H886" s="9"/>
      <c r="I886" s="9"/>
      <c r="J886" s="9"/>
      <c r="K886" s="9"/>
      <c r="L886" s="9"/>
      <c r="M886" s="9"/>
    </row>
    <row r="887">
      <c r="A887" s="9"/>
      <c r="B887" s="9"/>
      <c r="C887" s="9"/>
      <c r="D887" s="9"/>
      <c r="E887" s="9"/>
      <c r="F887" s="9"/>
      <c r="G887" s="9"/>
      <c r="H887" s="9"/>
      <c r="I887" s="9"/>
      <c r="J887" s="9"/>
      <c r="K887" s="9"/>
      <c r="L887" s="9"/>
      <c r="M887" s="9"/>
    </row>
    <row r="888">
      <c r="A888" s="9"/>
      <c r="B888" s="9"/>
      <c r="C888" s="9"/>
      <c r="D888" s="9"/>
      <c r="E888" s="9"/>
      <c r="F888" s="9"/>
      <c r="G888" s="9"/>
      <c r="H888" s="9"/>
      <c r="I888" s="9"/>
      <c r="J888" s="9"/>
      <c r="K888" s="9"/>
      <c r="L888" s="9"/>
      <c r="M888" s="9"/>
    </row>
    <row r="889">
      <c r="A889" s="9"/>
      <c r="B889" s="9"/>
      <c r="C889" s="9"/>
      <c r="D889" s="9"/>
      <c r="E889" s="9"/>
      <c r="F889" s="9"/>
      <c r="G889" s="9"/>
      <c r="H889" s="9"/>
      <c r="I889" s="9"/>
      <c r="J889" s="9"/>
      <c r="K889" s="9"/>
      <c r="L889" s="9"/>
      <c r="M889" s="9"/>
    </row>
    <row r="890">
      <c r="A890" s="9"/>
      <c r="B890" s="9"/>
      <c r="C890" s="9"/>
      <c r="D890" s="9"/>
      <c r="E890" s="9"/>
      <c r="F890" s="9"/>
      <c r="G890" s="9"/>
      <c r="H890" s="9"/>
      <c r="I890" s="9"/>
      <c r="J890" s="9"/>
      <c r="K890" s="9"/>
      <c r="L890" s="9"/>
      <c r="M890" s="9"/>
    </row>
    <row r="891">
      <c r="A891" s="9"/>
      <c r="B891" s="9"/>
      <c r="C891" s="9"/>
      <c r="D891" s="9"/>
      <c r="E891" s="9"/>
      <c r="F891" s="9"/>
      <c r="G891" s="9"/>
      <c r="H891" s="9"/>
      <c r="I891" s="9"/>
      <c r="J891" s="9"/>
      <c r="K891" s="9"/>
      <c r="L891" s="9"/>
      <c r="M891" s="9"/>
    </row>
    <row r="892">
      <c r="A892" s="9"/>
      <c r="B892" s="9"/>
      <c r="C892" s="9"/>
      <c r="D892" s="9"/>
      <c r="E892" s="9"/>
      <c r="F892" s="9"/>
      <c r="G892" s="9"/>
      <c r="H892" s="9"/>
      <c r="I892" s="9"/>
      <c r="J892" s="9"/>
      <c r="K892" s="9"/>
      <c r="L892" s="9"/>
      <c r="M892" s="9"/>
    </row>
    <row r="893">
      <c r="A893" s="9"/>
      <c r="B893" s="9"/>
      <c r="C893" s="9"/>
      <c r="D893" s="9"/>
      <c r="E893" s="9"/>
      <c r="F893" s="9"/>
      <c r="G893" s="9"/>
      <c r="H893" s="9"/>
      <c r="I893" s="9"/>
      <c r="J893" s="9"/>
      <c r="K893" s="9"/>
      <c r="L893" s="9"/>
      <c r="M893" s="9"/>
    </row>
    <row r="894">
      <c r="A894" s="9"/>
      <c r="B894" s="9"/>
      <c r="C894" s="9"/>
      <c r="D894" s="9"/>
      <c r="E894" s="9"/>
      <c r="F894" s="9"/>
      <c r="G894" s="9"/>
      <c r="H894" s="9"/>
      <c r="I894" s="9"/>
      <c r="J894" s="9"/>
      <c r="K894" s="9"/>
      <c r="L894" s="9"/>
      <c r="M894" s="9"/>
    </row>
    <row r="895">
      <c r="A895" s="9"/>
      <c r="B895" s="9"/>
      <c r="C895" s="9"/>
      <c r="D895" s="9"/>
      <c r="E895" s="9"/>
      <c r="F895" s="9"/>
      <c r="G895" s="9"/>
      <c r="H895" s="9"/>
      <c r="I895" s="9"/>
      <c r="J895" s="9"/>
      <c r="K895" s="9"/>
      <c r="L895" s="9"/>
      <c r="M895" s="9"/>
    </row>
    <row r="896">
      <c r="A896" s="9"/>
      <c r="B896" s="9"/>
      <c r="C896" s="9"/>
      <c r="D896" s="9"/>
      <c r="E896" s="9"/>
      <c r="F896" s="9"/>
      <c r="G896" s="9"/>
      <c r="H896" s="9"/>
      <c r="I896" s="9"/>
      <c r="J896" s="9"/>
      <c r="K896" s="9"/>
      <c r="L896" s="9"/>
      <c r="M896" s="9"/>
    </row>
    <row r="897">
      <c r="A897" s="9"/>
      <c r="B897" s="9"/>
      <c r="C897" s="9"/>
      <c r="D897" s="9"/>
      <c r="E897" s="9"/>
      <c r="F897" s="9"/>
      <c r="G897" s="9"/>
      <c r="H897" s="9"/>
      <c r="I897" s="9"/>
      <c r="J897" s="9"/>
      <c r="K897" s="9"/>
      <c r="L897" s="9"/>
      <c r="M897" s="9"/>
    </row>
    <row r="898">
      <c r="A898" s="9"/>
      <c r="B898" s="9"/>
      <c r="C898" s="9"/>
      <c r="D898" s="9"/>
      <c r="E898" s="9"/>
      <c r="F898" s="9"/>
      <c r="G898" s="9"/>
      <c r="H898" s="9"/>
      <c r="I898" s="9"/>
      <c r="J898" s="9"/>
      <c r="K898" s="9"/>
      <c r="L898" s="9"/>
      <c r="M898" s="9"/>
    </row>
    <row r="899">
      <c r="A899" s="9"/>
      <c r="B899" s="9"/>
      <c r="C899" s="9"/>
      <c r="D899" s="9"/>
      <c r="E899" s="9"/>
      <c r="F899" s="9"/>
      <c r="G899" s="9"/>
      <c r="H899" s="9"/>
      <c r="I899" s="9"/>
      <c r="J899" s="9"/>
      <c r="K899" s="9"/>
      <c r="L899" s="9"/>
      <c r="M899" s="9"/>
    </row>
    <row r="900">
      <c r="A900" s="9"/>
      <c r="B900" s="9"/>
      <c r="C900" s="9"/>
      <c r="D900" s="9"/>
      <c r="E900" s="9"/>
      <c r="F900" s="9"/>
      <c r="G900" s="9"/>
      <c r="H900" s="9"/>
      <c r="I900" s="9"/>
      <c r="J900" s="9"/>
      <c r="K900" s="9"/>
      <c r="L900" s="9"/>
      <c r="M900" s="9"/>
    </row>
    <row r="901">
      <c r="A901" s="9"/>
      <c r="B901" s="9"/>
      <c r="C901" s="9"/>
      <c r="D901" s="9"/>
      <c r="E901" s="9"/>
      <c r="F901" s="9"/>
      <c r="G901" s="9"/>
      <c r="H901" s="9"/>
      <c r="I901" s="9"/>
      <c r="J901" s="9"/>
      <c r="K901" s="9"/>
      <c r="L901" s="9"/>
      <c r="M901" s="9"/>
    </row>
    <row r="902">
      <c r="A902" s="9"/>
      <c r="B902" s="9"/>
      <c r="C902" s="9"/>
      <c r="D902" s="9"/>
      <c r="E902" s="9"/>
      <c r="F902" s="9"/>
      <c r="G902" s="9"/>
      <c r="H902" s="9"/>
      <c r="I902" s="9"/>
      <c r="J902" s="9"/>
      <c r="K902" s="9"/>
      <c r="L902" s="9"/>
      <c r="M902" s="9"/>
    </row>
    <row r="903">
      <c r="A903" s="9"/>
      <c r="B903" s="9"/>
      <c r="C903" s="9"/>
      <c r="D903" s="9"/>
      <c r="E903" s="9"/>
      <c r="F903" s="9"/>
      <c r="G903" s="9"/>
      <c r="H903" s="9"/>
      <c r="I903" s="9"/>
      <c r="J903" s="9"/>
      <c r="K903" s="9"/>
      <c r="L903" s="9"/>
      <c r="M903" s="9"/>
    </row>
    <row r="904">
      <c r="A904" s="9"/>
      <c r="B904" s="9"/>
      <c r="C904" s="9"/>
      <c r="D904" s="9"/>
      <c r="E904" s="9"/>
      <c r="F904" s="9"/>
      <c r="G904" s="9"/>
      <c r="H904" s="9"/>
      <c r="I904" s="9"/>
      <c r="J904" s="9"/>
      <c r="K904" s="9"/>
      <c r="L904" s="9"/>
      <c r="M904" s="9"/>
    </row>
    <row r="905">
      <c r="A905" s="9"/>
      <c r="B905" s="9"/>
      <c r="C905" s="9"/>
      <c r="D905" s="9"/>
      <c r="E905" s="9"/>
      <c r="F905" s="9"/>
      <c r="G905" s="9"/>
      <c r="H905" s="9"/>
      <c r="I905" s="9"/>
      <c r="J905" s="9"/>
      <c r="K905" s="9"/>
      <c r="L905" s="9"/>
      <c r="M905" s="9"/>
    </row>
    <row r="906">
      <c r="A906" s="9"/>
      <c r="B906" s="9"/>
      <c r="C906" s="9"/>
      <c r="D906" s="9"/>
      <c r="E906" s="9"/>
      <c r="F906" s="9"/>
      <c r="G906" s="9"/>
      <c r="H906" s="9"/>
      <c r="I906" s="9"/>
      <c r="J906" s="9"/>
      <c r="K906" s="9"/>
      <c r="L906" s="9"/>
      <c r="M906" s="9"/>
    </row>
    <row r="907">
      <c r="A907" s="9"/>
      <c r="B907" s="9"/>
      <c r="C907" s="9"/>
      <c r="D907" s="9"/>
      <c r="E907" s="9"/>
      <c r="F907" s="9"/>
      <c r="G907" s="9"/>
      <c r="H907" s="9"/>
      <c r="I907" s="9"/>
      <c r="J907" s="9"/>
      <c r="K907" s="9"/>
      <c r="L907" s="9"/>
      <c r="M907" s="9"/>
    </row>
    <row r="908">
      <c r="A908" s="9"/>
      <c r="B908" s="9"/>
      <c r="C908" s="9"/>
      <c r="D908" s="9"/>
      <c r="E908" s="9"/>
      <c r="F908" s="9"/>
      <c r="G908" s="9"/>
      <c r="H908" s="9"/>
      <c r="I908" s="9"/>
      <c r="J908" s="9"/>
      <c r="K908" s="9"/>
      <c r="L908" s="9"/>
      <c r="M908" s="9"/>
    </row>
    <row r="909">
      <c r="A909" s="9"/>
      <c r="B909" s="9"/>
      <c r="C909" s="9"/>
      <c r="D909" s="9"/>
      <c r="E909" s="9"/>
      <c r="F909" s="9"/>
      <c r="G909" s="9"/>
      <c r="H909" s="9"/>
      <c r="I909" s="9"/>
      <c r="J909" s="9"/>
      <c r="K909" s="9"/>
      <c r="L909" s="9"/>
      <c r="M909" s="9"/>
    </row>
    <row r="910">
      <c r="A910" s="9"/>
      <c r="B910" s="9"/>
      <c r="C910" s="9"/>
      <c r="D910" s="9"/>
      <c r="E910" s="9"/>
      <c r="F910" s="9"/>
      <c r="G910" s="9"/>
      <c r="H910" s="9"/>
      <c r="I910" s="9"/>
      <c r="J910" s="9"/>
      <c r="K910" s="9"/>
      <c r="L910" s="9"/>
      <c r="M910" s="9"/>
    </row>
    <row r="911">
      <c r="A911" s="9"/>
      <c r="B911" s="9"/>
      <c r="C911" s="9"/>
      <c r="D911" s="9"/>
      <c r="E911" s="9"/>
      <c r="F911" s="9"/>
      <c r="G911" s="9"/>
      <c r="H911" s="9"/>
      <c r="I911" s="9"/>
      <c r="J911" s="9"/>
      <c r="K911" s="9"/>
      <c r="L911" s="9"/>
      <c r="M911" s="9"/>
    </row>
    <row r="912">
      <c r="A912" s="9"/>
      <c r="B912" s="9"/>
      <c r="C912" s="9"/>
      <c r="D912" s="9"/>
      <c r="E912" s="9"/>
      <c r="F912" s="9"/>
      <c r="G912" s="9"/>
      <c r="H912" s="9"/>
      <c r="I912" s="9"/>
      <c r="J912" s="9"/>
      <c r="K912" s="9"/>
      <c r="L912" s="9"/>
      <c r="M912" s="9"/>
    </row>
    <row r="913">
      <c r="A913" s="9"/>
      <c r="B913" s="9"/>
      <c r="C913" s="9"/>
      <c r="D913" s="9"/>
      <c r="E913" s="9"/>
      <c r="F913" s="9"/>
      <c r="G913" s="9"/>
      <c r="H913" s="9"/>
      <c r="I913" s="9"/>
      <c r="J913" s="9"/>
      <c r="K913" s="9"/>
      <c r="L913" s="9"/>
      <c r="M913" s="9"/>
    </row>
    <row r="914">
      <c r="A914" s="9"/>
      <c r="B914" s="9"/>
      <c r="C914" s="9"/>
      <c r="D914" s="9"/>
      <c r="E914" s="9"/>
      <c r="F914" s="9"/>
      <c r="G914" s="9"/>
      <c r="H914" s="9"/>
      <c r="I914" s="9"/>
      <c r="J914" s="9"/>
      <c r="K914" s="9"/>
      <c r="L914" s="9"/>
      <c r="M914" s="9"/>
    </row>
    <row r="915">
      <c r="A915" s="9"/>
      <c r="B915" s="9"/>
      <c r="C915" s="9"/>
      <c r="D915" s="9"/>
      <c r="E915" s="9"/>
      <c r="F915" s="9"/>
      <c r="G915" s="9"/>
      <c r="H915" s="9"/>
      <c r="I915" s="9"/>
      <c r="J915" s="9"/>
      <c r="K915" s="9"/>
      <c r="L915" s="9"/>
      <c r="M915" s="9"/>
    </row>
    <row r="916">
      <c r="A916" s="9"/>
      <c r="B916" s="9"/>
      <c r="C916" s="9"/>
      <c r="D916" s="9"/>
      <c r="E916" s="9"/>
      <c r="F916" s="9"/>
      <c r="G916" s="9"/>
      <c r="H916" s="9"/>
      <c r="I916" s="9"/>
      <c r="J916" s="9"/>
      <c r="K916" s="9"/>
      <c r="L916" s="9"/>
      <c r="M916" s="9"/>
    </row>
    <row r="917">
      <c r="A917" s="9"/>
      <c r="B917" s="9"/>
      <c r="C917" s="9"/>
      <c r="D917" s="9"/>
      <c r="E917" s="9"/>
      <c r="F917" s="9"/>
      <c r="G917" s="9"/>
      <c r="H917" s="9"/>
      <c r="I917" s="9"/>
      <c r="J917" s="9"/>
      <c r="K917" s="9"/>
      <c r="L917" s="9"/>
      <c r="M917" s="9"/>
    </row>
    <row r="918">
      <c r="A918" s="9"/>
      <c r="B918" s="9"/>
      <c r="C918" s="9"/>
      <c r="D918" s="9"/>
      <c r="E918" s="9"/>
      <c r="F918" s="9"/>
      <c r="G918" s="9"/>
      <c r="H918" s="9"/>
      <c r="I918" s="9"/>
      <c r="J918" s="9"/>
      <c r="K918" s="9"/>
      <c r="L918" s="9"/>
      <c r="M918" s="9"/>
    </row>
    <row r="919">
      <c r="A919" s="9"/>
      <c r="B919" s="9"/>
      <c r="C919" s="9"/>
      <c r="D919" s="9"/>
      <c r="E919" s="9"/>
      <c r="F919" s="9"/>
      <c r="G919" s="9"/>
      <c r="H919" s="9"/>
      <c r="I919" s="9"/>
      <c r="J919" s="9"/>
      <c r="K919" s="9"/>
      <c r="L919" s="9"/>
      <c r="M919" s="9"/>
    </row>
    <row r="920">
      <c r="A920" s="9"/>
      <c r="B920" s="9"/>
      <c r="C920" s="9"/>
      <c r="D920" s="9"/>
      <c r="E920" s="9"/>
      <c r="F920" s="9"/>
      <c r="G920" s="9"/>
      <c r="H920" s="9"/>
      <c r="I920" s="9"/>
      <c r="J920" s="9"/>
      <c r="K920" s="9"/>
      <c r="L920" s="9"/>
      <c r="M920" s="9"/>
    </row>
    <row r="921">
      <c r="A921" s="9"/>
      <c r="B921" s="9"/>
      <c r="C921" s="9"/>
      <c r="D921" s="9"/>
      <c r="E921" s="9"/>
      <c r="F921" s="9"/>
      <c r="G921" s="9"/>
      <c r="H921" s="9"/>
      <c r="I921" s="9"/>
      <c r="J921" s="9"/>
      <c r="K921" s="9"/>
      <c r="L921" s="9"/>
      <c r="M921" s="9"/>
    </row>
    <row r="922">
      <c r="A922" s="9"/>
      <c r="B922" s="9"/>
      <c r="C922" s="9"/>
      <c r="D922" s="9"/>
      <c r="E922" s="9"/>
      <c r="F922" s="9"/>
      <c r="G922" s="9"/>
      <c r="H922" s="9"/>
      <c r="I922" s="9"/>
      <c r="J922" s="9"/>
      <c r="K922" s="9"/>
      <c r="L922" s="9"/>
      <c r="M922" s="9"/>
    </row>
    <row r="923">
      <c r="A923" s="9"/>
      <c r="B923" s="9"/>
      <c r="C923" s="9"/>
      <c r="D923" s="9"/>
      <c r="E923" s="9"/>
      <c r="F923" s="9"/>
      <c r="G923" s="9"/>
      <c r="H923" s="9"/>
      <c r="I923" s="9"/>
      <c r="J923" s="9"/>
      <c r="K923" s="9"/>
      <c r="L923" s="9"/>
      <c r="M923" s="9"/>
    </row>
    <row r="924">
      <c r="A924" s="9"/>
      <c r="B924" s="9"/>
      <c r="C924" s="9"/>
      <c r="D924" s="9"/>
      <c r="E924" s="9"/>
      <c r="F924" s="9"/>
      <c r="G924" s="9"/>
      <c r="H924" s="9"/>
      <c r="I924" s="9"/>
      <c r="J924" s="9"/>
      <c r="K924" s="9"/>
      <c r="L924" s="9"/>
      <c r="M924" s="9"/>
    </row>
    <row r="925">
      <c r="A925" s="9"/>
      <c r="B925" s="9"/>
      <c r="C925" s="9"/>
      <c r="D925" s="9"/>
      <c r="E925" s="9"/>
      <c r="F925" s="9"/>
      <c r="G925" s="9"/>
      <c r="H925" s="9"/>
      <c r="I925" s="9"/>
      <c r="J925" s="9"/>
      <c r="K925" s="9"/>
      <c r="L925" s="9"/>
      <c r="M925" s="9"/>
    </row>
    <row r="926">
      <c r="A926" s="9"/>
      <c r="B926" s="9"/>
      <c r="C926" s="9"/>
      <c r="D926" s="9"/>
      <c r="E926" s="9"/>
      <c r="F926" s="9"/>
      <c r="G926" s="9"/>
      <c r="H926" s="9"/>
      <c r="I926" s="9"/>
      <c r="J926" s="9"/>
      <c r="K926" s="9"/>
      <c r="L926" s="9"/>
      <c r="M926" s="9"/>
    </row>
    <row r="927">
      <c r="A927" s="9"/>
      <c r="B927" s="9"/>
      <c r="C927" s="9"/>
      <c r="D927" s="9"/>
      <c r="E927" s="9"/>
      <c r="F927" s="9"/>
      <c r="G927" s="9"/>
      <c r="H927" s="9"/>
      <c r="I927" s="9"/>
      <c r="J927" s="9"/>
      <c r="K927" s="9"/>
      <c r="L927" s="9"/>
      <c r="M927" s="9"/>
    </row>
    <row r="928">
      <c r="A928" s="9"/>
      <c r="B928" s="9"/>
      <c r="C928" s="9"/>
      <c r="D928" s="9"/>
      <c r="E928" s="9"/>
      <c r="F928" s="9"/>
      <c r="G928" s="9"/>
      <c r="H928" s="9"/>
      <c r="I928" s="9"/>
      <c r="J928" s="9"/>
      <c r="K928" s="9"/>
      <c r="L928" s="9"/>
      <c r="M928" s="9"/>
    </row>
    <row r="929">
      <c r="A929" s="9"/>
      <c r="B929" s="9"/>
      <c r="C929" s="9"/>
      <c r="D929" s="9"/>
      <c r="E929" s="9"/>
      <c r="F929" s="9"/>
      <c r="G929" s="9"/>
      <c r="H929" s="9"/>
      <c r="I929" s="9"/>
      <c r="J929" s="9"/>
      <c r="K929" s="9"/>
      <c r="L929" s="9"/>
      <c r="M929" s="9"/>
    </row>
    <row r="930">
      <c r="A930" s="9"/>
      <c r="B930" s="9"/>
      <c r="C930" s="9"/>
      <c r="D930" s="9"/>
      <c r="E930" s="9"/>
      <c r="F930" s="9"/>
      <c r="G930" s="9"/>
      <c r="H930" s="9"/>
      <c r="I930" s="9"/>
      <c r="J930" s="9"/>
      <c r="K930" s="9"/>
      <c r="L930" s="9"/>
      <c r="M930" s="9"/>
    </row>
    <row r="931">
      <c r="A931" s="9"/>
      <c r="B931" s="9"/>
      <c r="C931" s="9"/>
      <c r="D931" s="9"/>
      <c r="E931" s="9"/>
      <c r="F931" s="9"/>
      <c r="G931" s="9"/>
      <c r="H931" s="9"/>
      <c r="I931" s="9"/>
      <c r="J931" s="9"/>
      <c r="K931" s="9"/>
      <c r="L931" s="9"/>
      <c r="M931" s="9"/>
    </row>
    <row r="932">
      <c r="A932" s="9"/>
      <c r="B932" s="9"/>
      <c r="C932" s="9"/>
      <c r="D932" s="9"/>
      <c r="E932" s="9"/>
      <c r="F932" s="9"/>
      <c r="G932" s="9"/>
      <c r="H932" s="9"/>
      <c r="I932" s="9"/>
      <c r="J932" s="9"/>
      <c r="K932" s="9"/>
      <c r="L932" s="9"/>
      <c r="M932" s="9"/>
    </row>
    <row r="933">
      <c r="A933" s="9"/>
      <c r="B933" s="9"/>
      <c r="C933" s="9"/>
      <c r="D933" s="9"/>
      <c r="E933" s="9"/>
      <c r="F933" s="9"/>
      <c r="G933" s="9"/>
      <c r="H933" s="9"/>
      <c r="I933" s="9"/>
      <c r="J933" s="9"/>
      <c r="K933" s="9"/>
      <c r="L933" s="9"/>
      <c r="M933" s="9"/>
    </row>
    <row r="934">
      <c r="A934" s="9"/>
      <c r="B934" s="9"/>
      <c r="C934" s="9"/>
      <c r="D934" s="9"/>
      <c r="E934" s="9"/>
      <c r="F934" s="9"/>
      <c r="G934" s="9"/>
      <c r="H934" s="9"/>
      <c r="I934" s="9"/>
      <c r="J934" s="9"/>
      <c r="K934" s="9"/>
      <c r="L934" s="9"/>
      <c r="M934" s="9"/>
    </row>
    <row r="935">
      <c r="A935" s="9"/>
      <c r="B935" s="9"/>
      <c r="C935" s="9"/>
      <c r="D935" s="9"/>
      <c r="E935" s="9"/>
      <c r="F935" s="9"/>
      <c r="G935" s="9"/>
      <c r="H935" s="9"/>
      <c r="I935" s="9"/>
      <c r="J935" s="9"/>
      <c r="K935" s="9"/>
      <c r="L935" s="9"/>
      <c r="M935" s="9"/>
    </row>
    <row r="936">
      <c r="A936" s="9"/>
      <c r="B936" s="9"/>
      <c r="C936" s="9"/>
      <c r="D936" s="9"/>
      <c r="E936" s="9"/>
      <c r="F936" s="9"/>
      <c r="G936" s="9"/>
      <c r="H936" s="9"/>
      <c r="I936" s="9"/>
      <c r="J936" s="9"/>
      <c r="K936" s="9"/>
      <c r="L936" s="9"/>
      <c r="M936" s="9"/>
    </row>
    <row r="937">
      <c r="A937" s="9"/>
      <c r="B937" s="9"/>
      <c r="C937" s="9"/>
      <c r="D937" s="9"/>
      <c r="E937" s="9"/>
      <c r="F937" s="9"/>
      <c r="G937" s="9"/>
      <c r="H937" s="9"/>
      <c r="I937" s="9"/>
      <c r="J937" s="9"/>
      <c r="K937" s="9"/>
      <c r="L937" s="9"/>
      <c r="M937" s="9"/>
    </row>
    <row r="938">
      <c r="A938" s="9"/>
      <c r="B938" s="9"/>
      <c r="C938" s="9"/>
      <c r="D938" s="9"/>
      <c r="E938" s="9"/>
      <c r="F938" s="9"/>
      <c r="G938" s="9"/>
      <c r="H938" s="9"/>
      <c r="I938" s="9"/>
      <c r="J938" s="9"/>
      <c r="K938" s="9"/>
      <c r="L938" s="9"/>
      <c r="M938" s="9"/>
    </row>
    <row r="939">
      <c r="A939" s="9"/>
      <c r="B939" s="9"/>
      <c r="C939" s="9"/>
      <c r="D939" s="9"/>
      <c r="E939" s="9"/>
      <c r="F939" s="9"/>
      <c r="G939" s="9"/>
      <c r="H939" s="9"/>
      <c r="I939" s="9"/>
      <c r="J939" s="9"/>
      <c r="K939" s="9"/>
      <c r="L939" s="9"/>
      <c r="M939" s="9"/>
    </row>
    <row r="940">
      <c r="A940" s="9"/>
      <c r="B940" s="9"/>
      <c r="C940" s="9"/>
      <c r="D940" s="9"/>
      <c r="E940" s="9"/>
      <c r="F940" s="9"/>
      <c r="G940" s="9"/>
      <c r="H940" s="9"/>
      <c r="I940" s="9"/>
      <c r="J940" s="9"/>
      <c r="K940" s="9"/>
      <c r="L940" s="9"/>
      <c r="M940" s="9"/>
    </row>
    <row r="941">
      <c r="A941" s="9"/>
      <c r="B941" s="9"/>
      <c r="C941" s="9"/>
      <c r="D941" s="9"/>
      <c r="E941" s="9"/>
      <c r="F941" s="9"/>
      <c r="G941" s="9"/>
      <c r="H941" s="9"/>
      <c r="I941" s="9"/>
      <c r="J941" s="9"/>
      <c r="K941" s="9"/>
      <c r="L941" s="9"/>
      <c r="M941" s="9"/>
    </row>
    <row r="942">
      <c r="A942" s="9"/>
      <c r="B942" s="9"/>
      <c r="C942" s="9"/>
      <c r="D942" s="9"/>
      <c r="E942" s="9"/>
      <c r="F942" s="9"/>
      <c r="G942" s="9"/>
      <c r="H942" s="9"/>
      <c r="I942" s="9"/>
      <c r="J942" s="9"/>
      <c r="K942" s="9"/>
      <c r="L942" s="9"/>
      <c r="M942" s="9"/>
    </row>
    <row r="943">
      <c r="A943" s="9"/>
      <c r="B943" s="9"/>
      <c r="C943" s="9"/>
      <c r="D943" s="9"/>
      <c r="E943" s="9"/>
      <c r="F943" s="9"/>
      <c r="G943" s="9"/>
      <c r="H943" s="9"/>
      <c r="I943" s="9"/>
      <c r="J943" s="9"/>
      <c r="K943" s="9"/>
      <c r="L943" s="9"/>
      <c r="M943" s="9"/>
    </row>
    <row r="944">
      <c r="A944" s="9"/>
      <c r="B944" s="9"/>
      <c r="C944" s="9"/>
      <c r="D944" s="9"/>
      <c r="E944" s="9"/>
      <c r="F944" s="9"/>
      <c r="G944" s="9"/>
      <c r="H944" s="9"/>
      <c r="I944" s="9"/>
      <c r="J944" s="9"/>
      <c r="K944" s="9"/>
      <c r="L944" s="9"/>
      <c r="M944" s="9"/>
    </row>
    <row r="945">
      <c r="A945" s="9"/>
      <c r="B945" s="9"/>
      <c r="C945" s="9"/>
      <c r="D945" s="9"/>
      <c r="E945" s="9"/>
      <c r="F945" s="9"/>
      <c r="G945" s="9"/>
      <c r="H945" s="9"/>
      <c r="I945" s="9"/>
      <c r="J945" s="9"/>
      <c r="K945" s="9"/>
      <c r="L945" s="9"/>
      <c r="M945" s="9"/>
    </row>
    <row r="946">
      <c r="A946" s="9"/>
      <c r="B946" s="9"/>
      <c r="C946" s="9"/>
      <c r="D946" s="9"/>
      <c r="E946" s="9"/>
      <c r="F946" s="9"/>
      <c r="G946" s="9"/>
      <c r="H946" s="9"/>
      <c r="I946" s="9"/>
      <c r="J946" s="9"/>
      <c r="K946" s="9"/>
      <c r="L946" s="9"/>
      <c r="M946" s="9"/>
    </row>
    <row r="947">
      <c r="A947" s="9"/>
      <c r="B947" s="9"/>
      <c r="C947" s="9"/>
      <c r="D947" s="9"/>
      <c r="E947" s="9"/>
      <c r="F947" s="9"/>
      <c r="G947" s="9"/>
      <c r="H947" s="9"/>
      <c r="I947" s="9"/>
      <c r="J947" s="9"/>
      <c r="K947" s="9"/>
      <c r="L947" s="9"/>
      <c r="M947" s="9"/>
    </row>
    <row r="948">
      <c r="A948" s="9"/>
      <c r="B948" s="9"/>
      <c r="C948" s="9"/>
      <c r="D948" s="9"/>
      <c r="E948" s="9"/>
      <c r="F948" s="9"/>
      <c r="G948" s="9"/>
      <c r="H948" s="9"/>
      <c r="I948" s="9"/>
      <c r="J948" s="9"/>
      <c r="K948" s="9"/>
      <c r="L948" s="9"/>
      <c r="M948" s="9"/>
    </row>
    <row r="949">
      <c r="A949" s="9"/>
      <c r="B949" s="9"/>
      <c r="C949" s="9"/>
      <c r="D949" s="9"/>
      <c r="E949" s="9"/>
      <c r="F949" s="9"/>
      <c r="G949" s="9"/>
      <c r="H949" s="9"/>
      <c r="I949" s="9"/>
      <c r="J949" s="9"/>
      <c r="K949" s="9"/>
      <c r="L949" s="9"/>
      <c r="M949" s="9"/>
    </row>
    <row r="950">
      <c r="A950" s="9"/>
      <c r="B950" s="9"/>
      <c r="C950" s="9"/>
      <c r="D950" s="9"/>
      <c r="E950" s="9"/>
      <c r="F950" s="9"/>
      <c r="G950" s="9"/>
      <c r="H950" s="9"/>
      <c r="I950" s="9"/>
      <c r="J950" s="9"/>
      <c r="K950" s="9"/>
      <c r="L950" s="9"/>
      <c r="M950" s="9"/>
    </row>
    <row r="951">
      <c r="A951" s="9"/>
      <c r="B951" s="9"/>
      <c r="C951" s="9"/>
      <c r="D951" s="9"/>
      <c r="E951" s="9"/>
      <c r="F951" s="9"/>
      <c r="G951" s="9"/>
      <c r="H951" s="9"/>
      <c r="I951" s="9"/>
      <c r="J951" s="9"/>
      <c r="K951" s="9"/>
      <c r="L951" s="9"/>
      <c r="M951" s="9"/>
    </row>
    <row r="952">
      <c r="A952" s="9"/>
      <c r="B952" s="9"/>
      <c r="C952" s="9"/>
      <c r="D952" s="9"/>
      <c r="E952" s="9"/>
      <c r="F952" s="9"/>
      <c r="G952" s="9"/>
      <c r="H952" s="9"/>
      <c r="I952" s="9"/>
      <c r="J952" s="9"/>
      <c r="K952" s="9"/>
      <c r="L952" s="9"/>
      <c r="M952" s="9"/>
    </row>
    <row r="953">
      <c r="A953" s="9"/>
      <c r="B953" s="9"/>
      <c r="C953" s="9"/>
      <c r="D953" s="9"/>
      <c r="E953" s="9"/>
      <c r="F953" s="9"/>
      <c r="G953" s="9"/>
      <c r="H953" s="9"/>
      <c r="I953" s="9"/>
      <c r="J953" s="9"/>
      <c r="K953" s="9"/>
      <c r="L953" s="9"/>
      <c r="M953" s="9"/>
    </row>
    <row r="954">
      <c r="A954" s="9"/>
      <c r="B954" s="9"/>
      <c r="C954" s="9"/>
      <c r="D954" s="9"/>
      <c r="E954" s="9"/>
      <c r="F954" s="9"/>
      <c r="G954" s="9"/>
      <c r="H954" s="9"/>
      <c r="I954" s="9"/>
      <c r="J954" s="9"/>
      <c r="K954" s="9"/>
      <c r="L954" s="9"/>
      <c r="M954" s="9"/>
    </row>
    <row r="955">
      <c r="A955" s="9"/>
      <c r="B955" s="9"/>
      <c r="C955" s="9"/>
      <c r="D955" s="9"/>
      <c r="E955" s="9"/>
      <c r="F955" s="9"/>
      <c r="G955" s="9"/>
      <c r="H955" s="9"/>
      <c r="I955" s="9"/>
      <c r="J955" s="9"/>
      <c r="K955" s="9"/>
      <c r="L955" s="9"/>
      <c r="M955" s="9"/>
    </row>
    <row r="956">
      <c r="A956" s="9"/>
      <c r="B956" s="9"/>
      <c r="C956" s="9"/>
      <c r="D956" s="9"/>
      <c r="E956" s="9"/>
      <c r="F956" s="9"/>
      <c r="G956" s="9"/>
      <c r="H956" s="9"/>
      <c r="I956" s="9"/>
      <c r="J956" s="9"/>
      <c r="K956" s="9"/>
      <c r="L956" s="9"/>
      <c r="M956" s="9"/>
    </row>
    <row r="957">
      <c r="A957" s="9"/>
      <c r="B957" s="9"/>
      <c r="C957" s="9"/>
      <c r="D957" s="9"/>
      <c r="E957" s="9"/>
      <c r="F957" s="9"/>
      <c r="G957" s="9"/>
      <c r="H957" s="9"/>
      <c r="I957" s="9"/>
      <c r="J957" s="9"/>
      <c r="K957" s="9"/>
      <c r="L957" s="9"/>
      <c r="M957" s="9"/>
    </row>
    <row r="958">
      <c r="A958" s="9"/>
      <c r="B958" s="9"/>
      <c r="C958" s="9"/>
      <c r="D958" s="9"/>
      <c r="E958" s="9"/>
      <c r="F958" s="9"/>
      <c r="G958" s="9"/>
      <c r="H958" s="9"/>
      <c r="I958" s="9"/>
      <c r="J958" s="9"/>
      <c r="K958" s="9"/>
      <c r="L958" s="9"/>
      <c r="M958" s="9"/>
    </row>
    <row r="959">
      <c r="A959" s="9"/>
      <c r="B959" s="9"/>
      <c r="C959" s="9"/>
      <c r="D959" s="9"/>
      <c r="E959" s="9"/>
      <c r="F959" s="9"/>
      <c r="G959" s="9"/>
      <c r="H959" s="9"/>
      <c r="I959" s="9"/>
      <c r="J959" s="9"/>
      <c r="K959" s="9"/>
      <c r="L959" s="9"/>
      <c r="M959" s="9"/>
    </row>
    <row r="960">
      <c r="A960" s="9"/>
      <c r="B960" s="9"/>
      <c r="C960" s="9"/>
      <c r="D960" s="9"/>
      <c r="E960" s="9"/>
      <c r="F960" s="9"/>
      <c r="G960" s="9"/>
      <c r="H960" s="9"/>
      <c r="I960" s="9"/>
      <c r="J960" s="9"/>
      <c r="K960" s="9"/>
      <c r="L960" s="9"/>
      <c r="M960" s="9"/>
    </row>
    <row r="961">
      <c r="A961" s="9"/>
      <c r="B961" s="9"/>
      <c r="C961" s="9"/>
      <c r="D961" s="9"/>
      <c r="E961" s="9"/>
      <c r="F961" s="9"/>
      <c r="G961" s="9"/>
      <c r="H961" s="9"/>
      <c r="I961" s="9"/>
      <c r="J961" s="9"/>
      <c r="K961" s="9"/>
      <c r="L961" s="9"/>
      <c r="M961" s="9"/>
    </row>
    <row r="962">
      <c r="A962" s="9"/>
      <c r="B962" s="9"/>
      <c r="C962" s="9"/>
      <c r="D962" s="9"/>
      <c r="E962" s="9"/>
      <c r="F962" s="9"/>
      <c r="G962" s="9"/>
      <c r="H962" s="9"/>
      <c r="I962" s="9"/>
      <c r="J962" s="9"/>
      <c r="K962" s="9"/>
      <c r="L962" s="9"/>
      <c r="M962" s="9"/>
    </row>
    <row r="963">
      <c r="A963" s="9"/>
      <c r="B963" s="9"/>
      <c r="C963" s="9"/>
      <c r="D963" s="9"/>
      <c r="E963" s="9"/>
      <c r="F963" s="9"/>
      <c r="G963" s="9"/>
      <c r="H963" s="9"/>
      <c r="I963" s="9"/>
      <c r="J963" s="9"/>
      <c r="K963" s="9"/>
      <c r="L963" s="9"/>
      <c r="M963" s="9"/>
    </row>
    <row r="964">
      <c r="A964" s="9"/>
      <c r="B964" s="9"/>
      <c r="C964" s="9"/>
      <c r="D964" s="9"/>
      <c r="E964" s="9"/>
      <c r="F964" s="9"/>
      <c r="G964" s="9"/>
      <c r="H964" s="9"/>
      <c r="I964" s="9"/>
      <c r="J964" s="9"/>
      <c r="K964" s="9"/>
      <c r="L964" s="9"/>
      <c r="M964" s="9"/>
    </row>
    <row r="965">
      <c r="A965" s="9"/>
      <c r="B965" s="9"/>
      <c r="C965" s="9"/>
      <c r="D965" s="9"/>
      <c r="E965" s="9"/>
      <c r="F965" s="9"/>
      <c r="G965" s="9"/>
      <c r="H965" s="9"/>
      <c r="I965" s="9"/>
      <c r="J965" s="9"/>
      <c r="K965" s="9"/>
      <c r="L965" s="9"/>
      <c r="M965" s="9"/>
    </row>
    <row r="966">
      <c r="A966" s="9"/>
      <c r="B966" s="9"/>
      <c r="C966" s="9"/>
      <c r="D966" s="9"/>
      <c r="E966" s="9"/>
      <c r="F966" s="9"/>
      <c r="G966" s="9"/>
      <c r="H966" s="9"/>
      <c r="I966" s="9"/>
      <c r="J966" s="9"/>
      <c r="K966" s="9"/>
      <c r="L966" s="9"/>
      <c r="M966" s="9"/>
    </row>
    <row r="967">
      <c r="A967" s="9"/>
      <c r="B967" s="9"/>
      <c r="C967" s="9"/>
      <c r="D967" s="9"/>
      <c r="E967" s="9"/>
      <c r="F967" s="9"/>
      <c r="G967" s="9"/>
      <c r="H967" s="9"/>
      <c r="I967" s="9"/>
      <c r="J967" s="9"/>
      <c r="K967" s="9"/>
      <c r="L967" s="9"/>
      <c r="M967" s="9"/>
    </row>
    <row r="968">
      <c r="A968" s="9"/>
      <c r="B968" s="9"/>
      <c r="C968" s="9"/>
      <c r="D968" s="9"/>
      <c r="E968" s="9"/>
      <c r="F968" s="9"/>
      <c r="G968" s="9"/>
      <c r="H968" s="9"/>
      <c r="I968" s="9"/>
      <c r="J968" s="9"/>
      <c r="K968" s="9"/>
      <c r="L968" s="9"/>
      <c r="M968" s="9"/>
    </row>
    <row r="969">
      <c r="A969" s="9"/>
      <c r="B969" s="9"/>
      <c r="C969" s="9"/>
      <c r="D969" s="9"/>
      <c r="E969" s="9"/>
      <c r="F969" s="9"/>
      <c r="G969" s="9"/>
      <c r="H969" s="9"/>
      <c r="I969" s="9"/>
      <c r="J969" s="9"/>
      <c r="K969" s="9"/>
      <c r="L969" s="9"/>
      <c r="M969" s="9"/>
    </row>
    <row r="970">
      <c r="A970" s="9"/>
      <c r="B970" s="9"/>
      <c r="C970" s="9"/>
      <c r="D970" s="9"/>
      <c r="E970" s="9"/>
      <c r="F970" s="9"/>
      <c r="G970" s="9"/>
      <c r="H970" s="9"/>
      <c r="I970" s="9"/>
      <c r="J970" s="9"/>
      <c r="K970" s="9"/>
      <c r="L970" s="9"/>
      <c r="M970" s="9"/>
    </row>
    <row r="971">
      <c r="A971" s="9"/>
      <c r="B971" s="9"/>
      <c r="C971" s="9"/>
      <c r="D971" s="9"/>
      <c r="E971" s="9"/>
      <c r="F971" s="9"/>
      <c r="G971" s="9"/>
      <c r="H971" s="9"/>
      <c r="I971" s="9"/>
      <c r="J971" s="9"/>
      <c r="K971" s="9"/>
      <c r="L971" s="9"/>
      <c r="M971" s="9"/>
    </row>
    <row r="972">
      <c r="A972" s="9"/>
      <c r="B972" s="9"/>
      <c r="C972" s="9"/>
      <c r="D972" s="9"/>
      <c r="E972" s="9"/>
      <c r="F972" s="9"/>
      <c r="G972" s="9"/>
      <c r="H972" s="9"/>
      <c r="I972" s="9"/>
      <c r="J972" s="9"/>
      <c r="K972" s="9"/>
      <c r="L972" s="9"/>
      <c r="M972" s="9"/>
    </row>
    <row r="973">
      <c r="A973" s="9"/>
      <c r="B973" s="9"/>
      <c r="C973" s="9"/>
      <c r="D973" s="9"/>
      <c r="E973" s="9"/>
      <c r="F973" s="9"/>
      <c r="G973" s="9"/>
      <c r="H973" s="9"/>
      <c r="I973" s="9"/>
      <c r="J973" s="9"/>
      <c r="K973" s="9"/>
      <c r="L973" s="9"/>
      <c r="M973" s="9"/>
    </row>
    <row r="974">
      <c r="A974" s="9"/>
      <c r="B974" s="9"/>
      <c r="C974" s="9"/>
      <c r="D974" s="9"/>
      <c r="E974" s="9"/>
      <c r="F974" s="9"/>
      <c r="G974" s="9"/>
      <c r="H974" s="9"/>
      <c r="I974" s="9"/>
      <c r="J974" s="9"/>
      <c r="K974" s="9"/>
      <c r="L974" s="9"/>
      <c r="M974" s="9"/>
    </row>
    <row r="975">
      <c r="A975" s="9"/>
      <c r="B975" s="9"/>
      <c r="C975" s="9"/>
      <c r="D975" s="9"/>
      <c r="E975" s="9"/>
      <c r="F975" s="9"/>
      <c r="G975" s="9"/>
      <c r="H975" s="9"/>
      <c r="I975" s="9"/>
      <c r="J975" s="9"/>
      <c r="K975" s="9"/>
      <c r="L975" s="9"/>
      <c r="M975" s="9"/>
    </row>
    <row r="976">
      <c r="A976" s="9"/>
      <c r="B976" s="9"/>
      <c r="C976" s="9"/>
      <c r="D976" s="9"/>
      <c r="E976" s="9"/>
      <c r="F976" s="9"/>
      <c r="G976" s="9"/>
      <c r="H976" s="9"/>
      <c r="I976" s="9"/>
      <c r="J976" s="9"/>
      <c r="K976" s="9"/>
      <c r="L976" s="9"/>
      <c r="M976" s="9"/>
    </row>
    <row r="977">
      <c r="A977" s="9"/>
      <c r="B977" s="9"/>
      <c r="C977" s="9"/>
      <c r="D977" s="9"/>
      <c r="E977" s="9"/>
      <c r="F977" s="9"/>
      <c r="G977" s="9"/>
      <c r="H977" s="9"/>
      <c r="I977" s="9"/>
      <c r="J977" s="9"/>
      <c r="K977" s="9"/>
      <c r="L977" s="9"/>
      <c r="M977" s="9"/>
    </row>
    <row r="978">
      <c r="A978" s="9"/>
      <c r="B978" s="9"/>
      <c r="C978" s="9"/>
      <c r="D978" s="9"/>
      <c r="E978" s="9"/>
      <c r="F978" s="9"/>
      <c r="G978" s="9"/>
      <c r="H978" s="9"/>
      <c r="I978" s="9"/>
      <c r="J978" s="9"/>
      <c r="K978" s="9"/>
      <c r="L978" s="9"/>
      <c r="M978" s="9"/>
    </row>
    <row r="979">
      <c r="A979" s="9"/>
      <c r="B979" s="9"/>
      <c r="C979" s="9"/>
      <c r="D979" s="9"/>
      <c r="E979" s="9"/>
      <c r="F979" s="9"/>
      <c r="G979" s="9"/>
      <c r="H979" s="9"/>
      <c r="I979" s="9"/>
      <c r="J979" s="9"/>
      <c r="K979" s="9"/>
      <c r="L979" s="9"/>
      <c r="M979" s="9"/>
    </row>
    <row r="980">
      <c r="A980" s="9"/>
      <c r="B980" s="9"/>
      <c r="C980" s="9"/>
      <c r="D980" s="9"/>
      <c r="E980" s="9"/>
      <c r="F980" s="9"/>
      <c r="G980" s="9"/>
      <c r="H980" s="9"/>
      <c r="I980" s="9"/>
      <c r="J980" s="9"/>
      <c r="K980" s="9"/>
      <c r="L980" s="9"/>
      <c r="M980" s="9"/>
    </row>
    <row r="981">
      <c r="A981" s="9"/>
      <c r="B981" s="9"/>
      <c r="C981" s="9"/>
      <c r="D981" s="9"/>
      <c r="E981" s="9"/>
      <c r="F981" s="9"/>
      <c r="G981" s="9"/>
      <c r="H981" s="9"/>
      <c r="I981" s="9"/>
      <c r="J981" s="9"/>
      <c r="K981" s="9"/>
      <c r="L981" s="9"/>
      <c r="M981" s="9"/>
    </row>
    <row r="982">
      <c r="A982" s="9"/>
      <c r="B982" s="9"/>
      <c r="C982" s="9"/>
      <c r="D982" s="9"/>
      <c r="E982" s="9"/>
      <c r="F982" s="9"/>
      <c r="G982" s="9"/>
      <c r="H982" s="9"/>
      <c r="I982" s="9"/>
      <c r="J982" s="9"/>
      <c r="K982" s="9"/>
      <c r="L982" s="9"/>
      <c r="M982" s="9"/>
    </row>
    <row r="983">
      <c r="A983" s="9"/>
      <c r="B983" s="9"/>
      <c r="C983" s="9"/>
      <c r="D983" s="9"/>
      <c r="E983" s="9"/>
      <c r="F983" s="9"/>
      <c r="G983" s="9"/>
      <c r="H983" s="9"/>
      <c r="I983" s="9"/>
      <c r="J983" s="9"/>
      <c r="K983" s="9"/>
      <c r="L983" s="9"/>
      <c r="M983" s="9"/>
    </row>
    <row r="984">
      <c r="A984" s="9"/>
      <c r="B984" s="9"/>
      <c r="C984" s="9"/>
      <c r="D984" s="9"/>
      <c r="E984" s="9"/>
      <c r="F984" s="9"/>
      <c r="G984" s="9"/>
      <c r="H984" s="9"/>
      <c r="I984" s="9"/>
      <c r="J984" s="9"/>
      <c r="K984" s="9"/>
      <c r="L984" s="9"/>
      <c r="M984" s="9"/>
    </row>
    <row r="985">
      <c r="A985" s="9"/>
      <c r="B985" s="9"/>
      <c r="C985" s="9"/>
      <c r="D985" s="9"/>
      <c r="E985" s="9"/>
      <c r="F985" s="9"/>
      <c r="G985" s="9"/>
      <c r="H985" s="9"/>
      <c r="I985" s="9"/>
      <c r="J985" s="9"/>
      <c r="K985" s="9"/>
      <c r="L985" s="9"/>
      <c r="M985" s="9"/>
    </row>
    <row r="986">
      <c r="A986" s="9"/>
      <c r="B986" s="9"/>
      <c r="C986" s="9"/>
      <c r="D986" s="9"/>
      <c r="E986" s="9"/>
      <c r="F986" s="9"/>
      <c r="G986" s="9"/>
      <c r="H986" s="9"/>
      <c r="I986" s="9"/>
      <c r="J986" s="9"/>
      <c r="K986" s="9"/>
      <c r="L986" s="9"/>
      <c r="M986" s="9"/>
    </row>
    <row r="987">
      <c r="A987" s="9"/>
      <c r="B987" s="9"/>
      <c r="C987" s="9"/>
      <c r="D987" s="9"/>
      <c r="E987" s="9"/>
      <c r="F987" s="9"/>
      <c r="G987" s="9"/>
      <c r="H987" s="9"/>
      <c r="I987" s="9"/>
      <c r="J987" s="9"/>
      <c r="K987" s="9"/>
      <c r="L987" s="9"/>
      <c r="M987" s="9"/>
    </row>
    <row r="988">
      <c r="A988" s="9"/>
      <c r="B988" s="9"/>
      <c r="C988" s="9"/>
      <c r="D988" s="9"/>
      <c r="E988" s="9"/>
      <c r="F988" s="9"/>
      <c r="G988" s="9"/>
      <c r="H988" s="9"/>
      <c r="I988" s="9"/>
      <c r="J988" s="9"/>
      <c r="K988" s="9"/>
      <c r="L988" s="9"/>
      <c r="M988" s="9"/>
    </row>
    <row r="989">
      <c r="A989" s="9"/>
      <c r="B989" s="9"/>
      <c r="C989" s="9"/>
      <c r="D989" s="9"/>
      <c r="E989" s="9"/>
      <c r="F989" s="9"/>
      <c r="G989" s="9"/>
      <c r="H989" s="9"/>
      <c r="I989" s="9"/>
      <c r="J989" s="9"/>
      <c r="K989" s="9"/>
      <c r="L989" s="9"/>
      <c r="M989" s="9"/>
    </row>
    <row r="990">
      <c r="A990" s="9"/>
      <c r="B990" s="9"/>
      <c r="C990" s="9"/>
      <c r="D990" s="9"/>
      <c r="E990" s="9"/>
      <c r="F990" s="9"/>
      <c r="G990" s="9"/>
      <c r="H990" s="9"/>
      <c r="I990" s="9"/>
      <c r="J990" s="9"/>
      <c r="K990" s="9"/>
      <c r="L990" s="9"/>
      <c r="M990" s="9"/>
    </row>
    <row r="991">
      <c r="A991" s="9"/>
      <c r="B991" s="9"/>
      <c r="C991" s="9"/>
      <c r="D991" s="9"/>
      <c r="E991" s="9"/>
      <c r="F991" s="9"/>
      <c r="G991" s="9"/>
      <c r="H991" s="9"/>
      <c r="I991" s="9"/>
      <c r="J991" s="9"/>
      <c r="K991" s="9"/>
      <c r="L991" s="9"/>
      <c r="M991" s="9"/>
    </row>
    <row r="992">
      <c r="A992" s="9"/>
      <c r="B992" s="9"/>
      <c r="C992" s="9"/>
      <c r="D992" s="9"/>
      <c r="E992" s="9"/>
      <c r="F992" s="9"/>
      <c r="G992" s="9"/>
      <c r="H992" s="9"/>
      <c r="I992" s="9"/>
      <c r="J992" s="9"/>
      <c r="K992" s="9"/>
      <c r="L992" s="9"/>
      <c r="M992" s="9"/>
    </row>
    <row r="993">
      <c r="A993" s="9"/>
      <c r="B993" s="9"/>
      <c r="C993" s="9"/>
      <c r="D993" s="9"/>
      <c r="E993" s="9"/>
      <c r="F993" s="9"/>
      <c r="G993" s="9"/>
      <c r="H993" s="9"/>
      <c r="I993" s="9"/>
      <c r="J993" s="9"/>
      <c r="K993" s="9"/>
      <c r="L993" s="9"/>
      <c r="M993" s="9"/>
    </row>
    <row r="994">
      <c r="A994" s="9"/>
      <c r="B994" s="9"/>
      <c r="C994" s="9"/>
      <c r="D994" s="9"/>
      <c r="E994" s="9"/>
      <c r="F994" s="9"/>
      <c r="G994" s="9"/>
      <c r="H994" s="9"/>
      <c r="I994" s="9"/>
      <c r="J994" s="9"/>
      <c r="K994" s="9"/>
      <c r="L994" s="9"/>
      <c r="M994" s="9"/>
    </row>
    <row r="995">
      <c r="A995" s="9"/>
      <c r="B995" s="9"/>
      <c r="C995" s="9"/>
      <c r="D995" s="9"/>
      <c r="E995" s="9"/>
      <c r="F995" s="9"/>
      <c r="G995" s="9"/>
      <c r="H995" s="9"/>
      <c r="I995" s="9"/>
      <c r="J995" s="9"/>
      <c r="K995" s="9"/>
      <c r="L995" s="9"/>
      <c r="M995" s="9"/>
    </row>
    <row r="996">
      <c r="A996" s="9"/>
      <c r="B996" s="9"/>
      <c r="C996" s="9"/>
      <c r="D996" s="9"/>
      <c r="E996" s="9"/>
      <c r="F996" s="9"/>
      <c r="G996" s="9"/>
      <c r="H996" s="9"/>
      <c r="I996" s="9"/>
      <c r="J996" s="9"/>
      <c r="K996" s="9"/>
      <c r="L996" s="9"/>
      <c r="M996" s="9"/>
    </row>
    <row r="997">
      <c r="A997" s="9"/>
      <c r="B997" s="9"/>
      <c r="C997" s="9"/>
      <c r="D997" s="9"/>
      <c r="E997" s="9"/>
      <c r="F997" s="9"/>
      <c r="G997" s="9"/>
      <c r="H997" s="9"/>
      <c r="I997" s="9"/>
      <c r="J997" s="9"/>
      <c r="K997" s="9"/>
      <c r="L997" s="9"/>
      <c r="M997" s="9"/>
    </row>
    <row r="998">
      <c r="A998" s="9"/>
      <c r="B998" s="9"/>
      <c r="C998" s="9"/>
      <c r="D998" s="9"/>
      <c r="E998" s="9"/>
      <c r="F998" s="9"/>
      <c r="G998" s="9"/>
      <c r="H998" s="9"/>
      <c r="I998" s="9"/>
      <c r="J998" s="9"/>
      <c r="K998" s="9"/>
      <c r="L998" s="9"/>
      <c r="M998" s="9"/>
    </row>
    <row r="999">
      <c r="A999" s="9"/>
      <c r="B999" s="9"/>
      <c r="C999" s="9"/>
      <c r="D999" s="9"/>
      <c r="E999" s="9"/>
      <c r="F999" s="9"/>
      <c r="G999" s="9"/>
      <c r="H999" s="9"/>
      <c r="I999" s="9"/>
      <c r="J999" s="9"/>
      <c r="K999" s="9"/>
      <c r="L999" s="9"/>
      <c r="M999" s="9"/>
    </row>
    <row r="1000">
      <c r="A1000" s="9"/>
      <c r="B1000" s="9"/>
      <c r="C1000" s="9"/>
      <c r="D1000" s="9"/>
      <c r="E1000" s="9"/>
      <c r="F1000" s="9"/>
      <c r="G1000" s="9"/>
      <c r="H1000" s="9"/>
      <c r="I1000" s="9"/>
      <c r="J1000" s="9"/>
      <c r="K1000" s="9"/>
      <c r="L1000" s="9"/>
      <c r="M1000" s="9"/>
    </row>
    <row r="1001">
      <c r="A1001" s="9"/>
      <c r="B1001" s="9"/>
      <c r="C1001" s="9"/>
      <c r="D1001" s="9"/>
      <c r="E1001" s="9"/>
      <c r="F1001" s="9"/>
      <c r="G1001" s="9"/>
      <c r="H1001" s="9"/>
      <c r="I1001" s="9"/>
      <c r="J1001" s="9"/>
      <c r="K1001" s="9"/>
      <c r="L1001" s="9"/>
      <c r="M1001" s="9"/>
    </row>
    <row r="1002">
      <c r="A1002" s="9"/>
      <c r="B1002" s="9"/>
      <c r="C1002" s="9"/>
      <c r="D1002" s="9"/>
      <c r="E1002" s="9"/>
      <c r="F1002" s="9"/>
      <c r="G1002" s="9"/>
      <c r="H1002" s="9"/>
      <c r="I1002" s="9"/>
      <c r="J1002" s="9"/>
      <c r="K1002" s="9"/>
      <c r="L1002" s="9"/>
      <c r="M1002" s="9"/>
    </row>
    <row r="1003">
      <c r="A1003" s="9"/>
      <c r="B1003" s="9"/>
      <c r="C1003" s="9"/>
      <c r="D1003" s="9"/>
      <c r="E1003" s="9"/>
      <c r="F1003" s="9"/>
      <c r="G1003" s="9"/>
      <c r="H1003" s="9"/>
      <c r="I1003" s="9"/>
      <c r="J1003" s="9"/>
      <c r="K1003" s="9"/>
      <c r="L1003" s="9"/>
      <c r="M1003" s="9"/>
    </row>
    <row r="1004">
      <c r="A1004" s="9"/>
      <c r="B1004" s="9"/>
      <c r="C1004" s="9"/>
      <c r="D1004" s="9"/>
      <c r="E1004" s="9"/>
      <c r="F1004" s="9"/>
      <c r="G1004" s="9"/>
      <c r="H1004" s="9"/>
      <c r="I1004" s="9"/>
      <c r="J1004" s="9"/>
      <c r="K1004" s="9"/>
      <c r="L1004" s="9"/>
      <c r="M1004" s="9"/>
    </row>
    <row r="1005">
      <c r="A1005" s="9"/>
      <c r="B1005" s="9"/>
      <c r="C1005" s="9"/>
      <c r="D1005" s="9"/>
      <c r="E1005" s="9"/>
      <c r="F1005" s="9"/>
      <c r="G1005" s="9"/>
      <c r="H1005" s="9"/>
      <c r="I1005" s="9"/>
      <c r="J1005" s="9"/>
      <c r="K1005" s="9"/>
      <c r="L1005" s="9"/>
      <c r="M1005" s="9"/>
    </row>
    <row r="1006">
      <c r="A1006" s="9"/>
      <c r="B1006" s="9"/>
      <c r="C1006" s="9"/>
      <c r="D1006" s="9"/>
      <c r="E1006" s="9"/>
      <c r="F1006" s="9"/>
      <c r="G1006" s="9"/>
      <c r="H1006" s="9"/>
      <c r="I1006" s="9"/>
      <c r="J1006" s="9"/>
      <c r="K1006" s="9"/>
      <c r="L1006" s="9"/>
      <c r="M1006" s="9"/>
    </row>
    <row r="1007">
      <c r="A1007" s="9"/>
      <c r="B1007" s="9"/>
      <c r="C1007" s="9"/>
      <c r="D1007" s="9"/>
      <c r="E1007" s="9"/>
      <c r="F1007" s="9"/>
      <c r="G1007" s="9"/>
      <c r="H1007" s="9"/>
      <c r="I1007" s="9"/>
      <c r="J1007" s="9"/>
      <c r="K1007" s="9"/>
      <c r="L1007" s="9"/>
      <c r="M1007" s="9"/>
    </row>
    <row r="1008">
      <c r="A1008" s="9"/>
      <c r="B1008" s="9"/>
      <c r="C1008" s="9"/>
      <c r="D1008" s="9"/>
      <c r="E1008" s="9"/>
      <c r="F1008" s="9"/>
      <c r="G1008" s="9"/>
      <c r="H1008" s="9"/>
      <c r="I1008" s="9"/>
      <c r="J1008" s="9"/>
      <c r="K1008" s="9"/>
      <c r="L1008" s="9"/>
      <c r="M1008" s="9"/>
    </row>
    <row r="1009">
      <c r="A1009" s="9"/>
      <c r="B1009" s="9"/>
      <c r="C1009" s="9"/>
      <c r="D1009" s="9"/>
      <c r="E1009" s="9"/>
      <c r="F1009" s="9"/>
      <c r="G1009" s="9"/>
      <c r="H1009" s="9"/>
      <c r="I1009" s="9"/>
      <c r="J1009" s="9"/>
      <c r="K1009" s="9"/>
      <c r="L1009" s="9"/>
      <c r="M1009" s="9"/>
    </row>
    <row r="1010">
      <c r="A1010" s="9"/>
      <c r="B1010" s="9"/>
      <c r="C1010" s="9"/>
      <c r="D1010" s="9"/>
      <c r="E1010" s="9"/>
      <c r="F1010" s="9"/>
      <c r="G1010" s="9"/>
      <c r="H1010" s="9"/>
      <c r="I1010" s="9"/>
      <c r="J1010" s="9"/>
      <c r="K1010" s="9"/>
      <c r="L1010" s="9"/>
      <c r="M1010" s="9"/>
    </row>
    <row r="1011">
      <c r="A1011" s="9"/>
      <c r="B1011" s="9"/>
      <c r="C1011" s="9"/>
      <c r="D1011" s="9"/>
      <c r="E1011" s="9"/>
      <c r="F1011" s="9"/>
      <c r="G1011" s="9"/>
      <c r="H1011" s="9"/>
      <c r="I1011" s="9"/>
      <c r="J1011" s="9"/>
      <c r="K1011" s="9"/>
      <c r="L1011" s="9"/>
      <c r="M1011" s="9"/>
    </row>
  </sheetData>
  <mergeCells count="18">
    <mergeCell ref="C1:M1"/>
    <mergeCell ref="A3:B3"/>
    <mergeCell ref="H37:H38"/>
    <mergeCell ref="H39:H40"/>
    <mergeCell ref="H41:H42"/>
    <mergeCell ref="H43:H44"/>
    <mergeCell ref="H45:H47"/>
    <mergeCell ref="I58:I60"/>
    <mergeCell ref="H59:H60"/>
    <mergeCell ref="I61:I63"/>
    <mergeCell ref="H62:H63"/>
    <mergeCell ref="C49:C52"/>
    <mergeCell ref="D49:D52"/>
    <mergeCell ref="H52:H53"/>
    <mergeCell ref="I52:I53"/>
    <mergeCell ref="H54:H55"/>
    <mergeCell ref="I54:I55"/>
    <mergeCell ref="I56:I57"/>
  </mergeCells>
  <dataValidations>
    <dataValidation type="list" allowBlank="1" showErrorMessage="1" sqref="J11:J19">
      <formula1>"✔️ เปิดรับยืนยันตัวตน,❌ ปิดรับยืนยันตัวตน,⚙️ กำลังดำเนินการ,✅ จัดส่งสำเร็จ,-"</formula1>
    </dataValidation>
    <dataValidation type="list" allowBlank="1" showErrorMessage="1" sqref="L11:L12">
      <formula1>"⚙️ กำลังทำ,✅ เสร็จแล้ว "</formula1>
    </dataValidation>
    <dataValidation type="list" allowBlank="1" showErrorMessage="1" sqref="K11:K12">
      <formula1>"1️⃣ พี่หนึ่ง,🌈พี่เบิ้ล,🍀พี่บัน,☃️ พี่ป้อง,🐉 เคนจิ,🐏 มิ้น,✌🏼 อุ้ม,🐸 พิงค์,👑 ปริ้น,👀 ยุ้ย,🩵 GP"</formula1>
    </dataValidation>
    <dataValidation type="list" allowBlank="1" showErrorMessage="1" sqref="G11:G19">
      <formula1>"🌐หน้าเว็บไซต์,จดหมายในเกม,ข้อความ sms,จัดส่งพัสดุ,HOF"</formula1>
    </dataValidation>
  </dataValidations>
  <hyperlinks>
    <hyperlink r:id="rId1" ref="H11"/>
    <hyperlink r:id="rId2" ref="H12"/>
    <hyperlink r:id="rId3" ref="H13"/>
    <hyperlink r:id="rId4" ref="H14"/>
    <hyperlink r:id="rId5" ref="H15"/>
    <hyperlink r:id="rId6" ref="H16"/>
    <hyperlink r:id="rId7" ref="H17"/>
    <hyperlink r:id="rId8" ref="H18"/>
    <hyperlink r:id="rId9" ref="H19"/>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24.0"/>
    <col customWidth="1" min="2" max="2" width="29.75"/>
    <col customWidth="1" min="3" max="3" width="37.25"/>
    <col customWidth="1" min="4" max="4" width="27.5"/>
    <col customWidth="1" min="5" max="5" width="24.63"/>
    <col customWidth="1" min="7" max="7" width="6.75"/>
  </cols>
  <sheetData>
    <row r="1">
      <c r="A1" s="58" t="s">
        <v>45</v>
      </c>
      <c r="G1" s="59"/>
    </row>
    <row r="2">
      <c r="A2" s="60" t="s">
        <v>46</v>
      </c>
      <c r="B2" s="61"/>
      <c r="C2" s="60" t="s">
        <v>47</v>
      </c>
      <c r="D2" s="62" t="s">
        <v>48</v>
      </c>
      <c r="E2" s="63" t="s">
        <v>49</v>
      </c>
      <c r="F2" s="9"/>
      <c r="G2" s="59"/>
      <c r="I2" s="64" t="s">
        <v>50</v>
      </c>
    </row>
    <row r="3">
      <c r="A3" s="60" t="s">
        <v>51</v>
      </c>
      <c r="B3" s="65" t="s">
        <v>27</v>
      </c>
      <c r="C3" s="66" t="s">
        <v>52</v>
      </c>
      <c r="D3" s="65" t="s">
        <v>53</v>
      </c>
      <c r="E3" s="67" t="s">
        <v>54</v>
      </c>
      <c r="F3" s="9"/>
      <c r="G3" s="59"/>
    </row>
    <row r="4">
      <c r="D4" s="9"/>
      <c r="E4" s="9"/>
      <c r="F4" s="9"/>
      <c r="G4" s="59"/>
      <c r="I4" s="68" t="s">
        <v>55</v>
      </c>
      <c r="J4" s="69" t="s">
        <v>56</v>
      </c>
    </row>
    <row r="5">
      <c r="A5" s="70" t="s">
        <v>57</v>
      </c>
      <c r="B5" s="71" t="s">
        <v>58</v>
      </c>
      <c r="C5" s="72" t="s">
        <v>59</v>
      </c>
      <c r="D5" s="9"/>
      <c r="E5" s="9"/>
      <c r="F5" s="9"/>
      <c r="G5" s="59"/>
      <c r="I5" s="68"/>
    </row>
    <row r="6">
      <c r="B6" s="71" t="s">
        <v>60</v>
      </c>
      <c r="C6" s="72" t="s">
        <v>61</v>
      </c>
      <c r="D6" s="9"/>
      <c r="E6" s="9"/>
      <c r="F6" s="9"/>
      <c r="G6" s="59"/>
      <c r="I6" s="68"/>
    </row>
    <row r="7">
      <c r="D7" s="9"/>
      <c r="E7" s="9"/>
      <c r="F7" s="9"/>
      <c r="G7" s="59"/>
      <c r="I7" s="68"/>
    </row>
    <row r="8">
      <c r="A8" s="73" t="s">
        <v>62</v>
      </c>
      <c r="B8" s="73" t="s">
        <v>63</v>
      </c>
      <c r="C8" s="73" t="s">
        <v>64</v>
      </c>
      <c r="D8" s="73" t="s">
        <v>65</v>
      </c>
      <c r="E8" s="73" t="s">
        <v>66</v>
      </c>
      <c r="F8" s="73" t="s">
        <v>51</v>
      </c>
      <c r="G8" s="59"/>
      <c r="I8" s="74"/>
    </row>
    <row r="9">
      <c r="A9" s="65">
        <v>1.0</v>
      </c>
      <c r="B9" s="50" t="s">
        <v>67</v>
      </c>
      <c r="D9" s="9"/>
      <c r="E9" s="75" t="s">
        <v>68</v>
      </c>
      <c r="F9" s="75" t="s">
        <v>69</v>
      </c>
      <c r="G9" s="59"/>
      <c r="I9" s="76" t="s">
        <v>70</v>
      </c>
      <c r="J9" s="77" t="s">
        <v>71</v>
      </c>
      <c r="K9" s="77" t="s">
        <v>72</v>
      </c>
      <c r="L9" s="78" t="s">
        <v>73</v>
      </c>
      <c r="M9" s="79" t="s">
        <v>74</v>
      </c>
      <c r="N9" s="77" t="s">
        <v>75</v>
      </c>
      <c r="O9" s="77" t="s">
        <v>76</v>
      </c>
      <c r="P9" s="77" t="s">
        <v>77</v>
      </c>
      <c r="Q9" s="80" t="s">
        <v>78</v>
      </c>
    </row>
    <row r="10">
      <c r="A10" s="65">
        <v>2.0</v>
      </c>
      <c r="B10" s="9"/>
      <c r="D10" s="9"/>
      <c r="E10" s="9"/>
      <c r="F10" s="9"/>
      <c r="G10" s="59"/>
      <c r="I10" s="81">
        <v>1205.0</v>
      </c>
      <c r="J10" s="82" t="str">
        <f t="array" ref="J10">IFERROR(INDEX(Data!$A$4:$O1003, MATCH($L10, INDEX(Data!$A$4:$O1003, 0, MATCH("Item EN", Data!$A$3:$O$3, FALSE)), FALSE), MATCH("Image", Data!$A$3:$O$3, FALSE)
),"")</f>
        <v/>
      </c>
      <c r="K10" s="83" t="str">
        <f t="array" ref="K10">IFERROR(INDEX(Data!$A$4:$O1003, MATCH($L10, INDEX(Data!$A$4:$O1003, 0, MATCH("Item EN", Data!$A$3:$O$3, FALSE)), FALSE), MATCH("Item ID", Data!$A$3:$O$3, FALSE)
),"")</f>
        <v/>
      </c>
      <c r="L10" s="84"/>
      <c r="M10" s="85"/>
      <c r="N10" s="83" t="str">
        <f t="array" ref="N10">IFERROR(INDEX(Data!$A$4:$O1003, MATCH($L10, INDEX(Data!$A$4:$O1003, 0, MATCH("Item EN", Data!$A$3:$O$3, FALSE)), FALSE), MATCH("Item Type", Data!$A$3:$O$3, FALSE)
),"")</f>
        <v/>
      </c>
      <c r="O10" s="86"/>
      <c r="P10" s="87" t="str">
        <f t="array" ref="P10">IF(O10="",,IFERROR(INDEX(Data!$A$4:$O1003, MATCH($L10, INDEX(Data!$A$4:$O1003, 0, MATCH("Item EN", Data!$A$3:$O$3, FALSE)), FALSE), MATCH("Price", Data!$A$3:$O$3, FALSE)
),"")*O10)</f>
        <v/>
      </c>
      <c r="Q10" s="88" t="str">
        <f t="array" ref="Q10">IFERROR(INDEX(Data!$A$4:$O1003, MATCH($L10, INDEX(Data!$A$4:$O1003, 0, MATCH("Item EN", Data!$A$3:$O$3, FALSE)), FALSE), MATCH("Image URL", Data!$A$3:$O$3, FALSE)
),"")</f>
        <v/>
      </c>
      <c r="R10" s="89"/>
    </row>
    <row r="11">
      <c r="A11" s="65">
        <v>3.0</v>
      </c>
      <c r="B11" s="9"/>
      <c r="C11" s="9"/>
      <c r="D11" s="9"/>
      <c r="E11" s="9"/>
      <c r="F11" s="9"/>
      <c r="G11" s="59"/>
      <c r="I11" s="81">
        <v>1206.0</v>
      </c>
      <c r="J11" s="82" t="str">
        <f t="array" ref="J11">IFERROR(INDEX(Data!$A$4:$O1003, MATCH($L11, INDEX(Data!$A$4:$O1003, 0, MATCH("Item EN", Data!$A$3:$O$3, FALSE)), FALSE), MATCH("Image", Data!$A$3:$O$3, FALSE)
),"")</f>
        <v/>
      </c>
      <c r="K11" s="83" t="str">
        <f t="array" ref="K11">IFERROR(INDEX(Data!$A$4:$O1003, MATCH($L11, INDEX(Data!$A$4:$O1003, 0, MATCH("Item EN", Data!$A$3:$O$3, FALSE)), FALSE), MATCH("Item ID", Data!$A$3:$O$3, FALSE)
),"")</f>
        <v/>
      </c>
      <c r="L11" s="84"/>
      <c r="M11" s="85"/>
      <c r="N11" s="83" t="str">
        <f t="array" ref="N11">IFERROR(INDEX(Data!$A$4:$O1003, MATCH($L11, INDEX(Data!$A$4:$O1003, 0, MATCH("Item EN", Data!$A$3:$O$3, FALSE)), FALSE), MATCH("Item Type", Data!$A$3:$O$3, FALSE)
),"")</f>
        <v/>
      </c>
      <c r="O11" s="86"/>
      <c r="P11" s="87" t="str">
        <f t="array" ref="P11">IF(O11="",,IFERROR(INDEX(Data!$A$4:$O1003, MATCH($L11, INDEX(Data!$A$4:$O1003, 0, MATCH("Item EN", Data!$A$3:$O$3, FALSE)), FALSE), MATCH("Price", Data!$A$3:$O$3, FALSE)
),"")*O11)</f>
        <v/>
      </c>
      <c r="Q11" s="88" t="str">
        <f t="array" ref="Q11">IFERROR(INDEX(Data!$A$4:$O1003, MATCH($L11, INDEX(Data!$A$4:$O1003, 0, MATCH("Item EN", Data!$A$3:$O$3, FALSE)), FALSE), MATCH("Image URL", Data!$A$3:$O$3, FALSE)
),"")</f>
        <v/>
      </c>
      <c r="R11" s="89"/>
    </row>
    <row r="12">
      <c r="A12" s="65">
        <v>4.0</v>
      </c>
      <c r="B12" s="9"/>
      <c r="C12" s="9"/>
      <c r="D12" s="9"/>
      <c r="E12" s="9"/>
      <c r="F12" s="9"/>
      <c r="G12" s="59"/>
      <c r="I12" s="81">
        <v>1184.0</v>
      </c>
      <c r="J12" s="82" t="str">
        <f t="array" ref="J12">IFERROR(INDEX(Data!$A$4:$O1003, MATCH($L12, INDEX(Data!$A$4:$O1003, 0, MATCH("Item EN", Data!$A$3:$O$3, FALSE)), FALSE), MATCH("Image", Data!$A$3:$O$3, FALSE)
),"")</f>
        <v/>
      </c>
      <c r="K12" s="83" t="str">
        <f t="array" ref="K12">IFERROR(INDEX(Data!$A$4:$O1003, MATCH($L12, INDEX(Data!$A$4:$O1003, 0, MATCH("Item EN", Data!$A$3:$O$3, FALSE)), FALSE), MATCH("Item ID", Data!$A$3:$O$3, FALSE)
),"")</f>
        <v/>
      </c>
      <c r="L12" s="84"/>
      <c r="M12" s="85"/>
      <c r="N12" s="83" t="str">
        <f t="array" ref="N12">IFERROR(INDEX(Data!$A$4:$O1003, MATCH($L12, INDEX(Data!$A$4:$O1003, 0, MATCH("Item EN", Data!$A$3:$O$3, FALSE)), FALSE), MATCH("Item Type", Data!$A$3:$O$3, FALSE)
),"")</f>
        <v/>
      </c>
      <c r="O12" s="86"/>
      <c r="P12" s="87" t="str">
        <f t="array" ref="P12">IF(O12="",,IFERROR(INDEX(Data!$A$4:$O1003, MATCH($L12, INDEX(Data!$A$4:$O1003, 0, MATCH("Item EN", Data!$A$3:$O$3, FALSE)), FALSE), MATCH("Price", Data!$A$3:$O$3, FALSE)
),"")*O12)</f>
        <v/>
      </c>
      <c r="Q12" s="88" t="str">
        <f t="array" ref="Q12">IFERROR(INDEX(Data!$A$4:$O1003, MATCH($L12, INDEX(Data!$A$4:$O1003, 0, MATCH("Item EN", Data!$A$3:$O$3, FALSE)), FALSE), MATCH("Image URL", Data!$A$3:$O$3, FALSE)
),"")</f>
        <v/>
      </c>
      <c r="R12" s="89"/>
    </row>
    <row r="13">
      <c r="A13" s="65">
        <v>5.0</v>
      </c>
      <c r="B13" s="9"/>
      <c r="C13" s="9"/>
      <c r="D13" s="9"/>
      <c r="E13" s="9"/>
      <c r="F13" s="9"/>
      <c r="G13" s="59"/>
      <c r="I13" s="81">
        <v>1210.0</v>
      </c>
      <c r="J13" s="82" t="str">
        <f t="array" ref="J13">IFERROR(INDEX(Data!$A$4:$O1003, MATCH($L13, INDEX(Data!$A$4:$O1003, 0, MATCH("Item EN", Data!$A$3:$O$3, FALSE)), FALSE), MATCH("Image", Data!$A$3:$O$3, FALSE)
),"")</f>
        <v/>
      </c>
      <c r="K13" s="83" t="str">
        <f t="array" ref="K13">IFERROR(INDEX(Data!$A$4:$O1003, MATCH($L13, INDEX(Data!$A$4:$O1003, 0, MATCH("Item EN", Data!$A$3:$O$3, FALSE)), FALSE), MATCH("Item ID", Data!$A$3:$O$3, FALSE)
),"")</f>
        <v/>
      </c>
      <c r="L13" s="84"/>
      <c r="M13" s="85"/>
      <c r="N13" s="83" t="str">
        <f t="array" ref="N13">IFERROR(INDEX(Data!$A$4:$O1003, MATCH($L13, INDEX(Data!$A$4:$O1003, 0, MATCH("Item EN", Data!$A$3:$O$3, FALSE)), FALSE), MATCH("Item Type", Data!$A$3:$O$3, FALSE)
),"")</f>
        <v/>
      </c>
      <c r="O13" s="86"/>
      <c r="P13" s="87" t="str">
        <f t="array" ref="P13">IF(O13="",,IFERROR(INDEX(Data!$A$4:$O1003, MATCH($L13, INDEX(Data!$A$4:$O1003, 0, MATCH("Item EN", Data!$A$3:$O$3, FALSE)), FALSE), MATCH("Price", Data!$A$3:$O$3, FALSE)
),"")*O13)</f>
        <v/>
      </c>
      <c r="Q13" s="88" t="str">
        <f t="array" ref="Q13">IFERROR(INDEX(Data!$A$4:$O1003, MATCH($L13, INDEX(Data!$A$4:$O1003, 0, MATCH("Item EN", Data!$A$3:$O$3, FALSE)), FALSE), MATCH("Image URL", Data!$A$3:$O$3, FALSE)
),"")</f>
        <v/>
      </c>
      <c r="R13" s="89"/>
    </row>
    <row r="14">
      <c r="A14" s="65">
        <v>6.0</v>
      </c>
      <c r="B14" s="9"/>
      <c r="C14" s="9"/>
      <c r="D14" s="9"/>
      <c r="E14" s="9"/>
      <c r="F14" s="9"/>
      <c r="G14" s="59"/>
      <c r="I14" s="81">
        <v>1182.0</v>
      </c>
      <c r="J14" s="82" t="str">
        <f t="array" ref="J14">IFERROR(INDEX(Data!$A$4:$O1003, MATCH($L14, INDEX(Data!$A$4:$O1003, 0, MATCH("Item EN", Data!$A$3:$O$3, FALSE)), FALSE), MATCH("Image", Data!$A$3:$O$3, FALSE)
),"")</f>
        <v/>
      </c>
      <c r="K14" s="83" t="str">
        <f t="array" ref="K14">IFERROR(INDEX(Data!$A$4:$O1003, MATCH($L14, INDEX(Data!$A$4:$O1003, 0, MATCH("Item EN", Data!$A$3:$O$3, FALSE)), FALSE), MATCH("Item ID", Data!$A$3:$O$3, FALSE)
),"")</f>
        <v/>
      </c>
      <c r="L14" s="84"/>
      <c r="M14" s="85"/>
      <c r="N14" s="83" t="str">
        <f t="array" ref="N14">IFERROR(INDEX(Data!$A$4:$O1003, MATCH($L14, INDEX(Data!$A$4:$O1003, 0, MATCH("Item EN", Data!$A$3:$O$3, FALSE)), FALSE), MATCH("Item Type", Data!$A$3:$O$3, FALSE)
),"")</f>
        <v/>
      </c>
      <c r="O14" s="86"/>
      <c r="P14" s="87" t="str">
        <f t="array" ref="P14">IF(O14="",,IFERROR(INDEX(Data!$A$4:$O1003, MATCH($L14, INDEX(Data!$A$4:$O1003, 0, MATCH("Item EN", Data!$A$3:$O$3, FALSE)), FALSE), MATCH("Price", Data!$A$3:$O$3, FALSE)
),"")*O14)</f>
        <v/>
      </c>
      <c r="Q14" s="88" t="str">
        <f t="array" ref="Q14">IFERROR(INDEX(Data!$A$4:$O1003, MATCH($L14, INDEX(Data!$A$4:$O1003, 0, MATCH("Item EN", Data!$A$3:$O$3, FALSE)), FALSE), MATCH("Image URL", Data!$A$3:$O$3, FALSE)
),"")</f>
        <v/>
      </c>
      <c r="R14" s="89"/>
    </row>
    <row r="15">
      <c r="A15" s="65">
        <v>7.0</v>
      </c>
      <c r="B15" s="9"/>
      <c r="C15" s="9"/>
      <c r="D15" s="9"/>
      <c r="E15" s="9"/>
      <c r="F15" s="9"/>
      <c r="G15" s="59"/>
      <c r="I15" s="81">
        <v>1180.0</v>
      </c>
      <c r="J15" s="82" t="str">
        <f t="array" ref="J15">IFERROR(INDEX(Data!$A$4:$O1003, MATCH($L15, INDEX(Data!$A$4:$O1003, 0, MATCH("Item EN", Data!$A$3:$O$3, FALSE)), FALSE), MATCH("Image", Data!$A$3:$O$3, FALSE)
),"")</f>
        <v/>
      </c>
      <c r="K15" s="83" t="str">
        <f t="array" ref="K15">IFERROR(INDEX(Data!$A$4:$O1003, MATCH($L15, INDEX(Data!$A$4:$O1003, 0, MATCH("Item EN", Data!$A$3:$O$3, FALSE)), FALSE), MATCH("Item ID", Data!$A$3:$O$3, FALSE)
),"")</f>
        <v/>
      </c>
      <c r="L15" s="84"/>
      <c r="M15" s="85"/>
      <c r="N15" s="83" t="str">
        <f t="array" ref="N15">IFERROR(INDEX(Data!$A$4:$O1003, MATCH($L15, INDEX(Data!$A$4:$O1003, 0, MATCH("Item EN", Data!$A$3:$O$3, FALSE)), FALSE), MATCH("Item Type", Data!$A$3:$O$3, FALSE)
),"")</f>
        <v/>
      </c>
      <c r="O15" s="86"/>
      <c r="P15" s="87" t="str">
        <f t="array" ref="P15">IF(O15="",,IFERROR(INDEX(Data!$A$4:$O1003, MATCH($L15, INDEX(Data!$A$4:$O1003, 0, MATCH("Item EN", Data!$A$3:$O$3, FALSE)), FALSE), MATCH("Price", Data!$A$3:$O$3, FALSE)
),"")*O15)</f>
        <v/>
      </c>
      <c r="Q15" s="88" t="str">
        <f t="array" ref="Q15">IFERROR(INDEX(Data!$A$4:$O1003, MATCH($L15, INDEX(Data!$A$4:$O1003, 0, MATCH("Item EN", Data!$A$3:$O$3, FALSE)), FALSE), MATCH("Image URL", Data!$A$3:$O$3, FALSE)
),"")</f>
        <v/>
      </c>
      <c r="R15" s="89"/>
    </row>
    <row r="16">
      <c r="A16" s="65">
        <v>8.0</v>
      </c>
      <c r="B16" s="9"/>
      <c r="C16" s="9"/>
      <c r="D16" s="9"/>
      <c r="E16" s="9"/>
      <c r="F16" s="9"/>
      <c r="G16" s="59"/>
      <c r="R16" s="89"/>
    </row>
    <row r="17">
      <c r="A17" s="65">
        <v>9.0</v>
      </c>
      <c r="B17" s="9"/>
      <c r="C17" s="9"/>
      <c r="D17" s="9"/>
      <c r="E17" s="9"/>
      <c r="F17" s="9"/>
      <c r="G17" s="59"/>
      <c r="I17" s="68" t="s">
        <v>55</v>
      </c>
      <c r="J17" s="90" t="s">
        <v>79</v>
      </c>
      <c r="R17" s="89"/>
    </row>
    <row r="18">
      <c r="A18" s="65">
        <v>10.0</v>
      </c>
      <c r="B18" s="9"/>
      <c r="C18" s="9"/>
      <c r="D18" s="9"/>
      <c r="E18" s="9"/>
      <c r="F18" s="9"/>
      <c r="G18" s="59"/>
      <c r="I18" s="74"/>
      <c r="R18" s="89"/>
    </row>
    <row r="19">
      <c r="A19" s="65">
        <v>11.0</v>
      </c>
      <c r="B19" s="9"/>
      <c r="C19" s="9"/>
      <c r="D19" s="9"/>
      <c r="E19" s="9"/>
      <c r="F19" s="9"/>
      <c r="G19" s="59"/>
      <c r="I19" s="76" t="s">
        <v>70</v>
      </c>
      <c r="J19" s="77" t="s">
        <v>71</v>
      </c>
      <c r="K19" s="77" t="s">
        <v>72</v>
      </c>
      <c r="L19" s="78" t="s">
        <v>73</v>
      </c>
      <c r="M19" s="79" t="s">
        <v>74</v>
      </c>
      <c r="N19" s="77" t="s">
        <v>75</v>
      </c>
      <c r="O19" s="77" t="s">
        <v>76</v>
      </c>
      <c r="P19" s="77" t="s">
        <v>77</v>
      </c>
      <c r="Q19" s="80" t="s">
        <v>78</v>
      </c>
      <c r="R19" s="89"/>
    </row>
    <row r="20">
      <c r="A20" s="65">
        <v>12.0</v>
      </c>
      <c r="B20" s="9"/>
      <c r="C20" s="9"/>
      <c r="D20" s="9"/>
      <c r="E20" s="9"/>
      <c r="F20" s="9"/>
      <c r="G20" s="59"/>
      <c r="I20" s="81">
        <v>1150.0</v>
      </c>
      <c r="J20" s="82" t="str">
        <f t="array" ref="J20">IFERROR(INDEX(Data!$A$4:$O1003, MATCH($L20, INDEX(Data!$A$4:$O1003, 0, MATCH("Item EN", Data!$A$3:$O$3, FALSE)), FALSE), MATCH("Image", Data!$A$3:$O$3, FALSE)
),"")</f>
        <v/>
      </c>
      <c r="K20" s="83" t="str">
        <f t="array" ref="K20">IFERROR(INDEX(Data!$A$4:$O1003, MATCH($L20, INDEX(Data!$A$4:$O1003, 0, MATCH("Item EN", Data!$A$3:$O$3, FALSE)), FALSE), MATCH("Item ID", Data!$A$3:$O$3, FALSE)
),"")</f>
        <v/>
      </c>
      <c r="L20" s="84"/>
      <c r="M20" s="85"/>
      <c r="N20" s="83" t="str">
        <f t="array" ref="N20">IFERROR(INDEX(Data!$A$4:$O1003, MATCH($L20, INDEX(Data!$A$4:$O1003, 0, MATCH("Item EN", Data!$A$3:$O$3, FALSE)), FALSE), MATCH("Item Type", Data!$A$3:$O$3, FALSE)
),"")</f>
        <v/>
      </c>
      <c r="O20" s="86"/>
      <c r="P20" s="87" t="str">
        <f t="array" ref="P20">IF(O20="",,IFERROR(INDEX(Data!$A$4:$O1003, MATCH($L20, INDEX(Data!$A$4:$O1003, 0, MATCH("Item EN", Data!$A$3:$O$3, FALSE)), FALSE), MATCH("Price", Data!$A$3:$O$3, FALSE)
),"")*O20)</f>
        <v/>
      </c>
      <c r="Q20" s="88" t="str">
        <f t="array" ref="Q20">IFERROR(INDEX(Data!$A$4:$O1003, MATCH($L20, INDEX(Data!$A$4:$O1003, 0, MATCH("Item EN", Data!$A$3:$O$3, FALSE)), FALSE), MATCH("Image URL", Data!$A$3:$O$3, FALSE)
),"")</f>
        <v/>
      </c>
      <c r="R20" s="89"/>
    </row>
    <row r="21">
      <c r="A21" s="65">
        <v>13.0</v>
      </c>
      <c r="B21" s="9"/>
      <c r="C21" s="91"/>
      <c r="D21" s="9"/>
      <c r="E21" s="9"/>
      <c r="F21" s="9"/>
      <c r="G21" s="59"/>
      <c r="I21" s="81">
        <v>1211.0</v>
      </c>
      <c r="J21" s="82" t="str">
        <f t="array" ref="J21">IFERROR(INDEX(Data!$A$4:$O1003, MATCH($L21, INDEX(Data!$A$4:$O1003, 0, MATCH("Item EN", Data!$A$3:$O$3, FALSE)), FALSE), MATCH("Image", Data!$A$3:$O$3, FALSE)
),"")</f>
        <v/>
      </c>
      <c r="K21" s="83" t="str">
        <f t="array" ref="K21">IFERROR(INDEX(Data!$A$4:$O1003, MATCH($L21, INDEX(Data!$A$4:$O1003, 0, MATCH("Item EN", Data!$A$3:$O$3, FALSE)), FALSE), MATCH("Item ID", Data!$A$3:$O$3, FALSE)
),"")</f>
        <v/>
      </c>
      <c r="L21" s="84"/>
      <c r="M21" s="85"/>
      <c r="N21" s="83" t="str">
        <f t="array" ref="N21">IFERROR(INDEX(Data!$A$4:$O1003, MATCH($L21, INDEX(Data!$A$4:$O1003, 0, MATCH("Item EN", Data!$A$3:$O$3, FALSE)), FALSE), MATCH("Item Type", Data!$A$3:$O$3, FALSE)
),"")</f>
        <v/>
      </c>
      <c r="O21" s="86"/>
      <c r="P21" s="87" t="str">
        <f t="array" ref="P21">IF(O21="",,IFERROR(INDEX(Data!$A$4:$O1003, MATCH($L21, INDEX(Data!$A$4:$O1003, 0, MATCH("Item EN", Data!$A$3:$O$3, FALSE)), FALSE), MATCH("Price", Data!$A$3:$O$3, FALSE)
),"")*O21)</f>
        <v/>
      </c>
      <c r="Q21" s="88" t="str">
        <f t="array" ref="Q21">IFERROR(INDEX(Data!$A$4:$O1003, MATCH($L21, INDEX(Data!$A$4:$O1003, 0, MATCH("Item EN", Data!$A$3:$O$3, FALSE)), FALSE), MATCH("Image URL", Data!$A$3:$O$3, FALSE)
),"")</f>
        <v/>
      </c>
      <c r="R21" s="89"/>
    </row>
    <row r="22">
      <c r="A22" s="65">
        <v>14.0</v>
      </c>
      <c r="B22" s="9"/>
      <c r="C22" s="9"/>
      <c r="D22" s="9"/>
      <c r="E22" s="9"/>
      <c r="F22" s="9"/>
      <c r="G22" s="59"/>
      <c r="I22" s="81">
        <v>1208.0</v>
      </c>
      <c r="J22" s="82" t="str">
        <f t="array" ref="J22">IFERROR(INDEX(Data!$A$4:$O1003, MATCH($L22, INDEX(Data!$A$4:$O1003, 0, MATCH("Item EN", Data!$A$3:$O$3, FALSE)), FALSE), MATCH("Image", Data!$A$3:$O$3, FALSE)
),"")</f>
        <v/>
      </c>
      <c r="K22" s="83" t="str">
        <f t="array" ref="K22">IFERROR(INDEX(Data!$A$4:$O1003, MATCH($L22, INDEX(Data!$A$4:$O1003, 0, MATCH("Item EN", Data!$A$3:$O$3, FALSE)), FALSE), MATCH("Item ID", Data!$A$3:$O$3, FALSE)
),"")</f>
        <v/>
      </c>
      <c r="L22" s="84"/>
      <c r="M22" s="85"/>
      <c r="N22" s="83" t="str">
        <f t="array" ref="N22">IFERROR(INDEX(Data!$A$4:$O1003, MATCH($L22, INDEX(Data!$A$4:$O1003, 0, MATCH("Item EN", Data!$A$3:$O$3, FALSE)), FALSE), MATCH("Item Type", Data!$A$3:$O$3, FALSE)
),"")</f>
        <v/>
      </c>
      <c r="O22" s="86"/>
      <c r="P22" s="87" t="str">
        <f t="array" ref="P22">IF(O22="",,IFERROR(INDEX(Data!$A$4:$O1003, MATCH($L22, INDEX(Data!$A$4:$O1003, 0, MATCH("Item EN", Data!$A$3:$O$3, FALSE)), FALSE), MATCH("Price", Data!$A$3:$O$3, FALSE)
),"")*O22)</f>
        <v/>
      </c>
      <c r="Q22" s="88" t="str">
        <f t="array" ref="Q22">IFERROR(INDEX(Data!$A$4:$O1003, MATCH($L22, INDEX(Data!$A$4:$O1003, 0, MATCH("Item EN", Data!$A$3:$O$3, FALSE)), FALSE), MATCH("Image URL", Data!$A$3:$O$3, FALSE)
),"")</f>
        <v/>
      </c>
      <c r="R22" s="89"/>
    </row>
    <row r="23">
      <c r="A23" s="65">
        <v>15.0</v>
      </c>
      <c r="B23" s="9"/>
      <c r="C23" s="9"/>
      <c r="D23" s="9"/>
      <c r="E23" s="9"/>
      <c r="F23" s="9"/>
      <c r="G23" s="59"/>
      <c r="I23" s="81">
        <v>1207.0</v>
      </c>
      <c r="J23" s="82" t="str">
        <f t="array" ref="J23">IFERROR(INDEX(Data!$A$4:$O1003, MATCH($L23, INDEX(Data!$A$4:$O1003, 0, MATCH("Item EN", Data!$A$3:$O$3, FALSE)), FALSE), MATCH("Image", Data!$A$3:$O$3, FALSE)
),"")</f>
        <v/>
      </c>
      <c r="K23" s="83" t="str">
        <f t="array" ref="K23">IFERROR(INDEX(Data!$A$4:$O1003, MATCH($L23, INDEX(Data!$A$4:$O1003, 0, MATCH("Item EN", Data!$A$3:$O$3, FALSE)), FALSE), MATCH("Item ID", Data!$A$3:$O$3, FALSE)
),"")</f>
        <v/>
      </c>
      <c r="L23" s="84"/>
      <c r="M23" s="85"/>
      <c r="N23" s="83" t="str">
        <f t="array" ref="N23">IFERROR(INDEX(Data!$A$4:$O1003, MATCH($L23, INDEX(Data!$A$4:$O1003, 0, MATCH("Item EN", Data!$A$3:$O$3, FALSE)), FALSE), MATCH("Item Type", Data!$A$3:$O$3, FALSE)
),"")</f>
        <v/>
      </c>
      <c r="O23" s="86"/>
      <c r="P23" s="87" t="str">
        <f t="array" ref="P23">IF(O23="",,IFERROR(INDEX(Data!$A$4:$O1003, MATCH($L23, INDEX(Data!$A$4:$O1003, 0, MATCH("Item EN", Data!$A$3:$O$3, FALSE)), FALSE), MATCH("Price", Data!$A$3:$O$3, FALSE)
),"")*O23)</f>
        <v/>
      </c>
      <c r="Q23" s="88" t="str">
        <f t="array" ref="Q23">IFERROR(INDEX(Data!$A$4:$O1003, MATCH($L23, INDEX(Data!$A$4:$O1003, 0, MATCH("Item EN", Data!$A$3:$O$3, FALSE)), FALSE), MATCH("Image URL", Data!$A$3:$O$3, FALSE)
),"")</f>
        <v/>
      </c>
      <c r="R23" s="89"/>
    </row>
    <row r="24">
      <c r="A24" s="65">
        <v>16.0</v>
      </c>
      <c r="B24" s="9"/>
      <c r="C24" s="9"/>
      <c r="D24" s="9"/>
      <c r="E24" s="9"/>
      <c r="F24" s="9"/>
      <c r="G24" s="59"/>
      <c r="I24" s="81">
        <v>1212.0</v>
      </c>
      <c r="J24" s="82" t="str">
        <f t="array" ref="J24">IFERROR(INDEX(Data!$A$4:$O1003, MATCH($L24, INDEX(Data!$A$4:$O1003, 0, MATCH("Item EN", Data!$A$3:$O$3, FALSE)), FALSE), MATCH("Image", Data!$A$3:$O$3, FALSE)
),"")</f>
        <v/>
      </c>
      <c r="K24" s="83" t="str">
        <f t="array" ref="K24">IFERROR(INDEX(Data!$A$4:$O1003, MATCH($L24, INDEX(Data!$A$4:$O1003, 0, MATCH("Item EN", Data!$A$3:$O$3, FALSE)), FALSE), MATCH("Item ID", Data!$A$3:$O$3, FALSE)
),"")</f>
        <v/>
      </c>
      <c r="L24" s="84"/>
      <c r="M24" s="85"/>
      <c r="N24" s="83" t="str">
        <f t="array" ref="N24">IFERROR(INDEX(Data!$A$4:$O1003, MATCH($L24, INDEX(Data!$A$4:$O1003, 0, MATCH("Item EN", Data!$A$3:$O$3, FALSE)), FALSE), MATCH("Item Type", Data!$A$3:$O$3, FALSE)
),"")</f>
        <v/>
      </c>
      <c r="O24" s="86"/>
      <c r="P24" s="87" t="str">
        <f t="array" ref="P24">IF(O24="",,IFERROR(INDEX(Data!$A$4:$O1003, MATCH($L24, INDEX(Data!$A$4:$O1003, 0, MATCH("Item EN", Data!$A$3:$O$3, FALSE)), FALSE), MATCH("Price", Data!$A$3:$O$3, FALSE)
),"")*O24)</f>
        <v/>
      </c>
      <c r="Q24" s="88" t="str">
        <f t="array" ref="Q24">IFERROR(INDEX(Data!$A$4:$O1003, MATCH($L24, INDEX(Data!$A$4:$O1003, 0, MATCH("Item EN", Data!$A$3:$O$3, FALSE)), FALSE), MATCH("Image URL", Data!$A$3:$O$3, FALSE)
),"")</f>
        <v/>
      </c>
      <c r="R24" s="89"/>
    </row>
    <row r="25">
      <c r="A25" s="65">
        <v>17.0</v>
      </c>
      <c r="B25" s="9"/>
      <c r="C25" s="9"/>
      <c r="D25" s="9"/>
      <c r="E25" s="9"/>
      <c r="F25" s="9"/>
      <c r="G25" s="59"/>
      <c r="I25" s="81">
        <v>1209.0</v>
      </c>
      <c r="J25" s="82" t="str">
        <f t="array" ref="J25">IFERROR(INDEX(Data!$A$4:$O1003, MATCH($L25, INDEX(Data!$A$4:$O1003, 0, MATCH("Item EN", Data!$A$3:$O$3, FALSE)), FALSE), MATCH("Image", Data!$A$3:$O$3, FALSE)
),"")</f>
        <v/>
      </c>
      <c r="K25" s="83" t="str">
        <f t="array" ref="K25">IFERROR(INDEX(Data!$A$4:$O1003, MATCH($L25, INDEX(Data!$A$4:$O1003, 0, MATCH("Item EN", Data!$A$3:$O$3, FALSE)), FALSE), MATCH("Item ID", Data!$A$3:$O$3, FALSE)
),"")</f>
        <v/>
      </c>
      <c r="L25" s="84"/>
      <c r="M25" s="85"/>
      <c r="N25" s="83" t="str">
        <f t="array" ref="N25">IFERROR(INDEX(Data!$A$4:$O1003, MATCH($L25, INDEX(Data!$A$4:$O1003, 0, MATCH("Item EN", Data!$A$3:$O$3, FALSE)), FALSE), MATCH("Item Type", Data!$A$3:$O$3, FALSE)
),"")</f>
        <v/>
      </c>
      <c r="O25" s="86"/>
      <c r="P25" s="87" t="str">
        <f t="array" ref="P25">IF(O25="",,IFERROR(INDEX(Data!$A$4:$O1003, MATCH($L25, INDEX(Data!$A$4:$O1003, 0, MATCH("Item EN", Data!$A$3:$O$3, FALSE)), FALSE), MATCH("Price", Data!$A$3:$O$3, FALSE)
),"")*O25)</f>
        <v/>
      </c>
      <c r="Q25" s="88" t="str">
        <f t="array" ref="Q25">IFERROR(INDEX(Data!$A$4:$O1003, MATCH($L25, INDEX(Data!$A$4:$O1003, 0, MATCH("Item EN", Data!$A$3:$O$3, FALSE)), FALSE), MATCH("Image URL", Data!$A$3:$O$3, FALSE)
),"")</f>
        <v/>
      </c>
      <c r="R25" s="89"/>
    </row>
    <row r="26">
      <c r="A26" s="65">
        <v>18.0</v>
      </c>
      <c r="B26" s="9"/>
      <c r="C26" s="9"/>
      <c r="D26" s="9"/>
      <c r="E26" s="9"/>
      <c r="F26" s="9"/>
      <c r="G26" s="59"/>
      <c r="I26" s="81">
        <v>1287.0</v>
      </c>
      <c r="J26" s="82" t="str">
        <f t="array" ref="J26">IFERROR(INDEX(Data!$A$4:$O1003, MATCH($L26, INDEX(Data!$A$4:$O1003, 0, MATCH("Item EN", Data!$A$3:$O$3, FALSE)), FALSE), MATCH("Image", Data!$A$3:$O$3, FALSE)
),"")</f>
        <v/>
      </c>
      <c r="K26" s="83" t="str">
        <f t="array" ref="K26">IFERROR(INDEX(Data!$A$4:$O1003, MATCH($L26, INDEX(Data!$A$4:$O1003, 0, MATCH("Item EN", Data!$A$3:$O$3, FALSE)), FALSE), MATCH("Item ID", Data!$A$3:$O$3, FALSE)
),"")</f>
        <v/>
      </c>
      <c r="L26" s="84"/>
      <c r="M26" s="85"/>
      <c r="N26" s="83" t="str">
        <f t="array" ref="N26">IFERROR(INDEX(Data!$A$4:$O1003, MATCH($L26, INDEX(Data!$A$4:$O1003, 0, MATCH("Item EN", Data!$A$3:$O$3, FALSE)), FALSE), MATCH("Item Type", Data!$A$3:$O$3, FALSE)
),"")</f>
        <v/>
      </c>
      <c r="O26" s="86"/>
      <c r="P26" s="87" t="str">
        <f t="array" ref="P26">IF(O26="",,IFERROR(INDEX(Data!$A$4:$O1003, MATCH($L26, INDEX(Data!$A$4:$O1003, 0, MATCH("Item EN", Data!$A$3:$O$3, FALSE)), FALSE), MATCH("Price", Data!$A$3:$O$3, FALSE)
),"")*O26)</f>
        <v/>
      </c>
      <c r="Q26" s="88" t="str">
        <f t="array" ref="Q26">IFERROR(INDEX(Data!$A$4:$O1003, MATCH($L26, INDEX(Data!$A$4:$O1003, 0, MATCH("Item EN", Data!$A$3:$O$3, FALSE)), FALSE), MATCH("Image URL", Data!$A$3:$O$3, FALSE)
),"")</f>
        <v/>
      </c>
      <c r="R26" s="89"/>
    </row>
    <row r="27">
      <c r="A27" s="65">
        <v>19.0</v>
      </c>
      <c r="B27" s="9"/>
      <c r="C27" s="9"/>
      <c r="D27" s="9"/>
      <c r="E27" s="9"/>
      <c r="F27" s="9"/>
      <c r="G27" s="59"/>
      <c r="R27" s="89"/>
    </row>
    <row r="28">
      <c r="A28" s="65">
        <v>20.0</v>
      </c>
      <c r="B28" s="9"/>
      <c r="C28" s="9"/>
      <c r="D28" s="9"/>
      <c r="E28" s="9"/>
      <c r="F28" s="9"/>
      <c r="G28" s="59"/>
      <c r="R28" s="89"/>
    </row>
    <row r="29">
      <c r="A29" s="65">
        <v>21.0</v>
      </c>
      <c r="B29" s="9"/>
      <c r="C29" s="9"/>
      <c r="D29" s="9"/>
      <c r="E29" s="9"/>
      <c r="F29" s="9"/>
      <c r="G29" s="59"/>
      <c r="R29" s="89"/>
    </row>
    <row r="30">
      <c r="A30" s="65">
        <v>22.0</v>
      </c>
      <c r="B30" s="9"/>
      <c r="C30" s="9"/>
      <c r="D30" s="9"/>
      <c r="E30" s="9"/>
      <c r="F30" s="9"/>
      <c r="G30" s="59"/>
    </row>
    <row r="31">
      <c r="A31" s="65">
        <v>23.0</v>
      </c>
      <c r="B31" s="9"/>
      <c r="C31" s="9"/>
      <c r="D31" s="9"/>
      <c r="E31" s="9"/>
      <c r="F31" s="9"/>
      <c r="G31" s="59"/>
    </row>
    <row r="32">
      <c r="A32" s="65">
        <v>24.0</v>
      </c>
      <c r="B32" s="9"/>
      <c r="C32" s="9"/>
      <c r="D32" s="9"/>
      <c r="E32" s="9"/>
      <c r="F32" s="9"/>
      <c r="G32" s="59"/>
    </row>
    <row r="33">
      <c r="A33" s="65">
        <v>25.0</v>
      </c>
      <c r="B33" s="9"/>
      <c r="C33" s="9"/>
      <c r="D33" s="9"/>
      <c r="E33" s="9"/>
      <c r="F33" s="9"/>
      <c r="G33" s="59"/>
    </row>
    <row r="34">
      <c r="A34" s="65">
        <v>26.0</v>
      </c>
      <c r="B34" s="9"/>
      <c r="C34" s="9"/>
      <c r="D34" s="9"/>
      <c r="E34" s="9"/>
      <c r="F34" s="9"/>
      <c r="G34" s="59"/>
    </row>
    <row r="35">
      <c r="A35" s="65">
        <v>27.0</v>
      </c>
      <c r="B35" s="9"/>
      <c r="C35" s="9"/>
      <c r="D35" s="9"/>
      <c r="E35" s="9"/>
      <c r="F35" s="9"/>
      <c r="G35" s="59"/>
    </row>
    <row r="36">
      <c r="A36" s="65">
        <v>28.0</v>
      </c>
      <c r="B36" s="9"/>
      <c r="C36" s="9"/>
      <c r="D36" s="9"/>
      <c r="E36" s="9"/>
      <c r="F36" s="9"/>
      <c r="G36" s="59"/>
    </row>
    <row r="37">
      <c r="A37" s="65">
        <v>29.0</v>
      </c>
      <c r="B37" s="9"/>
      <c r="C37" s="9"/>
      <c r="D37" s="9"/>
      <c r="E37" s="9"/>
      <c r="F37" s="9"/>
      <c r="G37" s="59"/>
    </row>
    <row r="38">
      <c r="A38" s="65">
        <v>30.0</v>
      </c>
      <c r="B38" s="9"/>
      <c r="C38" s="9"/>
      <c r="D38" s="9"/>
      <c r="E38" s="9"/>
      <c r="F38" s="9"/>
      <c r="G38" s="59"/>
    </row>
    <row r="39">
      <c r="A39" s="9"/>
      <c r="B39" s="9"/>
      <c r="C39" s="9"/>
      <c r="D39" s="9"/>
      <c r="E39" s="9"/>
      <c r="F39" s="9"/>
      <c r="G39" s="59"/>
      <c r="H39" s="9"/>
      <c r="I39" s="9"/>
      <c r="J39" s="9"/>
      <c r="K39" s="9"/>
      <c r="L39" s="9"/>
      <c r="M39" s="9"/>
      <c r="N39" s="9"/>
      <c r="O39" s="9"/>
    </row>
    <row r="40">
      <c r="A40" s="9"/>
      <c r="B40" s="9"/>
      <c r="C40" s="9"/>
      <c r="D40" s="9"/>
      <c r="E40" s="9"/>
      <c r="F40" s="9"/>
      <c r="G40" s="59"/>
      <c r="H40" s="9"/>
      <c r="I40" s="9"/>
      <c r="J40" s="9"/>
      <c r="K40" s="9"/>
      <c r="L40" s="9"/>
      <c r="M40" s="9"/>
      <c r="N40" s="9"/>
      <c r="O40" s="9"/>
    </row>
    <row r="41">
      <c r="A41" s="9"/>
      <c r="B41" s="9"/>
      <c r="C41" s="9"/>
      <c r="D41" s="9"/>
      <c r="E41" s="9"/>
      <c r="F41" s="9"/>
      <c r="G41" s="59"/>
      <c r="H41" s="9"/>
      <c r="I41" s="9"/>
      <c r="J41" s="9"/>
      <c r="K41" s="9"/>
      <c r="L41" s="9"/>
      <c r="M41" s="9"/>
      <c r="N41" s="9"/>
      <c r="O41" s="9"/>
    </row>
    <row r="42">
      <c r="A42" s="9"/>
      <c r="B42" s="9"/>
      <c r="C42" s="9"/>
      <c r="D42" s="9"/>
      <c r="E42" s="9"/>
      <c r="F42" s="9"/>
      <c r="G42" s="59"/>
      <c r="H42" s="9"/>
      <c r="I42" s="9"/>
      <c r="J42" s="9"/>
      <c r="K42" s="9"/>
      <c r="L42" s="9"/>
      <c r="M42" s="9"/>
      <c r="N42" s="9"/>
      <c r="O42" s="9"/>
    </row>
    <row r="43">
      <c r="A43" s="9"/>
      <c r="B43" s="9"/>
      <c r="C43" s="9"/>
      <c r="D43" s="9"/>
      <c r="E43" s="9"/>
      <c r="F43" s="9"/>
      <c r="G43" s="59"/>
      <c r="H43" s="9"/>
      <c r="I43" s="9"/>
      <c r="J43" s="9"/>
      <c r="K43" s="9"/>
      <c r="L43" s="9"/>
      <c r="M43" s="9"/>
      <c r="N43" s="9"/>
      <c r="O43" s="9"/>
    </row>
    <row r="44">
      <c r="A44" s="9"/>
      <c r="B44" s="9"/>
      <c r="C44" s="9"/>
      <c r="D44" s="9"/>
      <c r="E44" s="9"/>
      <c r="F44" s="9"/>
      <c r="G44" s="59"/>
      <c r="H44" s="9"/>
      <c r="I44" s="9"/>
      <c r="J44" s="9"/>
      <c r="K44" s="9"/>
      <c r="L44" s="9"/>
      <c r="M44" s="9"/>
      <c r="N44" s="9"/>
      <c r="O44" s="9"/>
    </row>
    <row r="45">
      <c r="A45" s="9"/>
      <c r="B45" s="9"/>
      <c r="C45" s="9"/>
      <c r="D45" s="9"/>
      <c r="E45" s="9"/>
      <c r="F45" s="9"/>
      <c r="G45" s="59"/>
      <c r="H45" s="9"/>
      <c r="I45" s="9"/>
      <c r="J45" s="9"/>
      <c r="K45" s="9"/>
      <c r="L45" s="9"/>
      <c r="M45" s="9"/>
      <c r="N45" s="9"/>
      <c r="O45" s="9"/>
    </row>
    <row r="46">
      <c r="A46" s="9"/>
      <c r="B46" s="9"/>
      <c r="C46" s="9"/>
      <c r="D46" s="9"/>
      <c r="E46" s="9"/>
      <c r="F46" s="9"/>
      <c r="G46" s="59"/>
      <c r="H46" s="9"/>
      <c r="I46" s="9"/>
      <c r="J46" s="9"/>
      <c r="K46" s="9"/>
      <c r="L46" s="9"/>
      <c r="M46" s="9"/>
      <c r="N46" s="9"/>
      <c r="O46" s="9"/>
    </row>
    <row r="47">
      <c r="A47" s="9"/>
      <c r="B47" s="9"/>
      <c r="C47" s="9"/>
      <c r="D47" s="9"/>
      <c r="E47" s="9"/>
      <c r="F47" s="9"/>
      <c r="G47" s="59"/>
      <c r="H47" s="9"/>
      <c r="I47" s="9"/>
      <c r="J47" s="9"/>
      <c r="K47" s="9"/>
      <c r="L47" s="9"/>
      <c r="M47" s="9"/>
      <c r="N47" s="9"/>
      <c r="O47" s="9"/>
    </row>
    <row r="48">
      <c r="A48" s="9"/>
      <c r="B48" s="9"/>
      <c r="C48" s="9"/>
      <c r="D48" s="9"/>
      <c r="E48" s="9"/>
      <c r="F48" s="9"/>
      <c r="G48" s="59"/>
      <c r="H48" s="9"/>
      <c r="I48" s="9"/>
      <c r="J48" s="9"/>
      <c r="K48" s="9"/>
      <c r="L48" s="9"/>
      <c r="M48" s="9"/>
      <c r="N48" s="9"/>
      <c r="O48" s="9"/>
    </row>
    <row r="49">
      <c r="A49" s="9"/>
      <c r="B49" s="9"/>
      <c r="C49" s="9"/>
      <c r="D49" s="9"/>
      <c r="E49" s="9"/>
      <c r="F49" s="9"/>
      <c r="G49" s="59"/>
      <c r="H49" s="9"/>
      <c r="I49" s="9"/>
      <c r="J49" s="9"/>
      <c r="K49" s="9"/>
      <c r="L49" s="9"/>
      <c r="M49" s="9"/>
      <c r="N49" s="9"/>
      <c r="O49" s="9"/>
    </row>
    <row r="50">
      <c r="A50" s="9"/>
      <c r="B50" s="9"/>
      <c r="C50" s="9"/>
      <c r="D50" s="9"/>
      <c r="E50" s="9"/>
      <c r="F50" s="9"/>
      <c r="G50" s="59"/>
      <c r="H50" s="9"/>
      <c r="I50" s="9"/>
      <c r="J50" s="9"/>
      <c r="K50" s="9"/>
      <c r="L50" s="9"/>
      <c r="M50" s="9"/>
      <c r="N50" s="9"/>
      <c r="O50" s="9"/>
    </row>
    <row r="51">
      <c r="A51" s="9"/>
      <c r="B51" s="9"/>
      <c r="C51" s="9"/>
      <c r="D51" s="9"/>
      <c r="E51" s="9"/>
      <c r="F51" s="9"/>
      <c r="G51" s="59"/>
      <c r="H51" s="9"/>
      <c r="I51" s="9"/>
      <c r="J51" s="9"/>
      <c r="K51" s="9"/>
      <c r="L51" s="9"/>
      <c r="M51" s="9"/>
      <c r="N51" s="9"/>
      <c r="O51" s="9"/>
    </row>
    <row r="52">
      <c r="A52" s="9"/>
      <c r="B52" s="9"/>
      <c r="C52" s="9"/>
      <c r="D52" s="9"/>
      <c r="E52" s="9"/>
      <c r="F52" s="9"/>
      <c r="G52" s="59"/>
      <c r="H52" s="9"/>
      <c r="I52" s="9"/>
      <c r="J52" s="9"/>
      <c r="K52" s="9"/>
      <c r="L52" s="9"/>
      <c r="M52" s="9"/>
      <c r="N52" s="9"/>
      <c r="O52" s="9"/>
    </row>
    <row r="53">
      <c r="A53" s="9"/>
      <c r="B53" s="9"/>
      <c r="C53" s="9"/>
      <c r="D53" s="9"/>
      <c r="E53" s="9"/>
      <c r="F53" s="9"/>
      <c r="G53" s="59"/>
      <c r="H53" s="9"/>
      <c r="I53" s="9"/>
      <c r="J53" s="9"/>
      <c r="K53" s="9"/>
      <c r="L53" s="9"/>
      <c r="M53" s="9"/>
      <c r="N53" s="9"/>
      <c r="O53" s="9"/>
    </row>
    <row r="54">
      <c r="A54" s="9"/>
      <c r="B54" s="9"/>
      <c r="C54" s="9"/>
      <c r="D54" s="9"/>
      <c r="E54" s="9"/>
      <c r="F54" s="9"/>
      <c r="G54" s="59"/>
      <c r="H54" s="9"/>
      <c r="I54" s="9"/>
      <c r="J54" s="9"/>
      <c r="K54" s="9"/>
      <c r="L54" s="9"/>
      <c r="M54" s="9"/>
      <c r="N54" s="9"/>
      <c r="O54" s="9"/>
    </row>
    <row r="55">
      <c r="A55" s="9"/>
      <c r="B55" s="9"/>
      <c r="C55" s="9"/>
      <c r="D55" s="9"/>
      <c r="E55" s="9"/>
      <c r="F55" s="9"/>
      <c r="G55" s="59"/>
      <c r="H55" s="9"/>
      <c r="I55" s="9"/>
      <c r="J55" s="9"/>
      <c r="K55" s="9"/>
      <c r="L55" s="9"/>
      <c r="M55" s="9"/>
      <c r="N55" s="9"/>
      <c r="O55" s="9"/>
    </row>
    <row r="56">
      <c r="A56" s="9"/>
      <c r="B56" s="9"/>
      <c r="C56" s="9"/>
      <c r="D56" s="9"/>
      <c r="E56" s="9"/>
      <c r="F56" s="9"/>
      <c r="G56" s="59"/>
      <c r="H56" s="9"/>
      <c r="I56" s="9"/>
      <c r="J56" s="9"/>
      <c r="K56" s="9"/>
      <c r="L56" s="9"/>
      <c r="M56" s="9"/>
      <c r="N56" s="9"/>
      <c r="O56" s="9"/>
    </row>
    <row r="57">
      <c r="A57" s="9"/>
      <c r="B57" s="9"/>
      <c r="C57" s="9"/>
      <c r="D57" s="9"/>
      <c r="E57" s="9"/>
      <c r="F57" s="9"/>
      <c r="G57" s="59"/>
      <c r="H57" s="9"/>
      <c r="I57" s="9"/>
      <c r="J57" s="9"/>
      <c r="K57" s="9"/>
      <c r="L57" s="9"/>
      <c r="M57" s="9"/>
      <c r="N57" s="9"/>
      <c r="O57" s="9"/>
    </row>
    <row r="58">
      <c r="A58" s="9"/>
      <c r="B58" s="9"/>
      <c r="C58" s="9"/>
      <c r="D58" s="9"/>
      <c r="E58" s="9"/>
      <c r="F58" s="9"/>
      <c r="G58" s="59"/>
      <c r="H58" s="9"/>
      <c r="I58" s="9"/>
      <c r="J58" s="9"/>
      <c r="K58" s="9"/>
      <c r="L58" s="9"/>
      <c r="M58" s="9"/>
      <c r="N58" s="9"/>
      <c r="O58" s="9"/>
    </row>
    <row r="59">
      <c r="A59" s="9"/>
      <c r="B59" s="9"/>
      <c r="C59" s="9"/>
      <c r="D59" s="9"/>
      <c r="E59" s="9"/>
      <c r="F59" s="9"/>
      <c r="G59" s="59"/>
      <c r="H59" s="9"/>
      <c r="I59" s="9"/>
      <c r="J59" s="9"/>
      <c r="K59" s="9"/>
      <c r="L59" s="9"/>
      <c r="M59" s="9"/>
      <c r="N59" s="9"/>
      <c r="O59" s="9"/>
    </row>
    <row r="60">
      <c r="A60" s="9"/>
      <c r="B60" s="9"/>
      <c r="C60" s="9"/>
      <c r="D60" s="9"/>
      <c r="E60" s="9"/>
      <c r="F60" s="9"/>
      <c r="G60" s="59"/>
      <c r="H60" s="9"/>
      <c r="I60" s="9"/>
      <c r="J60" s="9"/>
      <c r="K60" s="9"/>
      <c r="L60" s="9"/>
      <c r="M60" s="9"/>
      <c r="N60" s="9"/>
      <c r="O60" s="9"/>
    </row>
    <row r="61">
      <c r="A61" s="9"/>
      <c r="B61" s="9"/>
      <c r="C61" s="9"/>
      <c r="D61" s="9"/>
      <c r="E61" s="9"/>
      <c r="F61" s="9"/>
      <c r="G61" s="59"/>
      <c r="H61" s="9"/>
      <c r="I61" s="9"/>
      <c r="J61" s="9"/>
      <c r="K61" s="9"/>
      <c r="L61" s="9"/>
      <c r="M61" s="9"/>
      <c r="N61" s="9"/>
      <c r="O61" s="9"/>
    </row>
    <row r="62">
      <c r="A62" s="9"/>
      <c r="B62" s="9"/>
      <c r="C62" s="9"/>
      <c r="D62" s="9"/>
      <c r="E62" s="9"/>
      <c r="F62" s="9"/>
      <c r="G62" s="59"/>
      <c r="H62" s="9"/>
      <c r="I62" s="9"/>
      <c r="J62" s="9"/>
      <c r="K62" s="9"/>
      <c r="L62" s="9"/>
      <c r="M62" s="9"/>
      <c r="N62" s="9"/>
      <c r="O62" s="9"/>
    </row>
    <row r="63">
      <c r="A63" s="9"/>
      <c r="B63" s="9"/>
      <c r="C63" s="9"/>
      <c r="D63" s="9"/>
      <c r="E63" s="9"/>
      <c r="F63" s="9"/>
      <c r="G63" s="59"/>
      <c r="H63" s="9"/>
      <c r="I63" s="9"/>
      <c r="J63" s="9"/>
      <c r="K63" s="9"/>
      <c r="L63" s="9"/>
      <c r="M63" s="9"/>
      <c r="N63" s="9"/>
      <c r="O63" s="9"/>
    </row>
    <row r="64">
      <c r="A64" s="9"/>
      <c r="B64" s="9"/>
      <c r="C64" s="9"/>
      <c r="D64" s="9"/>
      <c r="E64" s="9"/>
      <c r="F64" s="9"/>
      <c r="G64" s="59"/>
      <c r="H64" s="9"/>
      <c r="I64" s="9"/>
      <c r="J64" s="9"/>
      <c r="K64" s="9"/>
      <c r="L64" s="9"/>
      <c r="M64" s="9"/>
      <c r="N64" s="9"/>
      <c r="O64" s="9"/>
    </row>
    <row r="65">
      <c r="A65" s="9"/>
      <c r="B65" s="9"/>
      <c r="C65" s="9"/>
      <c r="D65" s="9"/>
      <c r="E65" s="9"/>
      <c r="F65" s="9"/>
      <c r="G65" s="59"/>
      <c r="H65" s="9"/>
      <c r="I65" s="9"/>
      <c r="J65" s="9"/>
      <c r="K65" s="9"/>
      <c r="L65" s="9"/>
      <c r="M65" s="9"/>
      <c r="N65" s="9"/>
      <c r="O65" s="9"/>
    </row>
    <row r="66">
      <c r="A66" s="9"/>
      <c r="B66" s="9"/>
      <c r="C66" s="9"/>
      <c r="D66" s="9"/>
      <c r="E66" s="9"/>
      <c r="F66" s="9"/>
      <c r="G66" s="59"/>
      <c r="H66" s="9"/>
      <c r="I66" s="9"/>
      <c r="J66" s="9"/>
      <c r="K66" s="9"/>
      <c r="L66" s="9"/>
      <c r="M66" s="9"/>
      <c r="N66" s="9"/>
      <c r="O66" s="9"/>
    </row>
    <row r="67">
      <c r="A67" s="9"/>
      <c r="B67" s="9"/>
      <c r="C67" s="9"/>
      <c r="D67" s="9"/>
      <c r="E67" s="9"/>
      <c r="F67" s="9"/>
      <c r="G67" s="59"/>
      <c r="H67" s="9"/>
      <c r="I67" s="9"/>
      <c r="J67" s="9"/>
      <c r="K67" s="9"/>
      <c r="L67" s="9"/>
      <c r="M67" s="9"/>
      <c r="N67" s="9"/>
      <c r="O67" s="9"/>
    </row>
    <row r="68">
      <c r="A68" s="9"/>
      <c r="B68" s="9"/>
      <c r="C68" s="9"/>
      <c r="D68" s="9"/>
      <c r="E68" s="9"/>
      <c r="F68" s="9"/>
      <c r="G68" s="59"/>
      <c r="H68" s="9"/>
      <c r="I68" s="9"/>
      <c r="J68" s="9"/>
      <c r="K68" s="9"/>
      <c r="L68" s="9"/>
      <c r="M68" s="9"/>
      <c r="N68" s="9"/>
      <c r="O68" s="9"/>
    </row>
    <row r="69">
      <c r="A69" s="9"/>
      <c r="B69" s="9"/>
      <c r="C69" s="9"/>
      <c r="D69" s="9"/>
      <c r="E69" s="9"/>
      <c r="F69" s="9"/>
      <c r="G69" s="59"/>
      <c r="H69" s="9"/>
      <c r="I69" s="9"/>
      <c r="J69" s="9"/>
      <c r="K69" s="9"/>
      <c r="L69" s="9"/>
      <c r="M69" s="9"/>
      <c r="N69" s="9"/>
      <c r="O69" s="9"/>
    </row>
    <row r="70">
      <c r="A70" s="9"/>
      <c r="B70" s="9"/>
      <c r="C70" s="9"/>
      <c r="D70" s="9"/>
      <c r="E70" s="9"/>
      <c r="F70" s="9"/>
      <c r="G70" s="59"/>
      <c r="H70" s="9"/>
      <c r="I70" s="9"/>
      <c r="J70" s="9"/>
      <c r="K70" s="9"/>
      <c r="L70" s="9"/>
      <c r="M70" s="9"/>
      <c r="N70" s="9"/>
      <c r="O70" s="9"/>
    </row>
    <row r="71">
      <c r="A71" s="9"/>
      <c r="B71" s="9"/>
      <c r="C71" s="9"/>
      <c r="D71" s="9"/>
      <c r="E71" s="9"/>
      <c r="F71" s="9"/>
      <c r="G71" s="59"/>
      <c r="H71" s="9"/>
      <c r="I71" s="9"/>
      <c r="J71" s="9"/>
      <c r="K71" s="9"/>
      <c r="L71" s="9"/>
      <c r="M71" s="9"/>
      <c r="N71" s="9"/>
      <c r="O71" s="9"/>
    </row>
    <row r="72">
      <c r="A72" s="9"/>
      <c r="B72" s="9"/>
      <c r="C72" s="9"/>
      <c r="D72" s="9"/>
      <c r="E72" s="9"/>
      <c r="F72" s="9"/>
      <c r="G72" s="59"/>
      <c r="H72" s="9"/>
      <c r="I72" s="9"/>
      <c r="J72" s="9"/>
      <c r="K72" s="9"/>
      <c r="L72" s="9"/>
      <c r="M72" s="9"/>
      <c r="N72" s="9"/>
      <c r="O72" s="9"/>
    </row>
    <row r="73">
      <c r="A73" s="9"/>
      <c r="B73" s="9"/>
      <c r="C73" s="9"/>
      <c r="D73" s="9"/>
      <c r="E73" s="9"/>
      <c r="F73" s="9"/>
      <c r="G73" s="59"/>
      <c r="H73" s="9"/>
      <c r="I73" s="9"/>
      <c r="J73" s="9"/>
      <c r="K73" s="9"/>
      <c r="L73" s="9"/>
      <c r="M73" s="9"/>
      <c r="N73" s="9"/>
      <c r="O73" s="9"/>
    </row>
    <row r="74">
      <c r="A74" s="9"/>
      <c r="B74" s="9"/>
      <c r="C74" s="9"/>
      <c r="D74" s="9"/>
      <c r="E74" s="9"/>
      <c r="F74" s="9"/>
      <c r="G74" s="59"/>
      <c r="H74" s="9"/>
      <c r="I74" s="9"/>
      <c r="J74" s="9"/>
      <c r="K74" s="9"/>
      <c r="L74" s="9"/>
      <c r="M74" s="9"/>
      <c r="N74" s="9"/>
      <c r="O74" s="9"/>
    </row>
    <row r="75">
      <c r="A75" s="9"/>
      <c r="B75" s="9"/>
      <c r="C75" s="9"/>
      <c r="D75" s="9"/>
      <c r="E75" s="9"/>
      <c r="F75" s="9"/>
      <c r="G75" s="59"/>
      <c r="H75" s="9"/>
      <c r="I75" s="9"/>
      <c r="J75" s="9"/>
      <c r="K75" s="9"/>
      <c r="L75" s="9"/>
      <c r="M75" s="9"/>
      <c r="N75" s="9"/>
      <c r="O75" s="9"/>
    </row>
    <row r="76">
      <c r="A76" s="9"/>
      <c r="B76" s="9"/>
      <c r="C76" s="9"/>
      <c r="D76" s="9"/>
      <c r="E76" s="9"/>
      <c r="F76" s="9"/>
      <c r="G76" s="59"/>
      <c r="H76" s="9"/>
      <c r="I76" s="9"/>
      <c r="J76" s="9"/>
      <c r="K76" s="9"/>
      <c r="L76" s="9"/>
      <c r="M76" s="9"/>
      <c r="N76" s="9"/>
      <c r="O76" s="9"/>
    </row>
    <row r="77">
      <c r="A77" s="9"/>
      <c r="B77" s="9"/>
      <c r="C77" s="9"/>
      <c r="D77" s="9"/>
      <c r="E77" s="9"/>
      <c r="F77" s="9"/>
      <c r="G77" s="59"/>
      <c r="H77" s="9"/>
      <c r="I77" s="9"/>
      <c r="J77" s="9"/>
      <c r="K77" s="9"/>
      <c r="L77" s="9"/>
      <c r="M77" s="9"/>
      <c r="N77" s="9"/>
      <c r="O77" s="9"/>
    </row>
    <row r="78">
      <c r="A78" s="9"/>
      <c r="B78" s="9"/>
      <c r="C78" s="9"/>
      <c r="D78" s="9"/>
      <c r="E78" s="9"/>
      <c r="F78" s="9"/>
      <c r="G78" s="59"/>
      <c r="H78" s="9"/>
      <c r="I78" s="9"/>
      <c r="J78" s="9"/>
      <c r="K78" s="9"/>
      <c r="L78" s="9"/>
      <c r="M78" s="9"/>
      <c r="N78" s="9"/>
      <c r="O78" s="9"/>
    </row>
    <row r="79">
      <c r="A79" s="9"/>
      <c r="B79" s="9"/>
      <c r="C79" s="9"/>
      <c r="D79" s="9"/>
      <c r="E79" s="9"/>
      <c r="F79" s="9"/>
      <c r="G79" s="59"/>
      <c r="H79" s="9"/>
      <c r="I79" s="9"/>
      <c r="J79" s="9"/>
      <c r="K79" s="9"/>
      <c r="L79" s="9"/>
      <c r="M79" s="9"/>
      <c r="N79" s="9"/>
      <c r="O79" s="9"/>
    </row>
    <row r="80">
      <c r="A80" s="9"/>
      <c r="B80" s="9"/>
      <c r="C80" s="9"/>
      <c r="D80" s="9"/>
      <c r="E80" s="9"/>
      <c r="F80" s="9"/>
      <c r="G80" s="59"/>
      <c r="H80" s="9"/>
      <c r="I80" s="9"/>
      <c r="J80" s="9"/>
      <c r="K80" s="9"/>
      <c r="L80" s="9"/>
      <c r="M80" s="9"/>
      <c r="N80" s="9"/>
      <c r="O80" s="9"/>
    </row>
    <row r="81">
      <c r="A81" s="9"/>
      <c r="B81" s="9"/>
      <c r="C81" s="9"/>
      <c r="D81" s="9"/>
      <c r="E81" s="9"/>
      <c r="F81" s="9"/>
      <c r="G81" s="59"/>
      <c r="H81" s="9"/>
      <c r="I81" s="9"/>
      <c r="J81" s="9"/>
      <c r="K81" s="9"/>
      <c r="L81" s="9"/>
      <c r="M81" s="9"/>
      <c r="N81" s="9"/>
      <c r="O81" s="9"/>
    </row>
    <row r="82">
      <c r="A82" s="9"/>
      <c r="B82" s="9"/>
      <c r="C82" s="9"/>
      <c r="D82" s="9"/>
      <c r="E82" s="9"/>
      <c r="F82" s="9"/>
      <c r="G82" s="59"/>
      <c r="H82" s="9"/>
      <c r="I82" s="9"/>
      <c r="J82" s="9"/>
      <c r="K82" s="9"/>
      <c r="L82" s="9"/>
      <c r="M82" s="9"/>
      <c r="N82" s="9"/>
      <c r="O82" s="9"/>
    </row>
    <row r="83">
      <c r="A83" s="9"/>
      <c r="B83" s="9"/>
      <c r="C83" s="9"/>
      <c r="D83" s="9"/>
      <c r="E83" s="9"/>
      <c r="F83" s="9"/>
      <c r="G83" s="59"/>
      <c r="H83" s="9"/>
      <c r="I83" s="9"/>
      <c r="J83" s="9"/>
      <c r="K83" s="9"/>
      <c r="L83" s="9"/>
      <c r="M83" s="9"/>
      <c r="N83" s="9"/>
      <c r="O83" s="9"/>
    </row>
    <row r="84">
      <c r="A84" s="9"/>
      <c r="B84" s="9"/>
      <c r="C84" s="9"/>
      <c r="D84" s="9"/>
      <c r="E84" s="9"/>
      <c r="F84" s="9"/>
      <c r="G84" s="59"/>
      <c r="H84" s="9"/>
      <c r="I84" s="9"/>
      <c r="J84" s="9"/>
      <c r="K84" s="9"/>
      <c r="L84" s="9"/>
      <c r="M84" s="9"/>
      <c r="N84" s="9"/>
      <c r="O84" s="9"/>
    </row>
    <row r="85">
      <c r="A85" s="9"/>
      <c r="B85" s="9"/>
      <c r="C85" s="9"/>
      <c r="D85" s="9"/>
      <c r="E85" s="9"/>
      <c r="F85" s="9"/>
      <c r="G85" s="59"/>
      <c r="H85" s="9"/>
      <c r="I85" s="9"/>
      <c r="J85" s="9"/>
      <c r="K85" s="9"/>
      <c r="L85" s="9"/>
      <c r="M85" s="9"/>
      <c r="N85" s="9"/>
      <c r="O85" s="9"/>
    </row>
    <row r="86">
      <c r="A86" s="9"/>
      <c r="B86" s="9"/>
      <c r="C86" s="9"/>
      <c r="D86" s="9"/>
      <c r="E86" s="9"/>
      <c r="F86" s="9"/>
      <c r="G86" s="59"/>
      <c r="H86" s="9"/>
      <c r="I86" s="9"/>
      <c r="J86" s="9"/>
      <c r="K86" s="9"/>
      <c r="L86" s="9"/>
      <c r="M86" s="9"/>
      <c r="N86" s="9"/>
      <c r="O86" s="9"/>
    </row>
    <row r="87">
      <c r="A87" s="9"/>
      <c r="B87" s="9"/>
      <c r="C87" s="9"/>
      <c r="D87" s="9"/>
      <c r="E87" s="9"/>
      <c r="F87" s="9"/>
      <c r="G87" s="59"/>
      <c r="H87" s="9"/>
      <c r="I87" s="9"/>
      <c r="J87" s="9"/>
      <c r="K87" s="9"/>
      <c r="L87" s="9"/>
      <c r="M87" s="9"/>
      <c r="N87" s="9"/>
      <c r="O87" s="9"/>
    </row>
    <row r="88">
      <c r="A88" s="9"/>
      <c r="B88" s="9"/>
      <c r="C88" s="9"/>
      <c r="D88" s="9"/>
      <c r="E88" s="9"/>
      <c r="F88" s="9"/>
      <c r="G88" s="59"/>
      <c r="H88" s="9"/>
      <c r="I88" s="9"/>
      <c r="J88" s="9"/>
      <c r="K88" s="9"/>
      <c r="L88" s="9"/>
      <c r="M88" s="9"/>
      <c r="N88" s="9"/>
      <c r="O88" s="9"/>
    </row>
    <row r="89">
      <c r="A89" s="9"/>
      <c r="B89" s="9"/>
      <c r="C89" s="9"/>
      <c r="D89" s="9"/>
      <c r="E89" s="9"/>
      <c r="F89" s="9"/>
      <c r="G89" s="59"/>
      <c r="H89" s="9"/>
      <c r="I89" s="9"/>
      <c r="J89" s="9"/>
      <c r="K89" s="9"/>
      <c r="L89" s="9"/>
      <c r="M89" s="9"/>
      <c r="N89" s="9"/>
      <c r="O89" s="9"/>
    </row>
    <row r="90">
      <c r="A90" s="9"/>
      <c r="B90" s="9"/>
      <c r="C90" s="9"/>
      <c r="D90" s="9"/>
      <c r="E90" s="9"/>
      <c r="F90" s="9"/>
      <c r="G90" s="59"/>
      <c r="H90" s="9"/>
      <c r="I90" s="9"/>
      <c r="J90" s="9"/>
      <c r="K90" s="9"/>
      <c r="L90" s="9"/>
      <c r="M90" s="9"/>
      <c r="N90" s="9"/>
      <c r="O90" s="9"/>
    </row>
    <row r="91">
      <c r="A91" s="9"/>
      <c r="B91" s="9"/>
      <c r="C91" s="9"/>
      <c r="D91" s="9"/>
      <c r="E91" s="9"/>
      <c r="F91" s="9"/>
      <c r="G91" s="59"/>
      <c r="H91" s="9"/>
      <c r="I91" s="9"/>
      <c r="J91" s="9"/>
      <c r="K91" s="9"/>
      <c r="L91" s="9"/>
      <c r="M91" s="9"/>
      <c r="N91" s="9"/>
      <c r="O91" s="9"/>
    </row>
    <row r="92">
      <c r="A92" s="9"/>
      <c r="B92" s="9"/>
      <c r="C92" s="9"/>
      <c r="D92" s="9"/>
      <c r="E92" s="9"/>
      <c r="F92" s="9"/>
      <c r="G92" s="59"/>
      <c r="H92" s="9"/>
      <c r="I92" s="9"/>
      <c r="J92" s="9"/>
      <c r="K92" s="9"/>
      <c r="L92" s="9"/>
      <c r="M92" s="9"/>
      <c r="N92" s="9"/>
      <c r="O92" s="9"/>
    </row>
    <row r="93">
      <c r="A93" s="9"/>
      <c r="B93" s="9"/>
      <c r="C93" s="9"/>
      <c r="D93" s="9"/>
      <c r="E93" s="9"/>
      <c r="F93" s="9"/>
      <c r="G93" s="59"/>
      <c r="H93" s="9"/>
      <c r="I93" s="9"/>
      <c r="J93" s="9"/>
      <c r="K93" s="9"/>
      <c r="L93" s="9"/>
      <c r="M93" s="9"/>
      <c r="N93" s="9"/>
      <c r="O93" s="9"/>
    </row>
    <row r="94">
      <c r="A94" s="9"/>
      <c r="B94" s="9"/>
      <c r="C94" s="9"/>
      <c r="D94" s="9"/>
      <c r="E94" s="9"/>
      <c r="F94" s="9"/>
      <c r="G94" s="59"/>
      <c r="H94" s="9"/>
      <c r="I94" s="9"/>
      <c r="J94" s="9"/>
      <c r="K94" s="9"/>
      <c r="L94" s="9"/>
      <c r="M94" s="9"/>
      <c r="N94" s="9"/>
      <c r="O94" s="9"/>
    </row>
    <row r="95">
      <c r="A95" s="9"/>
      <c r="B95" s="9"/>
      <c r="C95" s="9"/>
      <c r="D95" s="9"/>
      <c r="E95" s="9"/>
      <c r="F95" s="9"/>
      <c r="G95" s="59"/>
      <c r="H95" s="9"/>
      <c r="I95" s="9"/>
      <c r="J95" s="9"/>
      <c r="K95" s="9"/>
      <c r="L95" s="9"/>
      <c r="M95" s="9"/>
      <c r="N95" s="9"/>
      <c r="O95" s="9"/>
    </row>
    <row r="96">
      <c r="A96" s="9"/>
      <c r="B96" s="9"/>
      <c r="C96" s="9"/>
      <c r="D96" s="9"/>
      <c r="E96" s="9"/>
      <c r="F96" s="9"/>
      <c r="G96" s="59"/>
      <c r="H96" s="9"/>
      <c r="I96" s="9"/>
      <c r="J96" s="9"/>
      <c r="K96" s="9"/>
      <c r="L96" s="9"/>
      <c r="M96" s="9"/>
      <c r="N96" s="9"/>
      <c r="O96" s="9"/>
    </row>
    <row r="97">
      <c r="A97" s="9"/>
      <c r="B97" s="9"/>
      <c r="C97" s="9"/>
      <c r="D97" s="9"/>
      <c r="E97" s="9"/>
      <c r="F97" s="9"/>
      <c r="G97" s="59"/>
      <c r="H97" s="9"/>
      <c r="I97" s="9"/>
      <c r="J97" s="9"/>
      <c r="K97" s="9"/>
      <c r="L97" s="9"/>
      <c r="M97" s="9"/>
      <c r="N97" s="9"/>
      <c r="O97" s="9"/>
    </row>
    <row r="98">
      <c r="A98" s="9"/>
      <c r="B98" s="9"/>
      <c r="C98" s="9"/>
      <c r="D98" s="9"/>
      <c r="E98" s="9"/>
      <c r="F98" s="9"/>
      <c r="G98" s="59"/>
      <c r="H98" s="9"/>
      <c r="I98" s="9"/>
      <c r="J98" s="9"/>
      <c r="K98" s="9"/>
      <c r="L98" s="9"/>
      <c r="M98" s="9"/>
      <c r="N98" s="9"/>
      <c r="O98" s="9"/>
    </row>
    <row r="99">
      <c r="A99" s="9"/>
      <c r="B99" s="9"/>
      <c r="C99" s="9"/>
      <c r="D99" s="9"/>
      <c r="E99" s="9"/>
      <c r="F99" s="9"/>
      <c r="G99" s="59"/>
      <c r="H99" s="9"/>
      <c r="I99" s="9"/>
      <c r="J99" s="9"/>
      <c r="K99" s="9"/>
      <c r="L99" s="9"/>
      <c r="M99" s="9"/>
      <c r="N99" s="9"/>
      <c r="O99" s="9"/>
    </row>
    <row r="100">
      <c r="A100" s="9"/>
      <c r="B100" s="9"/>
      <c r="C100" s="9"/>
      <c r="D100" s="9"/>
      <c r="E100" s="9"/>
      <c r="F100" s="9"/>
      <c r="G100" s="59"/>
      <c r="H100" s="9"/>
      <c r="I100" s="9"/>
      <c r="J100" s="9"/>
      <c r="K100" s="9"/>
      <c r="L100" s="9"/>
      <c r="M100" s="9"/>
      <c r="N100" s="9"/>
      <c r="O100" s="9"/>
    </row>
    <row r="101">
      <c r="A101" s="9"/>
      <c r="B101" s="9"/>
      <c r="C101" s="9"/>
      <c r="D101" s="9"/>
      <c r="E101" s="9"/>
      <c r="F101" s="9"/>
      <c r="G101" s="59"/>
      <c r="H101" s="9"/>
      <c r="I101" s="9"/>
      <c r="J101" s="9"/>
      <c r="K101" s="9"/>
      <c r="L101" s="9"/>
      <c r="M101" s="9"/>
      <c r="N101" s="9"/>
      <c r="O101" s="9"/>
    </row>
    <row r="102">
      <c r="A102" s="9"/>
      <c r="B102" s="9"/>
      <c r="C102" s="9"/>
      <c r="D102" s="9"/>
      <c r="E102" s="9"/>
      <c r="F102" s="9"/>
      <c r="G102" s="59"/>
      <c r="H102" s="9"/>
      <c r="I102" s="9"/>
      <c r="J102" s="9"/>
      <c r="K102" s="9"/>
      <c r="L102" s="9"/>
      <c r="M102" s="9"/>
      <c r="N102" s="9"/>
      <c r="O102" s="9"/>
    </row>
    <row r="103">
      <c r="A103" s="9"/>
      <c r="B103" s="9"/>
      <c r="C103" s="9"/>
      <c r="D103" s="9"/>
      <c r="E103" s="9"/>
      <c r="F103" s="9"/>
      <c r="G103" s="59"/>
      <c r="H103" s="9"/>
      <c r="I103" s="9"/>
      <c r="J103" s="9"/>
      <c r="K103" s="9"/>
      <c r="L103" s="9"/>
      <c r="M103" s="9"/>
      <c r="N103" s="9"/>
      <c r="O103" s="9"/>
    </row>
    <row r="104">
      <c r="A104" s="9"/>
      <c r="B104" s="9"/>
      <c r="C104" s="9"/>
      <c r="D104" s="9"/>
      <c r="E104" s="9"/>
      <c r="F104" s="9"/>
      <c r="G104" s="59"/>
      <c r="H104" s="9"/>
      <c r="I104" s="9"/>
      <c r="J104" s="9"/>
      <c r="K104" s="9"/>
      <c r="L104" s="9"/>
      <c r="M104" s="9"/>
      <c r="N104" s="9"/>
      <c r="O104" s="9"/>
    </row>
    <row r="105">
      <c r="A105" s="9"/>
      <c r="B105" s="9"/>
      <c r="C105" s="9"/>
      <c r="D105" s="9"/>
      <c r="E105" s="9"/>
      <c r="F105" s="9"/>
      <c r="G105" s="59"/>
      <c r="H105" s="9"/>
      <c r="I105" s="9"/>
      <c r="J105" s="9"/>
      <c r="K105" s="9"/>
      <c r="L105" s="9"/>
      <c r="M105" s="9"/>
      <c r="N105" s="9"/>
      <c r="O105" s="9"/>
    </row>
    <row r="106">
      <c r="A106" s="9"/>
      <c r="B106" s="9"/>
      <c r="C106" s="9"/>
      <c r="D106" s="9"/>
      <c r="E106" s="9"/>
      <c r="F106" s="9"/>
      <c r="G106" s="59"/>
      <c r="H106" s="9"/>
      <c r="I106" s="9"/>
      <c r="J106" s="9"/>
      <c r="K106" s="9"/>
      <c r="L106" s="9"/>
      <c r="M106" s="9"/>
      <c r="N106" s="9"/>
      <c r="O106" s="9"/>
    </row>
    <row r="107">
      <c r="A107" s="9"/>
      <c r="B107" s="9"/>
      <c r="C107" s="9"/>
      <c r="D107" s="9"/>
      <c r="E107" s="9"/>
      <c r="F107" s="9"/>
      <c r="G107" s="59"/>
      <c r="H107" s="9"/>
      <c r="I107" s="9"/>
      <c r="J107" s="9"/>
      <c r="K107" s="9"/>
      <c r="L107" s="9"/>
      <c r="M107" s="9"/>
      <c r="N107" s="9"/>
      <c r="O107" s="9"/>
    </row>
    <row r="108">
      <c r="A108" s="9"/>
      <c r="B108" s="9"/>
      <c r="C108" s="9"/>
      <c r="D108" s="9"/>
      <c r="E108" s="9"/>
      <c r="F108" s="9"/>
      <c r="G108" s="59"/>
      <c r="H108" s="9"/>
      <c r="I108" s="9"/>
      <c r="J108" s="9"/>
      <c r="K108" s="9"/>
      <c r="L108" s="9"/>
      <c r="M108" s="9"/>
      <c r="N108" s="9"/>
      <c r="O108" s="9"/>
    </row>
    <row r="109">
      <c r="A109" s="9"/>
      <c r="B109" s="9"/>
      <c r="C109" s="9"/>
      <c r="D109" s="9"/>
      <c r="E109" s="9"/>
      <c r="F109" s="9"/>
      <c r="G109" s="59"/>
      <c r="H109" s="9"/>
      <c r="I109" s="9"/>
      <c r="J109" s="9"/>
      <c r="K109" s="9"/>
      <c r="L109" s="9"/>
      <c r="M109" s="9"/>
      <c r="N109" s="9"/>
      <c r="O109" s="9"/>
    </row>
    <row r="110">
      <c r="A110" s="9"/>
      <c r="B110" s="9"/>
      <c r="C110" s="9"/>
      <c r="D110" s="9"/>
      <c r="E110" s="9"/>
      <c r="F110" s="9"/>
      <c r="G110" s="59"/>
      <c r="H110" s="9"/>
      <c r="I110" s="9"/>
      <c r="J110" s="9"/>
      <c r="K110" s="9"/>
      <c r="L110" s="9"/>
      <c r="M110" s="9"/>
      <c r="N110" s="9"/>
      <c r="O110" s="9"/>
    </row>
    <row r="111">
      <c r="A111" s="9"/>
      <c r="B111" s="9"/>
      <c r="C111" s="9"/>
      <c r="D111" s="9"/>
      <c r="E111" s="9"/>
      <c r="F111" s="9"/>
      <c r="G111" s="59"/>
      <c r="H111" s="9"/>
      <c r="I111" s="9"/>
      <c r="J111" s="9"/>
      <c r="K111" s="9"/>
      <c r="L111" s="9"/>
      <c r="M111" s="9"/>
      <c r="N111" s="9"/>
      <c r="O111" s="9"/>
    </row>
    <row r="112">
      <c r="A112" s="9"/>
      <c r="B112" s="9"/>
      <c r="C112" s="9"/>
      <c r="D112" s="9"/>
      <c r="E112" s="9"/>
      <c r="F112" s="9"/>
      <c r="G112" s="59"/>
      <c r="H112" s="9"/>
      <c r="I112" s="9"/>
      <c r="J112" s="9"/>
      <c r="K112" s="9"/>
      <c r="L112" s="9"/>
      <c r="M112" s="9"/>
      <c r="N112" s="9"/>
      <c r="O112" s="9"/>
    </row>
    <row r="113">
      <c r="A113" s="9"/>
      <c r="B113" s="9"/>
      <c r="C113" s="9"/>
      <c r="D113" s="9"/>
      <c r="E113" s="9"/>
      <c r="F113" s="9"/>
      <c r="G113" s="59"/>
      <c r="H113" s="9"/>
      <c r="I113" s="9"/>
      <c r="J113" s="9"/>
      <c r="K113" s="9"/>
      <c r="L113" s="9"/>
      <c r="M113" s="9"/>
      <c r="N113" s="9"/>
      <c r="O113" s="9"/>
    </row>
    <row r="114">
      <c r="A114" s="9"/>
      <c r="B114" s="9"/>
      <c r="C114" s="9"/>
      <c r="D114" s="9"/>
      <c r="E114" s="9"/>
      <c r="F114" s="9"/>
      <c r="G114" s="59"/>
      <c r="H114" s="9"/>
      <c r="I114" s="9"/>
      <c r="J114" s="9"/>
      <c r="K114" s="9"/>
      <c r="L114" s="9"/>
      <c r="M114" s="9"/>
      <c r="N114" s="9"/>
      <c r="O114" s="9"/>
    </row>
    <row r="115">
      <c r="A115" s="9"/>
      <c r="B115" s="9"/>
      <c r="C115" s="9"/>
      <c r="D115" s="9"/>
      <c r="E115" s="9"/>
      <c r="F115" s="9"/>
      <c r="G115" s="59"/>
      <c r="H115" s="9"/>
      <c r="I115" s="9"/>
      <c r="J115" s="9"/>
      <c r="K115" s="9"/>
      <c r="L115" s="9"/>
      <c r="M115" s="9"/>
      <c r="N115" s="9"/>
      <c r="O115" s="9"/>
    </row>
    <row r="116">
      <c r="A116" s="9"/>
      <c r="B116" s="9"/>
      <c r="C116" s="9"/>
      <c r="D116" s="9"/>
      <c r="E116" s="9"/>
      <c r="F116" s="9"/>
      <c r="G116" s="59"/>
      <c r="H116" s="9"/>
      <c r="I116" s="9"/>
      <c r="J116" s="9"/>
      <c r="K116" s="9"/>
      <c r="L116" s="9"/>
      <c r="M116" s="9"/>
      <c r="N116" s="9"/>
      <c r="O116" s="9"/>
    </row>
    <row r="117">
      <c r="A117" s="9"/>
      <c r="B117" s="9"/>
      <c r="C117" s="9"/>
      <c r="D117" s="9"/>
      <c r="E117" s="9"/>
      <c r="F117" s="9"/>
      <c r="G117" s="59"/>
      <c r="H117" s="9"/>
      <c r="I117" s="9"/>
      <c r="J117" s="9"/>
      <c r="K117" s="9"/>
      <c r="L117" s="9"/>
      <c r="M117" s="9"/>
      <c r="N117" s="9"/>
      <c r="O117" s="9"/>
    </row>
    <row r="118">
      <c r="A118" s="9"/>
      <c r="B118" s="9"/>
      <c r="C118" s="9"/>
      <c r="D118" s="9"/>
      <c r="E118" s="9"/>
      <c r="F118" s="9"/>
      <c r="G118" s="59"/>
      <c r="H118" s="9"/>
      <c r="I118" s="9"/>
      <c r="J118" s="9"/>
      <c r="K118" s="9"/>
      <c r="L118" s="9"/>
      <c r="M118" s="9"/>
      <c r="N118" s="9"/>
      <c r="O118" s="9"/>
    </row>
    <row r="119">
      <c r="A119" s="9"/>
      <c r="B119" s="9"/>
      <c r="C119" s="9"/>
      <c r="D119" s="9"/>
      <c r="E119" s="9"/>
      <c r="F119" s="9"/>
      <c r="G119" s="59"/>
      <c r="H119" s="9"/>
      <c r="I119" s="9"/>
      <c r="J119" s="9"/>
      <c r="K119" s="9"/>
      <c r="L119" s="9"/>
      <c r="M119" s="9"/>
      <c r="N119" s="9"/>
      <c r="O119" s="9"/>
    </row>
    <row r="120">
      <c r="A120" s="9"/>
      <c r="B120" s="9"/>
      <c r="C120" s="9"/>
      <c r="D120" s="9"/>
      <c r="E120" s="9"/>
      <c r="F120" s="9"/>
      <c r="G120" s="59"/>
      <c r="H120" s="9"/>
      <c r="I120" s="9"/>
      <c r="J120" s="9"/>
      <c r="K120" s="9"/>
      <c r="L120" s="9"/>
      <c r="M120" s="9"/>
      <c r="N120" s="9"/>
      <c r="O120" s="9"/>
    </row>
    <row r="121">
      <c r="A121" s="9"/>
      <c r="B121" s="9"/>
      <c r="C121" s="9"/>
      <c r="D121" s="9"/>
      <c r="E121" s="9"/>
      <c r="F121" s="9"/>
      <c r="G121" s="59"/>
      <c r="H121" s="9"/>
      <c r="I121" s="9"/>
      <c r="J121" s="9"/>
      <c r="K121" s="9"/>
      <c r="L121" s="9"/>
      <c r="M121" s="9"/>
      <c r="N121" s="9"/>
      <c r="O121" s="9"/>
    </row>
    <row r="122">
      <c r="A122" s="9"/>
      <c r="B122" s="9"/>
      <c r="C122" s="9"/>
      <c r="D122" s="9"/>
      <c r="E122" s="9"/>
      <c r="F122" s="9"/>
      <c r="G122" s="59"/>
      <c r="H122" s="9"/>
      <c r="I122" s="9"/>
      <c r="J122" s="9"/>
      <c r="K122" s="9"/>
      <c r="L122" s="9"/>
      <c r="M122" s="9"/>
      <c r="N122" s="9"/>
      <c r="O122" s="9"/>
    </row>
    <row r="123">
      <c r="A123" s="9"/>
      <c r="B123" s="9"/>
      <c r="C123" s="9"/>
      <c r="D123" s="9"/>
      <c r="E123" s="9"/>
      <c r="F123" s="9"/>
      <c r="G123" s="59"/>
      <c r="H123" s="9"/>
      <c r="I123" s="9"/>
      <c r="J123" s="9"/>
      <c r="K123" s="9"/>
      <c r="L123" s="9"/>
      <c r="M123" s="9"/>
      <c r="N123" s="9"/>
      <c r="O123" s="9"/>
    </row>
    <row r="124">
      <c r="A124" s="9"/>
      <c r="B124" s="9"/>
      <c r="C124" s="9"/>
      <c r="D124" s="9"/>
      <c r="E124" s="9"/>
      <c r="F124" s="9"/>
      <c r="G124" s="59"/>
      <c r="H124" s="9"/>
      <c r="I124" s="9"/>
      <c r="J124" s="9"/>
      <c r="K124" s="9"/>
      <c r="L124" s="9"/>
      <c r="M124" s="9"/>
      <c r="N124" s="9"/>
      <c r="O124" s="9"/>
    </row>
    <row r="125">
      <c r="A125" s="9"/>
      <c r="B125" s="9"/>
      <c r="C125" s="9"/>
      <c r="D125" s="9"/>
      <c r="E125" s="9"/>
      <c r="F125" s="9"/>
      <c r="G125" s="59"/>
      <c r="H125" s="9"/>
      <c r="I125" s="9"/>
      <c r="J125" s="9"/>
      <c r="K125" s="9"/>
      <c r="L125" s="9"/>
      <c r="M125" s="9"/>
      <c r="N125" s="9"/>
      <c r="O125" s="9"/>
    </row>
    <row r="126">
      <c r="A126" s="9"/>
      <c r="B126" s="9"/>
      <c r="C126" s="9"/>
      <c r="D126" s="9"/>
      <c r="E126" s="9"/>
      <c r="F126" s="9"/>
      <c r="G126" s="59"/>
      <c r="H126" s="9"/>
      <c r="I126" s="9"/>
      <c r="J126" s="9"/>
      <c r="K126" s="9"/>
      <c r="L126" s="9"/>
      <c r="M126" s="9"/>
      <c r="N126" s="9"/>
      <c r="O126" s="9"/>
    </row>
    <row r="127">
      <c r="A127" s="9"/>
      <c r="B127" s="9"/>
      <c r="C127" s="9"/>
      <c r="D127" s="9"/>
      <c r="E127" s="9"/>
      <c r="F127" s="9"/>
      <c r="G127" s="59"/>
      <c r="H127" s="9"/>
      <c r="I127" s="9"/>
      <c r="J127" s="9"/>
      <c r="K127" s="9"/>
      <c r="L127" s="9"/>
      <c r="M127" s="9"/>
      <c r="N127" s="9"/>
      <c r="O127" s="9"/>
    </row>
    <row r="128">
      <c r="A128" s="9"/>
      <c r="B128" s="9"/>
      <c r="C128" s="9"/>
      <c r="D128" s="9"/>
      <c r="E128" s="9"/>
      <c r="F128" s="9"/>
      <c r="G128" s="59"/>
      <c r="H128" s="9"/>
      <c r="I128" s="9"/>
      <c r="J128" s="9"/>
      <c r="K128" s="9"/>
      <c r="L128" s="9"/>
      <c r="M128" s="9"/>
      <c r="N128" s="9"/>
      <c r="O128" s="9"/>
    </row>
    <row r="129">
      <c r="A129" s="9"/>
      <c r="B129" s="9"/>
      <c r="C129" s="9"/>
      <c r="D129" s="9"/>
      <c r="E129" s="9"/>
      <c r="F129" s="9"/>
      <c r="G129" s="59"/>
      <c r="H129" s="9"/>
      <c r="I129" s="9"/>
      <c r="J129" s="9"/>
      <c r="K129" s="9"/>
      <c r="L129" s="9"/>
      <c r="M129" s="9"/>
      <c r="N129" s="9"/>
      <c r="O129" s="9"/>
    </row>
    <row r="130">
      <c r="A130" s="9"/>
      <c r="B130" s="9"/>
      <c r="C130" s="9"/>
      <c r="D130" s="9"/>
      <c r="E130" s="9"/>
      <c r="F130" s="9"/>
      <c r="G130" s="59"/>
      <c r="H130" s="9"/>
      <c r="I130" s="9"/>
      <c r="J130" s="9"/>
      <c r="K130" s="9"/>
      <c r="L130" s="9"/>
      <c r="M130" s="9"/>
      <c r="N130" s="9"/>
      <c r="O130" s="9"/>
    </row>
    <row r="131">
      <c r="A131" s="9"/>
      <c r="B131" s="9"/>
      <c r="C131" s="9"/>
      <c r="D131" s="9"/>
      <c r="E131" s="9"/>
      <c r="F131" s="9"/>
      <c r="G131" s="59"/>
      <c r="H131" s="9"/>
      <c r="I131" s="9"/>
      <c r="J131" s="9"/>
      <c r="K131" s="9"/>
      <c r="L131" s="9"/>
      <c r="M131" s="9"/>
      <c r="N131" s="9"/>
      <c r="O131" s="9"/>
    </row>
    <row r="132">
      <c r="A132" s="9"/>
      <c r="B132" s="9"/>
      <c r="C132" s="9"/>
      <c r="D132" s="9"/>
      <c r="E132" s="9"/>
      <c r="F132" s="9"/>
      <c r="G132" s="59"/>
      <c r="H132" s="9"/>
      <c r="I132" s="9"/>
      <c r="J132" s="9"/>
      <c r="K132" s="9"/>
      <c r="L132" s="9"/>
      <c r="M132" s="9"/>
      <c r="N132" s="9"/>
      <c r="O132" s="9"/>
    </row>
    <row r="133">
      <c r="A133" s="9"/>
      <c r="B133" s="9"/>
      <c r="C133" s="9"/>
      <c r="D133" s="9"/>
      <c r="E133" s="9"/>
      <c r="F133" s="9"/>
      <c r="G133" s="59"/>
      <c r="H133" s="9"/>
      <c r="I133" s="9"/>
      <c r="J133" s="9"/>
      <c r="K133" s="9"/>
      <c r="L133" s="9"/>
      <c r="M133" s="9"/>
      <c r="N133" s="9"/>
      <c r="O133" s="9"/>
    </row>
    <row r="134">
      <c r="A134" s="9"/>
      <c r="B134" s="9"/>
      <c r="C134" s="9"/>
      <c r="D134" s="9"/>
      <c r="E134" s="9"/>
      <c r="F134" s="9"/>
      <c r="G134" s="59"/>
      <c r="H134" s="9"/>
      <c r="I134" s="9"/>
      <c r="J134" s="9"/>
      <c r="K134" s="9"/>
      <c r="L134" s="9"/>
      <c r="M134" s="9"/>
      <c r="N134" s="9"/>
      <c r="O134" s="9"/>
    </row>
    <row r="135">
      <c r="A135" s="9"/>
      <c r="B135" s="9"/>
      <c r="C135" s="9"/>
      <c r="D135" s="9"/>
      <c r="E135" s="9"/>
      <c r="F135" s="9"/>
      <c r="G135" s="59"/>
      <c r="H135" s="9"/>
      <c r="I135" s="9"/>
      <c r="J135" s="9"/>
      <c r="K135" s="9"/>
      <c r="L135" s="9"/>
      <c r="M135" s="9"/>
      <c r="N135" s="9"/>
      <c r="O135" s="9"/>
    </row>
    <row r="136">
      <c r="A136" s="9"/>
      <c r="B136" s="9"/>
      <c r="C136" s="9"/>
      <c r="D136" s="9"/>
      <c r="E136" s="9"/>
      <c r="F136" s="9"/>
      <c r="G136" s="59"/>
      <c r="H136" s="9"/>
      <c r="I136" s="9"/>
      <c r="J136" s="9"/>
      <c r="K136" s="9"/>
      <c r="L136" s="9"/>
      <c r="M136" s="9"/>
      <c r="N136" s="9"/>
      <c r="O136" s="9"/>
    </row>
    <row r="137">
      <c r="A137" s="9"/>
      <c r="B137" s="9"/>
      <c r="C137" s="9"/>
      <c r="D137" s="9"/>
      <c r="E137" s="9"/>
      <c r="F137" s="9"/>
      <c r="G137" s="59"/>
      <c r="H137" s="9"/>
      <c r="I137" s="9"/>
      <c r="J137" s="9"/>
      <c r="K137" s="9"/>
      <c r="L137" s="9"/>
      <c r="M137" s="9"/>
      <c r="N137" s="9"/>
      <c r="O137" s="9"/>
    </row>
    <row r="138">
      <c r="A138" s="9"/>
      <c r="B138" s="9"/>
      <c r="C138" s="9"/>
      <c r="D138" s="9"/>
      <c r="E138" s="9"/>
      <c r="F138" s="9"/>
      <c r="G138" s="59"/>
      <c r="H138" s="9"/>
      <c r="I138" s="9"/>
      <c r="J138" s="9"/>
      <c r="K138" s="9"/>
      <c r="L138" s="9"/>
      <c r="M138" s="9"/>
      <c r="N138" s="9"/>
      <c r="O138" s="9"/>
    </row>
    <row r="139">
      <c r="A139" s="9"/>
      <c r="B139" s="9"/>
      <c r="C139" s="9"/>
      <c r="D139" s="9"/>
      <c r="E139" s="9"/>
      <c r="F139" s="9"/>
      <c r="G139" s="59"/>
      <c r="H139" s="9"/>
      <c r="I139" s="9"/>
      <c r="J139" s="9"/>
      <c r="K139" s="9"/>
      <c r="L139" s="9"/>
      <c r="M139" s="9"/>
      <c r="N139" s="9"/>
      <c r="O139" s="9"/>
    </row>
    <row r="140">
      <c r="A140" s="9"/>
      <c r="B140" s="9"/>
      <c r="C140" s="9"/>
      <c r="D140" s="9"/>
      <c r="E140" s="9"/>
      <c r="F140" s="9"/>
      <c r="G140" s="59"/>
      <c r="H140" s="9"/>
      <c r="I140" s="9"/>
      <c r="J140" s="9"/>
      <c r="K140" s="9"/>
      <c r="L140" s="9"/>
      <c r="M140" s="9"/>
      <c r="N140" s="9"/>
      <c r="O140" s="9"/>
    </row>
    <row r="141">
      <c r="A141" s="9"/>
      <c r="B141" s="9"/>
      <c r="C141" s="9"/>
      <c r="D141" s="9"/>
      <c r="E141" s="9"/>
      <c r="F141" s="9"/>
      <c r="G141" s="59"/>
      <c r="H141" s="9"/>
      <c r="I141" s="9"/>
      <c r="J141" s="9"/>
      <c r="K141" s="9"/>
      <c r="L141" s="9"/>
      <c r="M141" s="9"/>
      <c r="N141" s="9"/>
      <c r="O141" s="9"/>
    </row>
    <row r="142">
      <c r="A142" s="9"/>
      <c r="B142" s="9"/>
      <c r="C142" s="9"/>
      <c r="D142" s="9"/>
      <c r="E142" s="9"/>
      <c r="F142" s="9"/>
      <c r="G142" s="59"/>
      <c r="H142" s="9"/>
      <c r="I142" s="9"/>
      <c r="J142" s="9"/>
      <c r="K142" s="9"/>
      <c r="L142" s="9"/>
      <c r="M142" s="9"/>
      <c r="N142" s="9"/>
      <c r="O142" s="9"/>
    </row>
    <row r="143">
      <c r="A143" s="9"/>
      <c r="B143" s="9"/>
      <c r="C143" s="9"/>
      <c r="D143" s="9"/>
      <c r="E143" s="9"/>
      <c r="F143" s="9"/>
      <c r="G143" s="59"/>
      <c r="H143" s="9"/>
      <c r="I143" s="9"/>
      <c r="J143" s="9"/>
      <c r="K143" s="9"/>
      <c r="L143" s="9"/>
      <c r="M143" s="9"/>
      <c r="N143" s="9"/>
      <c r="O143" s="9"/>
    </row>
    <row r="144">
      <c r="A144" s="9"/>
      <c r="B144" s="9"/>
      <c r="C144" s="9"/>
      <c r="D144" s="9"/>
      <c r="E144" s="9"/>
      <c r="F144" s="9"/>
      <c r="G144" s="59"/>
      <c r="H144" s="9"/>
      <c r="I144" s="9"/>
      <c r="J144" s="9"/>
      <c r="K144" s="9"/>
      <c r="L144" s="9"/>
      <c r="M144" s="9"/>
      <c r="N144" s="9"/>
      <c r="O144" s="9"/>
    </row>
    <row r="145">
      <c r="A145" s="9"/>
      <c r="B145" s="9"/>
      <c r="C145" s="9"/>
      <c r="D145" s="9"/>
      <c r="E145" s="9"/>
      <c r="F145" s="9"/>
      <c r="G145" s="59"/>
      <c r="H145" s="9"/>
      <c r="I145" s="9"/>
      <c r="J145" s="9"/>
      <c r="K145" s="9"/>
      <c r="L145" s="9"/>
      <c r="M145" s="9"/>
      <c r="N145" s="9"/>
      <c r="O145" s="9"/>
    </row>
    <row r="146">
      <c r="A146" s="9"/>
      <c r="B146" s="9"/>
      <c r="C146" s="9"/>
      <c r="D146" s="9"/>
      <c r="E146" s="9"/>
      <c r="F146" s="9"/>
      <c r="G146" s="59"/>
      <c r="H146" s="9"/>
      <c r="I146" s="9"/>
      <c r="J146" s="9"/>
      <c r="K146" s="9"/>
      <c r="L146" s="9"/>
      <c r="M146" s="9"/>
      <c r="N146" s="9"/>
      <c r="O146" s="9"/>
    </row>
    <row r="147">
      <c r="A147" s="9"/>
      <c r="B147" s="9"/>
      <c r="C147" s="9"/>
      <c r="D147" s="9"/>
      <c r="E147" s="9"/>
      <c r="F147" s="9"/>
      <c r="G147" s="59"/>
      <c r="H147" s="9"/>
      <c r="I147" s="9"/>
      <c r="J147" s="9"/>
      <c r="K147" s="9"/>
      <c r="L147" s="9"/>
      <c r="M147" s="9"/>
      <c r="N147" s="9"/>
      <c r="O147" s="9"/>
    </row>
    <row r="148">
      <c r="A148" s="9"/>
      <c r="B148" s="9"/>
      <c r="C148" s="9"/>
      <c r="D148" s="9"/>
      <c r="E148" s="9"/>
      <c r="F148" s="9"/>
      <c r="G148" s="59"/>
      <c r="H148" s="9"/>
      <c r="I148" s="9"/>
      <c r="J148" s="9"/>
      <c r="K148" s="9"/>
      <c r="L148" s="9"/>
      <c r="M148" s="9"/>
      <c r="N148" s="9"/>
      <c r="O148" s="9"/>
    </row>
    <row r="149">
      <c r="A149" s="9"/>
      <c r="B149" s="9"/>
      <c r="C149" s="9"/>
      <c r="D149" s="9"/>
      <c r="E149" s="9"/>
      <c r="F149" s="9"/>
      <c r="G149" s="59"/>
      <c r="H149" s="9"/>
      <c r="I149" s="9"/>
      <c r="J149" s="9"/>
      <c r="K149" s="9"/>
      <c r="L149" s="9"/>
      <c r="M149" s="9"/>
      <c r="N149" s="9"/>
      <c r="O149" s="9"/>
    </row>
    <row r="150">
      <c r="A150" s="9"/>
      <c r="B150" s="9"/>
      <c r="C150" s="9"/>
      <c r="D150" s="9"/>
      <c r="E150" s="9"/>
      <c r="F150" s="9"/>
      <c r="G150" s="59"/>
      <c r="H150" s="9"/>
      <c r="I150" s="9"/>
      <c r="J150" s="9"/>
      <c r="K150" s="9"/>
      <c r="L150" s="9"/>
      <c r="M150" s="9"/>
      <c r="N150" s="9"/>
      <c r="O150" s="9"/>
    </row>
    <row r="151">
      <c r="A151" s="9"/>
      <c r="B151" s="9"/>
      <c r="C151" s="9"/>
      <c r="D151" s="9"/>
      <c r="E151" s="9"/>
      <c r="F151" s="9"/>
      <c r="G151" s="59"/>
      <c r="H151" s="9"/>
      <c r="I151" s="9"/>
      <c r="J151" s="9"/>
      <c r="K151" s="9"/>
      <c r="L151" s="9"/>
      <c r="M151" s="9"/>
      <c r="N151" s="9"/>
      <c r="O151" s="9"/>
    </row>
    <row r="152">
      <c r="A152" s="9"/>
      <c r="B152" s="9"/>
      <c r="C152" s="9"/>
      <c r="D152" s="9"/>
      <c r="E152" s="9"/>
      <c r="F152" s="9"/>
      <c r="G152" s="59"/>
      <c r="H152" s="9"/>
      <c r="I152" s="9"/>
      <c r="J152" s="9"/>
      <c r="K152" s="9"/>
      <c r="L152" s="9"/>
      <c r="M152" s="9"/>
      <c r="N152" s="9"/>
      <c r="O152" s="9"/>
    </row>
    <row r="153">
      <c r="A153" s="9"/>
      <c r="B153" s="9"/>
      <c r="C153" s="9"/>
      <c r="D153" s="9"/>
      <c r="E153" s="9"/>
      <c r="F153" s="9"/>
      <c r="G153" s="59"/>
      <c r="H153" s="9"/>
      <c r="I153" s="9"/>
      <c r="J153" s="9"/>
      <c r="K153" s="9"/>
      <c r="L153" s="9"/>
      <c r="M153" s="9"/>
      <c r="N153" s="9"/>
      <c r="O153" s="9"/>
    </row>
    <row r="154">
      <c r="A154" s="9"/>
      <c r="B154" s="9"/>
      <c r="C154" s="9"/>
      <c r="D154" s="9"/>
      <c r="E154" s="9"/>
      <c r="F154" s="9"/>
      <c r="G154" s="59"/>
      <c r="H154" s="9"/>
      <c r="I154" s="9"/>
      <c r="J154" s="9"/>
      <c r="K154" s="9"/>
      <c r="L154" s="9"/>
      <c r="M154" s="9"/>
      <c r="N154" s="9"/>
      <c r="O154" s="9"/>
    </row>
    <row r="155">
      <c r="A155" s="9"/>
      <c r="B155" s="9"/>
      <c r="C155" s="9"/>
      <c r="D155" s="9"/>
      <c r="E155" s="9"/>
      <c r="F155" s="9"/>
      <c r="G155" s="59"/>
      <c r="H155" s="9"/>
      <c r="I155" s="9"/>
      <c r="J155" s="9"/>
      <c r="K155" s="9"/>
      <c r="L155" s="9"/>
      <c r="M155" s="9"/>
      <c r="N155" s="9"/>
      <c r="O155" s="9"/>
    </row>
    <row r="156">
      <c r="A156" s="9"/>
      <c r="B156" s="9"/>
      <c r="C156" s="9"/>
      <c r="D156" s="9"/>
      <c r="E156" s="9"/>
      <c r="F156" s="9"/>
      <c r="G156" s="59"/>
      <c r="H156" s="9"/>
      <c r="I156" s="9"/>
      <c r="J156" s="9"/>
      <c r="K156" s="9"/>
      <c r="L156" s="9"/>
      <c r="M156" s="9"/>
      <c r="N156" s="9"/>
      <c r="O156" s="9"/>
    </row>
    <row r="157">
      <c r="A157" s="9"/>
      <c r="B157" s="9"/>
      <c r="C157" s="9"/>
      <c r="D157" s="9"/>
      <c r="E157" s="9"/>
      <c r="F157" s="9"/>
      <c r="G157" s="59"/>
      <c r="H157" s="9"/>
      <c r="I157" s="9"/>
      <c r="J157" s="9"/>
      <c r="K157" s="9"/>
      <c r="L157" s="9"/>
      <c r="M157" s="9"/>
      <c r="N157" s="9"/>
      <c r="O157" s="9"/>
    </row>
    <row r="158">
      <c r="A158" s="9"/>
      <c r="B158" s="9"/>
      <c r="C158" s="9"/>
      <c r="D158" s="9"/>
      <c r="E158" s="9"/>
      <c r="F158" s="9"/>
      <c r="G158" s="59"/>
      <c r="H158" s="9"/>
      <c r="I158" s="9"/>
      <c r="J158" s="9"/>
      <c r="K158" s="9"/>
      <c r="L158" s="9"/>
      <c r="M158" s="9"/>
      <c r="N158" s="9"/>
      <c r="O158" s="9"/>
    </row>
    <row r="159">
      <c r="A159" s="9"/>
      <c r="B159" s="9"/>
      <c r="C159" s="9"/>
      <c r="D159" s="9"/>
      <c r="E159" s="9"/>
      <c r="F159" s="9"/>
      <c r="G159" s="59"/>
      <c r="H159" s="9"/>
      <c r="I159" s="9"/>
      <c r="J159" s="9"/>
      <c r="K159" s="9"/>
      <c r="L159" s="9"/>
      <c r="M159" s="9"/>
      <c r="N159" s="9"/>
      <c r="O159" s="9"/>
    </row>
    <row r="160">
      <c r="A160" s="9"/>
      <c r="B160" s="9"/>
      <c r="C160" s="9"/>
      <c r="D160" s="9"/>
      <c r="E160" s="9"/>
      <c r="F160" s="9"/>
      <c r="G160" s="59"/>
      <c r="H160" s="9"/>
      <c r="I160" s="9"/>
      <c r="J160" s="9"/>
      <c r="K160" s="9"/>
      <c r="L160" s="9"/>
      <c r="M160" s="9"/>
      <c r="N160" s="9"/>
      <c r="O160" s="9"/>
    </row>
    <row r="161">
      <c r="A161" s="9"/>
      <c r="B161" s="9"/>
      <c r="C161" s="9"/>
      <c r="D161" s="9"/>
      <c r="E161" s="9"/>
      <c r="F161" s="9"/>
      <c r="G161" s="59"/>
      <c r="H161" s="9"/>
      <c r="I161" s="9"/>
      <c r="J161" s="9"/>
      <c r="K161" s="9"/>
      <c r="L161" s="9"/>
      <c r="M161" s="9"/>
      <c r="N161" s="9"/>
      <c r="O161" s="9"/>
    </row>
    <row r="162">
      <c r="A162" s="9"/>
      <c r="B162" s="9"/>
      <c r="C162" s="9"/>
      <c r="D162" s="9"/>
      <c r="E162" s="9"/>
      <c r="F162" s="9"/>
      <c r="G162" s="59"/>
      <c r="H162" s="9"/>
      <c r="I162" s="9"/>
      <c r="J162" s="9"/>
      <c r="K162" s="9"/>
      <c r="L162" s="9"/>
      <c r="M162" s="9"/>
      <c r="N162" s="9"/>
      <c r="O162" s="9"/>
    </row>
    <row r="163">
      <c r="A163" s="9"/>
      <c r="B163" s="9"/>
      <c r="C163" s="9"/>
      <c r="D163" s="9"/>
      <c r="E163" s="9"/>
      <c r="F163" s="9"/>
      <c r="G163" s="59"/>
      <c r="H163" s="9"/>
      <c r="I163" s="9"/>
      <c r="J163" s="9"/>
      <c r="K163" s="9"/>
      <c r="L163" s="9"/>
      <c r="M163" s="9"/>
      <c r="N163" s="9"/>
      <c r="O163" s="9"/>
    </row>
    <row r="164">
      <c r="A164" s="9"/>
      <c r="B164" s="9"/>
      <c r="C164" s="9"/>
      <c r="D164" s="9"/>
      <c r="E164" s="9"/>
      <c r="F164" s="9"/>
      <c r="G164" s="59"/>
      <c r="H164" s="9"/>
      <c r="I164" s="9"/>
      <c r="J164" s="9"/>
      <c r="K164" s="9"/>
      <c r="L164" s="9"/>
      <c r="M164" s="9"/>
      <c r="N164" s="9"/>
      <c r="O164" s="9"/>
    </row>
    <row r="165">
      <c r="A165" s="9"/>
      <c r="B165" s="9"/>
      <c r="C165" s="9"/>
      <c r="D165" s="9"/>
      <c r="E165" s="9"/>
      <c r="F165" s="9"/>
      <c r="G165" s="59"/>
      <c r="H165" s="9"/>
      <c r="I165" s="9"/>
      <c r="J165" s="9"/>
      <c r="K165" s="9"/>
      <c r="L165" s="9"/>
      <c r="M165" s="9"/>
      <c r="N165" s="9"/>
      <c r="O165" s="9"/>
    </row>
    <row r="166">
      <c r="A166" s="9"/>
      <c r="B166" s="9"/>
      <c r="C166" s="9"/>
      <c r="D166" s="9"/>
      <c r="E166" s="9"/>
      <c r="F166" s="9"/>
      <c r="G166" s="59"/>
      <c r="H166" s="9"/>
      <c r="I166" s="9"/>
      <c r="J166" s="9"/>
      <c r="K166" s="9"/>
      <c r="L166" s="9"/>
      <c r="M166" s="9"/>
      <c r="N166" s="9"/>
      <c r="O166" s="9"/>
    </row>
    <row r="167">
      <c r="A167" s="9"/>
      <c r="B167" s="9"/>
      <c r="C167" s="9"/>
      <c r="D167" s="9"/>
      <c r="E167" s="9"/>
      <c r="F167" s="9"/>
      <c r="G167" s="59"/>
      <c r="H167" s="9"/>
      <c r="I167" s="9"/>
      <c r="J167" s="9"/>
      <c r="K167" s="9"/>
      <c r="L167" s="9"/>
      <c r="M167" s="9"/>
      <c r="N167" s="9"/>
      <c r="O167" s="9"/>
    </row>
    <row r="168">
      <c r="A168" s="9"/>
      <c r="B168" s="9"/>
      <c r="C168" s="9"/>
      <c r="D168" s="9"/>
      <c r="E168" s="9"/>
      <c r="F168" s="9"/>
      <c r="G168" s="59"/>
      <c r="H168" s="9"/>
      <c r="I168" s="9"/>
      <c r="J168" s="9"/>
      <c r="K168" s="9"/>
      <c r="L168" s="9"/>
      <c r="M168" s="9"/>
      <c r="N168" s="9"/>
      <c r="O168" s="9"/>
    </row>
    <row r="169">
      <c r="A169" s="9"/>
      <c r="B169" s="9"/>
      <c r="C169" s="9"/>
      <c r="D169" s="9"/>
      <c r="E169" s="9"/>
      <c r="F169" s="9"/>
      <c r="G169" s="59"/>
      <c r="H169" s="9"/>
      <c r="I169" s="9"/>
      <c r="J169" s="9"/>
      <c r="K169" s="9"/>
      <c r="L169" s="9"/>
      <c r="M169" s="9"/>
      <c r="N169" s="9"/>
      <c r="O169" s="9"/>
    </row>
    <row r="170">
      <c r="A170" s="9"/>
      <c r="B170" s="9"/>
      <c r="C170" s="9"/>
      <c r="D170" s="9"/>
      <c r="E170" s="9"/>
      <c r="F170" s="9"/>
      <c r="G170" s="59"/>
      <c r="H170" s="9"/>
      <c r="I170" s="9"/>
      <c r="J170" s="9"/>
      <c r="K170" s="9"/>
      <c r="L170" s="9"/>
      <c r="M170" s="9"/>
      <c r="N170" s="9"/>
      <c r="O170" s="9"/>
    </row>
    <row r="171">
      <c r="A171" s="9"/>
      <c r="B171" s="9"/>
      <c r="C171" s="9"/>
      <c r="D171" s="9"/>
      <c r="E171" s="9"/>
      <c r="F171" s="9"/>
      <c r="G171" s="59"/>
      <c r="H171" s="9"/>
      <c r="I171" s="9"/>
      <c r="J171" s="9"/>
      <c r="K171" s="9"/>
      <c r="L171" s="9"/>
      <c r="M171" s="9"/>
      <c r="N171" s="9"/>
      <c r="O171" s="9"/>
    </row>
    <row r="172">
      <c r="A172" s="9"/>
      <c r="B172" s="9"/>
      <c r="C172" s="9"/>
      <c r="D172" s="9"/>
      <c r="E172" s="9"/>
      <c r="F172" s="9"/>
      <c r="G172" s="59"/>
      <c r="H172" s="9"/>
      <c r="I172" s="9"/>
      <c r="J172" s="9"/>
      <c r="K172" s="9"/>
      <c r="L172" s="9"/>
      <c r="M172" s="9"/>
      <c r="N172" s="9"/>
      <c r="O172" s="9"/>
    </row>
    <row r="173">
      <c r="A173" s="9"/>
      <c r="B173" s="9"/>
      <c r="C173" s="9"/>
      <c r="D173" s="9"/>
      <c r="E173" s="9"/>
      <c r="F173" s="9"/>
      <c r="G173" s="59"/>
      <c r="H173" s="9"/>
      <c r="I173" s="9"/>
      <c r="J173" s="9"/>
      <c r="K173" s="9"/>
      <c r="L173" s="9"/>
      <c r="M173" s="9"/>
      <c r="N173" s="9"/>
      <c r="O173" s="9"/>
    </row>
    <row r="174">
      <c r="A174" s="9"/>
      <c r="B174" s="9"/>
      <c r="C174" s="9"/>
      <c r="D174" s="9"/>
      <c r="E174" s="9"/>
      <c r="F174" s="9"/>
      <c r="G174" s="59"/>
      <c r="H174" s="9"/>
      <c r="I174" s="9"/>
      <c r="J174" s="9"/>
      <c r="K174" s="9"/>
      <c r="L174" s="9"/>
      <c r="M174" s="9"/>
      <c r="N174" s="9"/>
      <c r="O174" s="9"/>
    </row>
    <row r="175">
      <c r="A175" s="9"/>
      <c r="B175" s="9"/>
      <c r="C175" s="9"/>
      <c r="D175" s="9"/>
      <c r="E175" s="9"/>
      <c r="F175" s="9"/>
      <c r="G175" s="59"/>
      <c r="H175" s="9"/>
      <c r="I175" s="9"/>
      <c r="J175" s="9"/>
      <c r="K175" s="9"/>
      <c r="L175" s="9"/>
      <c r="M175" s="9"/>
      <c r="N175" s="9"/>
      <c r="O175" s="9"/>
    </row>
    <row r="176">
      <c r="A176" s="9"/>
      <c r="B176" s="9"/>
      <c r="C176" s="9"/>
      <c r="D176" s="9"/>
      <c r="E176" s="9"/>
      <c r="F176" s="9"/>
      <c r="G176" s="59"/>
      <c r="H176" s="9"/>
      <c r="I176" s="9"/>
      <c r="J176" s="9"/>
      <c r="K176" s="9"/>
      <c r="L176" s="9"/>
      <c r="M176" s="9"/>
      <c r="N176" s="9"/>
      <c r="O176" s="9"/>
    </row>
    <row r="177">
      <c r="A177" s="9"/>
      <c r="B177" s="9"/>
      <c r="C177" s="9"/>
      <c r="D177" s="9"/>
      <c r="E177" s="9"/>
      <c r="F177" s="9"/>
      <c r="G177" s="59"/>
      <c r="H177" s="9"/>
      <c r="I177" s="9"/>
      <c r="J177" s="9"/>
      <c r="K177" s="9"/>
      <c r="L177" s="9"/>
      <c r="M177" s="9"/>
      <c r="N177" s="9"/>
      <c r="O177" s="9"/>
    </row>
    <row r="178">
      <c r="A178" s="9"/>
      <c r="B178" s="9"/>
      <c r="C178" s="9"/>
      <c r="D178" s="9"/>
      <c r="E178" s="9"/>
      <c r="F178" s="9"/>
      <c r="G178" s="59"/>
      <c r="H178" s="9"/>
      <c r="I178" s="9"/>
      <c r="J178" s="9"/>
      <c r="K178" s="9"/>
      <c r="L178" s="9"/>
      <c r="M178" s="9"/>
      <c r="N178" s="9"/>
      <c r="O178" s="9"/>
    </row>
    <row r="179">
      <c r="A179" s="9"/>
      <c r="B179" s="9"/>
      <c r="C179" s="9"/>
      <c r="D179" s="9"/>
      <c r="E179" s="9"/>
      <c r="F179" s="9"/>
      <c r="G179" s="59"/>
      <c r="H179" s="9"/>
      <c r="I179" s="9"/>
      <c r="J179" s="9"/>
      <c r="K179" s="9"/>
      <c r="L179" s="9"/>
      <c r="M179" s="9"/>
      <c r="N179" s="9"/>
      <c r="O179" s="9"/>
    </row>
    <row r="180">
      <c r="A180" s="9"/>
      <c r="B180" s="9"/>
      <c r="C180" s="9"/>
      <c r="D180" s="9"/>
      <c r="E180" s="9"/>
      <c r="F180" s="9"/>
      <c r="G180" s="59"/>
      <c r="H180" s="9"/>
      <c r="I180" s="9"/>
      <c r="J180" s="9"/>
      <c r="K180" s="9"/>
      <c r="L180" s="9"/>
      <c r="M180" s="9"/>
      <c r="N180" s="9"/>
      <c r="O180" s="9"/>
    </row>
    <row r="181">
      <c r="A181" s="9"/>
      <c r="B181" s="9"/>
      <c r="C181" s="9"/>
      <c r="D181" s="9"/>
      <c r="E181" s="9"/>
      <c r="F181" s="9"/>
      <c r="G181" s="59"/>
      <c r="H181" s="9"/>
      <c r="I181" s="9"/>
      <c r="J181" s="9"/>
      <c r="K181" s="9"/>
      <c r="L181" s="9"/>
      <c r="M181" s="9"/>
      <c r="N181" s="9"/>
      <c r="O181" s="9"/>
    </row>
    <row r="182">
      <c r="A182" s="9"/>
      <c r="B182" s="9"/>
      <c r="C182" s="9"/>
      <c r="D182" s="9"/>
      <c r="E182" s="9"/>
      <c r="F182" s="9"/>
      <c r="G182" s="59"/>
      <c r="H182" s="9"/>
      <c r="I182" s="9"/>
      <c r="J182" s="9"/>
      <c r="K182" s="9"/>
      <c r="L182" s="9"/>
      <c r="M182" s="9"/>
      <c r="N182" s="9"/>
      <c r="O182" s="9"/>
    </row>
    <row r="183">
      <c r="A183" s="9"/>
      <c r="B183" s="9"/>
      <c r="C183" s="9"/>
      <c r="D183" s="9"/>
      <c r="E183" s="9"/>
      <c r="F183" s="9"/>
      <c r="G183" s="59"/>
      <c r="H183" s="9"/>
      <c r="I183" s="9"/>
      <c r="J183" s="9"/>
      <c r="K183" s="9"/>
      <c r="L183" s="9"/>
      <c r="M183" s="9"/>
      <c r="N183" s="9"/>
      <c r="O183" s="9"/>
    </row>
    <row r="184">
      <c r="A184" s="9"/>
      <c r="B184" s="9"/>
      <c r="C184" s="9"/>
      <c r="D184" s="9"/>
      <c r="E184" s="9"/>
      <c r="F184" s="9"/>
      <c r="G184" s="59"/>
      <c r="H184" s="9"/>
      <c r="I184" s="9"/>
      <c r="J184" s="9"/>
      <c r="K184" s="9"/>
      <c r="L184" s="9"/>
      <c r="M184" s="9"/>
      <c r="N184" s="9"/>
      <c r="O184" s="9"/>
    </row>
    <row r="185">
      <c r="A185" s="9"/>
      <c r="B185" s="9"/>
      <c r="C185" s="9"/>
      <c r="D185" s="9"/>
      <c r="E185" s="9"/>
      <c r="F185" s="9"/>
      <c r="G185" s="59"/>
      <c r="H185" s="9"/>
      <c r="I185" s="9"/>
      <c r="J185" s="9"/>
      <c r="K185" s="9"/>
      <c r="L185" s="9"/>
      <c r="M185" s="9"/>
      <c r="N185" s="9"/>
      <c r="O185" s="9"/>
    </row>
    <row r="186">
      <c r="A186" s="9"/>
      <c r="B186" s="9"/>
      <c r="C186" s="9"/>
      <c r="D186" s="9"/>
      <c r="E186" s="9"/>
      <c r="F186" s="9"/>
      <c r="G186" s="59"/>
      <c r="H186" s="9"/>
      <c r="I186" s="9"/>
      <c r="J186" s="9"/>
      <c r="K186" s="9"/>
      <c r="L186" s="9"/>
      <c r="M186" s="9"/>
      <c r="N186" s="9"/>
      <c r="O186" s="9"/>
    </row>
    <row r="187">
      <c r="A187" s="9"/>
      <c r="B187" s="9"/>
      <c r="C187" s="9"/>
      <c r="D187" s="9"/>
      <c r="E187" s="9"/>
      <c r="F187" s="9"/>
      <c r="G187" s="59"/>
      <c r="H187" s="9"/>
      <c r="I187" s="9"/>
      <c r="J187" s="9"/>
      <c r="K187" s="9"/>
      <c r="L187" s="9"/>
      <c r="M187" s="9"/>
      <c r="N187" s="9"/>
      <c r="O187" s="9"/>
    </row>
    <row r="188">
      <c r="A188" s="9"/>
      <c r="B188" s="9"/>
      <c r="C188" s="9"/>
      <c r="D188" s="9"/>
      <c r="E188" s="9"/>
      <c r="F188" s="9"/>
      <c r="G188" s="59"/>
      <c r="H188" s="9"/>
      <c r="I188" s="9"/>
      <c r="J188" s="9"/>
      <c r="K188" s="9"/>
      <c r="L188" s="9"/>
      <c r="M188" s="9"/>
      <c r="N188" s="9"/>
      <c r="O188" s="9"/>
    </row>
    <row r="189">
      <c r="A189" s="9"/>
      <c r="B189" s="9"/>
      <c r="C189" s="9"/>
      <c r="D189" s="9"/>
      <c r="E189" s="9"/>
      <c r="F189" s="9"/>
      <c r="G189" s="59"/>
      <c r="H189" s="9"/>
      <c r="I189" s="9"/>
      <c r="J189" s="9"/>
      <c r="K189" s="9"/>
      <c r="L189" s="9"/>
      <c r="M189" s="9"/>
      <c r="N189" s="9"/>
      <c r="O189" s="9"/>
    </row>
    <row r="190">
      <c r="A190" s="9"/>
      <c r="B190" s="9"/>
      <c r="C190" s="9"/>
      <c r="D190" s="9"/>
      <c r="E190" s="9"/>
      <c r="F190" s="9"/>
      <c r="G190" s="59"/>
      <c r="H190" s="9"/>
      <c r="I190" s="9"/>
      <c r="J190" s="9"/>
      <c r="K190" s="9"/>
      <c r="L190" s="9"/>
      <c r="M190" s="9"/>
      <c r="N190" s="9"/>
      <c r="O190" s="9"/>
    </row>
    <row r="191">
      <c r="A191" s="9"/>
      <c r="B191" s="9"/>
      <c r="C191" s="9"/>
      <c r="D191" s="9"/>
      <c r="E191" s="9"/>
      <c r="F191" s="9"/>
      <c r="G191" s="59"/>
      <c r="H191" s="9"/>
      <c r="I191" s="9"/>
      <c r="J191" s="9"/>
      <c r="K191" s="9"/>
      <c r="L191" s="9"/>
      <c r="M191" s="9"/>
      <c r="N191" s="9"/>
      <c r="O191" s="9"/>
    </row>
    <row r="192">
      <c r="A192" s="9"/>
      <c r="B192" s="9"/>
      <c r="C192" s="9"/>
      <c r="D192" s="9"/>
      <c r="E192" s="9"/>
      <c r="F192" s="9"/>
      <c r="G192" s="59"/>
      <c r="H192" s="9"/>
      <c r="I192" s="9"/>
      <c r="J192" s="9"/>
      <c r="K192" s="9"/>
      <c r="L192" s="9"/>
      <c r="M192" s="9"/>
      <c r="N192" s="9"/>
      <c r="O192" s="9"/>
    </row>
    <row r="193">
      <c r="A193" s="9"/>
      <c r="B193" s="9"/>
      <c r="C193" s="9"/>
      <c r="D193" s="9"/>
      <c r="E193" s="9"/>
      <c r="F193" s="9"/>
      <c r="G193" s="59"/>
      <c r="H193" s="9"/>
      <c r="I193" s="9"/>
      <c r="J193" s="9"/>
      <c r="K193" s="9"/>
      <c r="L193" s="9"/>
      <c r="M193" s="9"/>
      <c r="N193" s="9"/>
      <c r="O193" s="9"/>
    </row>
    <row r="194">
      <c r="A194" s="9"/>
      <c r="B194" s="9"/>
      <c r="C194" s="9"/>
      <c r="D194" s="9"/>
      <c r="E194" s="9"/>
      <c r="F194" s="9"/>
      <c r="G194" s="59"/>
      <c r="H194" s="9"/>
      <c r="I194" s="9"/>
      <c r="J194" s="9"/>
      <c r="K194" s="9"/>
      <c r="L194" s="9"/>
      <c r="M194" s="9"/>
      <c r="N194" s="9"/>
      <c r="O194" s="9"/>
    </row>
    <row r="195">
      <c r="A195" s="9"/>
      <c r="B195" s="9"/>
      <c r="C195" s="9"/>
      <c r="D195" s="9"/>
      <c r="E195" s="9"/>
      <c r="F195" s="9"/>
      <c r="G195" s="59"/>
      <c r="H195" s="9"/>
      <c r="I195" s="9"/>
      <c r="J195" s="9"/>
      <c r="K195" s="9"/>
      <c r="L195" s="9"/>
      <c r="M195" s="9"/>
      <c r="N195" s="9"/>
      <c r="O195" s="9"/>
    </row>
    <row r="196">
      <c r="A196" s="9"/>
      <c r="B196" s="9"/>
      <c r="C196" s="9"/>
      <c r="D196" s="9"/>
      <c r="E196" s="9"/>
      <c r="F196" s="9"/>
      <c r="G196" s="59"/>
      <c r="H196" s="9"/>
      <c r="I196" s="9"/>
      <c r="J196" s="9"/>
      <c r="K196" s="9"/>
      <c r="L196" s="9"/>
      <c r="M196" s="9"/>
      <c r="N196" s="9"/>
      <c r="O196" s="9"/>
    </row>
    <row r="197">
      <c r="A197" s="9"/>
      <c r="B197" s="9"/>
      <c r="C197" s="9"/>
      <c r="D197" s="9"/>
      <c r="E197" s="9"/>
      <c r="F197" s="9"/>
      <c r="G197" s="59"/>
      <c r="H197" s="9"/>
      <c r="I197" s="9"/>
      <c r="J197" s="9"/>
      <c r="K197" s="9"/>
      <c r="L197" s="9"/>
      <c r="M197" s="9"/>
      <c r="N197" s="9"/>
      <c r="O197" s="9"/>
    </row>
    <row r="198">
      <c r="A198" s="9"/>
      <c r="B198" s="9"/>
      <c r="C198" s="9"/>
      <c r="D198" s="9"/>
      <c r="E198" s="9"/>
      <c r="F198" s="9"/>
      <c r="G198" s="59"/>
      <c r="H198" s="9"/>
      <c r="I198" s="9"/>
      <c r="J198" s="9"/>
      <c r="K198" s="9"/>
      <c r="L198" s="9"/>
      <c r="M198" s="9"/>
      <c r="N198" s="9"/>
      <c r="O198" s="9"/>
    </row>
    <row r="199">
      <c r="A199" s="9"/>
      <c r="B199" s="9"/>
      <c r="C199" s="9"/>
      <c r="D199" s="9"/>
      <c r="E199" s="9"/>
      <c r="F199" s="9"/>
      <c r="G199" s="59"/>
      <c r="H199" s="9"/>
      <c r="I199" s="9"/>
      <c r="J199" s="9"/>
      <c r="K199" s="9"/>
      <c r="L199" s="9"/>
      <c r="M199" s="9"/>
      <c r="N199" s="9"/>
      <c r="O199" s="9"/>
    </row>
    <row r="200">
      <c r="A200" s="9"/>
      <c r="B200" s="9"/>
      <c r="C200" s="9"/>
      <c r="D200" s="9"/>
      <c r="E200" s="9"/>
      <c r="F200" s="9"/>
      <c r="G200" s="59"/>
      <c r="H200" s="9"/>
      <c r="I200" s="9"/>
      <c r="J200" s="9"/>
      <c r="K200" s="9"/>
      <c r="L200" s="9"/>
      <c r="M200" s="9"/>
      <c r="N200" s="9"/>
      <c r="O200" s="9"/>
    </row>
    <row r="201">
      <c r="A201" s="9"/>
      <c r="B201" s="9"/>
      <c r="C201" s="9"/>
      <c r="D201" s="9"/>
      <c r="E201" s="9"/>
      <c r="F201" s="9"/>
      <c r="G201" s="59"/>
      <c r="H201" s="9"/>
      <c r="I201" s="9"/>
      <c r="J201" s="9"/>
      <c r="K201" s="9"/>
      <c r="L201" s="9"/>
      <c r="M201" s="9"/>
      <c r="N201" s="9"/>
      <c r="O201" s="9"/>
    </row>
    <row r="202">
      <c r="A202" s="9"/>
      <c r="B202" s="9"/>
      <c r="C202" s="9"/>
      <c r="D202" s="9"/>
      <c r="E202" s="9"/>
      <c r="F202" s="9"/>
      <c r="G202" s="59"/>
      <c r="H202" s="9"/>
      <c r="I202" s="9"/>
      <c r="J202" s="9"/>
      <c r="K202" s="9"/>
      <c r="L202" s="9"/>
      <c r="M202" s="9"/>
      <c r="N202" s="9"/>
      <c r="O202" s="9"/>
    </row>
    <row r="203">
      <c r="A203" s="9"/>
      <c r="B203" s="9"/>
      <c r="C203" s="9"/>
      <c r="D203" s="9"/>
      <c r="E203" s="9"/>
      <c r="F203" s="9"/>
      <c r="G203" s="59"/>
      <c r="H203" s="9"/>
      <c r="I203" s="9"/>
      <c r="J203" s="9"/>
      <c r="K203" s="9"/>
      <c r="L203" s="9"/>
      <c r="M203" s="9"/>
      <c r="N203" s="9"/>
      <c r="O203" s="9"/>
    </row>
    <row r="204">
      <c r="A204" s="9"/>
      <c r="B204" s="9"/>
      <c r="C204" s="9"/>
      <c r="D204" s="9"/>
      <c r="E204" s="9"/>
      <c r="F204" s="9"/>
      <c r="G204" s="59"/>
      <c r="H204" s="9"/>
      <c r="I204" s="9"/>
      <c r="J204" s="9"/>
      <c r="K204" s="9"/>
      <c r="L204" s="9"/>
      <c r="M204" s="9"/>
      <c r="N204" s="9"/>
      <c r="O204" s="9"/>
    </row>
    <row r="205">
      <c r="A205" s="9"/>
      <c r="B205" s="9"/>
      <c r="C205" s="9"/>
      <c r="D205" s="9"/>
      <c r="E205" s="9"/>
      <c r="F205" s="9"/>
      <c r="G205" s="59"/>
      <c r="H205" s="9"/>
      <c r="I205" s="9"/>
      <c r="J205" s="9"/>
      <c r="K205" s="9"/>
      <c r="L205" s="9"/>
      <c r="M205" s="9"/>
      <c r="N205" s="9"/>
      <c r="O205" s="9"/>
    </row>
    <row r="206">
      <c r="A206" s="9"/>
      <c r="B206" s="9"/>
      <c r="C206" s="9"/>
      <c r="D206" s="9"/>
      <c r="E206" s="9"/>
      <c r="F206" s="9"/>
      <c r="G206" s="59"/>
      <c r="H206" s="9"/>
      <c r="I206" s="9"/>
      <c r="J206" s="9"/>
      <c r="K206" s="9"/>
      <c r="L206" s="9"/>
      <c r="M206" s="9"/>
      <c r="N206" s="9"/>
      <c r="O206" s="9"/>
    </row>
    <row r="207">
      <c r="A207" s="9"/>
      <c r="B207" s="9"/>
      <c r="C207" s="9"/>
      <c r="D207" s="9"/>
      <c r="E207" s="9"/>
      <c r="F207" s="9"/>
      <c r="G207" s="59"/>
      <c r="H207" s="9"/>
      <c r="I207" s="9"/>
      <c r="J207" s="9"/>
      <c r="K207" s="9"/>
      <c r="L207" s="9"/>
      <c r="M207" s="9"/>
      <c r="N207" s="9"/>
      <c r="O207" s="9"/>
    </row>
    <row r="208">
      <c r="A208" s="9"/>
      <c r="B208" s="9"/>
      <c r="C208" s="9"/>
      <c r="D208" s="9"/>
      <c r="E208" s="9"/>
      <c r="F208" s="9"/>
      <c r="G208" s="59"/>
      <c r="H208" s="9"/>
      <c r="I208" s="9"/>
      <c r="J208" s="9"/>
      <c r="K208" s="9"/>
      <c r="L208" s="9"/>
      <c r="M208" s="9"/>
      <c r="N208" s="9"/>
      <c r="O208" s="9"/>
    </row>
    <row r="209">
      <c r="A209" s="9"/>
      <c r="B209" s="9"/>
      <c r="C209" s="9"/>
      <c r="D209" s="9"/>
      <c r="E209" s="9"/>
      <c r="F209" s="9"/>
      <c r="G209" s="59"/>
      <c r="H209" s="9"/>
      <c r="I209" s="9"/>
      <c r="J209" s="9"/>
      <c r="K209" s="9"/>
      <c r="L209" s="9"/>
      <c r="M209" s="9"/>
      <c r="N209" s="9"/>
      <c r="O209" s="9"/>
    </row>
    <row r="210">
      <c r="A210" s="9"/>
      <c r="B210" s="9"/>
      <c r="C210" s="9"/>
      <c r="D210" s="9"/>
      <c r="E210" s="9"/>
      <c r="F210" s="9"/>
      <c r="G210" s="59"/>
      <c r="H210" s="9"/>
      <c r="I210" s="9"/>
      <c r="J210" s="9"/>
      <c r="K210" s="9"/>
      <c r="L210" s="9"/>
      <c r="M210" s="9"/>
      <c r="N210" s="9"/>
      <c r="O210" s="9"/>
    </row>
    <row r="211">
      <c r="A211" s="9"/>
      <c r="B211" s="9"/>
      <c r="C211" s="9"/>
      <c r="D211" s="9"/>
      <c r="E211" s="9"/>
      <c r="F211" s="9"/>
      <c r="G211" s="59"/>
      <c r="H211" s="9"/>
      <c r="I211" s="9"/>
      <c r="J211" s="9"/>
      <c r="K211" s="9"/>
      <c r="L211" s="9"/>
      <c r="M211" s="9"/>
      <c r="N211" s="9"/>
      <c r="O211" s="9"/>
    </row>
    <row r="212">
      <c r="A212" s="9"/>
      <c r="B212" s="9"/>
      <c r="C212" s="9"/>
      <c r="D212" s="9"/>
      <c r="E212" s="9"/>
      <c r="F212" s="9"/>
      <c r="G212" s="59"/>
      <c r="H212" s="9"/>
      <c r="I212" s="9"/>
      <c r="J212" s="9"/>
      <c r="K212" s="9"/>
      <c r="L212" s="9"/>
      <c r="M212" s="9"/>
      <c r="N212" s="9"/>
      <c r="O212" s="9"/>
    </row>
    <row r="213">
      <c r="A213" s="9"/>
      <c r="B213" s="9"/>
      <c r="C213" s="9"/>
      <c r="D213" s="9"/>
      <c r="E213" s="9"/>
      <c r="F213" s="9"/>
      <c r="G213" s="59"/>
      <c r="H213" s="9"/>
      <c r="I213" s="9"/>
      <c r="J213" s="9"/>
      <c r="K213" s="9"/>
      <c r="L213" s="9"/>
      <c r="M213" s="9"/>
      <c r="N213" s="9"/>
      <c r="O213" s="9"/>
    </row>
    <row r="214">
      <c r="A214" s="9"/>
      <c r="B214" s="9"/>
      <c r="C214" s="9"/>
      <c r="D214" s="9"/>
      <c r="E214" s="9"/>
      <c r="F214" s="9"/>
      <c r="G214" s="59"/>
      <c r="H214" s="9"/>
      <c r="I214" s="9"/>
      <c r="J214" s="9"/>
      <c r="K214" s="9"/>
      <c r="L214" s="9"/>
      <c r="M214" s="9"/>
      <c r="N214" s="9"/>
      <c r="O214" s="9"/>
    </row>
    <row r="215">
      <c r="A215" s="9"/>
      <c r="B215" s="9"/>
      <c r="C215" s="9"/>
      <c r="D215" s="9"/>
      <c r="E215" s="9"/>
      <c r="F215" s="9"/>
      <c r="G215" s="59"/>
      <c r="H215" s="9"/>
      <c r="I215" s="9"/>
      <c r="J215" s="9"/>
      <c r="K215" s="9"/>
      <c r="L215" s="9"/>
      <c r="M215" s="9"/>
      <c r="N215" s="9"/>
      <c r="O215" s="9"/>
    </row>
    <row r="216">
      <c r="A216" s="9"/>
      <c r="B216" s="9"/>
      <c r="C216" s="9"/>
      <c r="D216" s="9"/>
      <c r="E216" s="9"/>
      <c r="F216" s="9"/>
      <c r="G216" s="59"/>
      <c r="H216" s="9"/>
      <c r="I216" s="9"/>
      <c r="J216" s="9"/>
      <c r="K216" s="9"/>
      <c r="L216" s="9"/>
      <c r="M216" s="9"/>
      <c r="N216" s="9"/>
      <c r="O216" s="9"/>
    </row>
    <row r="217">
      <c r="A217" s="9"/>
      <c r="B217" s="9"/>
      <c r="C217" s="9"/>
      <c r="D217" s="9"/>
      <c r="E217" s="9"/>
      <c r="F217" s="9"/>
      <c r="G217" s="59"/>
      <c r="H217" s="9"/>
      <c r="I217" s="9"/>
      <c r="J217" s="9"/>
      <c r="K217" s="9"/>
      <c r="L217" s="9"/>
      <c r="M217" s="9"/>
      <c r="N217" s="9"/>
      <c r="O217" s="9"/>
    </row>
    <row r="218">
      <c r="A218" s="9"/>
      <c r="B218" s="9"/>
      <c r="C218" s="9"/>
      <c r="D218" s="9"/>
      <c r="E218" s="9"/>
      <c r="F218" s="9"/>
      <c r="G218" s="59"/>
      <c r="H218" s="9"/>
      <c r="I218" s="9"/>
      <c r="J218" s="9"/>
      <c r="K218" s="9"/>
      <c r="L218" s="9"/>
      <c r="M218" s="9"/>
      <c r="N218" s="9"/>
      <c r="O218" s="9"/>
    </row>
    <row r="219">
      <c r="A219" s="9"/>
      <c r="B219" s="9"/>
      <c r="C219" s="9"/>
      <c r="D219" s="9"/>
      <c r="E219" s="9"/>
      <c r="F219" s="9"/>
      <c r="G219" s="59"/>
      <c r="H219" s="9"/>
      <c r="I219" s="9"/>
      <c r="J219" s="9"/>
      <c r="K219" s="9"/>
      <c r="L219" s="9"/>
      <c r="M219" s="9"/>
      <c r="N219" s="9"/>
      <c r="O219" s="9"/>
    </row>
    <row r="220">
      <c r="A220" s="9"/>
      <c r="B220" s="9"/>
      <c r="C220" s="9"/>
      <c r="D220" s="9"/>
      <c r="E220" s="9"/>
      <c r="F220" s="9"/>
      <c r="G220" s="59"/>
      <c r="H220" s="9"/>
      <c r="I220" s="9"/>
      <c r="J220" s="9"/>
      <c r="K220" s="9"/>
      <c r="L220" s="9"/>
      <c r="M220" s="9"/>
      <c r="N220" s="9"/>
      <c r="O220" s="9"/>
    </row>
    <row r="221">
      <c r="A221" s="9"/>
      <c r="B221" s="9"/>
      <c r="C221" s="9"/>
      <c r="D221" s="9"/>
      <c r="E221" s="9"/>
      <c r="F221" s="9"/>
      <c r="G221" s="59"/>
      <c r="H221" s="9"/>
      <c r="I221" s="9"/>
      <c r="J221" s="9"/>
      <c r="K221" s="9"/>
      <c r="L221" s="9"/>
      <c r="M221" s="9"/>
      <c r="N221" s="9"/>
      <c r="O221" s="9"/>
    </row>
    <row r="222">
      <c r="A222" s="9"/>
      <c r="B222" s="9"/>
      <c r="C222" s="9"/>
      <c r="D222" s="9"/>
      <c r="E222" s="9"/>
      <c r="F222" s="9"/>
      <c r="G222" s="59"/>
      <c r="H222" s="9"/>
      <c r="I222" s="9"/>
      <c r="J222" s="9"/>
      <c r="K222" s="9"/>
      <c r="L222" s="9"/>
      <c r="M222" s="9"/>
      <c r="N222" s="9"/>
      <c r="O222" s="9"/>
    </row>
    <row r="223">
      <c r="A223" s="9"/>
      <c r="B223" s="9"/>
      <c r="C223" s="9"/>
      <c r="D223" s="9"/>
      <c r="E223" s="9"/>
      <c r="F223" s="9"/>
      <c r="G223" s="59"/>
      <c r="H223" s="9"/>
      <c r="I223" s="9"/>
      <c r="J223" s="9"/>
      <c r="K223" s="9"/>
      <c r="L223" s="9"/>
      <c r="M223" s="9"/>
      <c r="N223" s="9"/>
      <c r="O223" s="9"/>
    </row>
    <row r="224">
      <c r="A224" s="9"/>
      <c r="B224" s="9"/>
      <c r="C224" s="9"/>
      <c r="D224" s="9"/>
      <c r="E224" s="9"/>
      <c r="F224" s="9"/>
      <c r="G224" s="59"/>
      <c r="H224" s="9"/>
      <c r="I224" s="9"/>
      <c r="J224" s="9"/>
      <c r="K224" s="9"/>
      <c r="L224" s="9"/>
      <c r="M224" s="9"/>
      <c r="N224" s="9"/>
      <c r="O224" s="9"/>
    </row>
    <row r="225">
      <c r="A225" s="9"/>
      <c r="B225" s="9"/>
      <c r="C225" s="9"/>
      <c r="D225" s="9"/>
      <c r="E225" s="9"/>
      <c r="F225" s="9"/>
      <c r="G225" s="59"/>
      <c r="H225" s="9"/>
      <c r="I225" s="9"/>
      <c r="J225" s="9"/>
      <c r="K225" s="9"/>
      <c r="L225" s="9"/>
      <c r="M225" s="9"/>
      <c r="N225" s="9"/>
      <c r="O225" s="9"/>
    </row>
    <row r="226">
      <c r="A226" s="9"/>
      <c r="B226" s="9"/>
      <c r="C226" s="9"/>
      <c r="D226" s="9"/>
      <c r="E226" s="9"/>
      <c r="F226" s="9"/>
      <c r="G226" s="59"/>
      <c r="H226" s="9"/>
      <c r="I226" s="9"/>
      <c r="J226" s="9"/>
      <c r="K226" s="9"/>
      <c r="L226" s="9"/>
      <c r="M226" s="9"/>
      <c r="N226" s="9"/>
      <c r="O226" s="9"/>
    </row>
    <row r="227">
      <c r="A227" s="9"/>
      <c r="B227" s="9"/>
      <c r="C227" s="9"/>
      <c r="D227" s="9"/>
      <c r="E227" s="9"/>
      <c r="F227" s="9"/>
      <c r="G227" s="59"/>
      <c r="H227" s="9"/>
      <c r="I227" s="9"/>
      <c r="J227" s="9"/>
      <c r="K227" s="9"/>
      <c r="L227" s="9"/>
      <c r="M227" s="9"/>
      <c r="N227" s="9"/>
      <c r="O227" s="9"/>
    </row>
    <row r="228">
      <c r="A228" s="9"/>
      <c r="B228" s="9"/>
      <c r="C228" s="9"/>
      <c r="D228" s="9"/>
      <c r="E228" s="9"/>
      <c r="F228" s="9"/>
      <c r="G228" s="59"/>
      <c r="H228" s="9"/>
      <c r="I228" s="9"/>
      <c r="J228" s="9"/>
      <c r="K228" s="9"/>
      <c r="L228" s="9"/>
      <c r="M228" s="9"/>
      <c r="N228" s="9"/>
      <c r="O228" s="9"/>
    </row>
    <row r="229">
      <c r="A229" s="9"/>
      <c r="B229" s="9"/>
      <c r="C229" s="9"/>
      <c r="D229" s="9"/>
      <c r="E229" s="9"/>
      <c r="F229" s="9"/>
      <c r="G229" s="59"/>
      <c r="H229" s="9"/>
      <c r="I229" s="9"/>
      <c r="J229" s="9"/>
      <c r="K229" s="9"/>
      <c r="L229" s="9"/>
      <c r="M229" s="9"/>
      <c r="N229" s="9"/>
      <c r="O229" s="9"/>
    </row>
    <row r="230">
      <c r="A230" s="9"/>
      <c r="B230" s="9"/>
      <c r="C230" s="9"/>
      <c r="D230" s="9"/>
      <c r="E230" s="9"/>
      <c r="F230" s="9"/>
      <c r="G230" s="59"/>
      <c r="H230" s="9"/>
      <c r="I230" s="9"/>
      <c r="J230" s="9"/>
      <c r="K230" s="9"/>
      <c r="L230" s="9"/>
      <c r="M230" s="9"/>
      <c r="N230" s="9"/>
      <c r="O230" s="9"/>
    </row>
    <row r="231">
      <c r="A231" s="9"/>
      <c r="B231" s="9"/>
      <c r="C231" s="9"/>
      <c r="D231" s="9"/>
      <c r="E231" s="9"/>
      <c r="F231" s="9"/>
      <c r="G231" s="59"/>
      <c r="H231" s="9"/>
      <c r="I231" s="9"/>
      <c r="J231" s="9"/>
      <c r="K231" s="9"/>
      <c r="L231" s="9"/>
      <c r="M231" s="9"/>
      <c r="N231" s="9"/>
      <c r="O231" s="9"/>
    </row>
    <row r="232">
      <c r="A232" s="9"/>
      <c r="B232" s="9"/>
      <c r="C232" s="9"/>
      <c r="D232" s="9"/>
      <c r="E232" s="9"/>
      <c r="F232" s="9"/>
      <c r="G232" s="59"/>
      <c r="H232" s="9"/>
      <c r="I232" s="9"/>
      <c r="J232" s="9"/>
      <c r="K232" s="9"/>
      <c r="L232" s="9"/>
      <c r="M232" s="9"/>
      <c r="N232" s="9"/>
      <c r="O232" s="9"/>
    </row>
    <row r="233">
      <c r="A233" s="9"/>
      <c r="B233" s="9"/>
      <c r="C233" s="9"/>
      <c r="D233" s="9"/>
      <c r="E233" s="9"/>
      <c r="F233" s="9"/>
      <c r="G233" s="59"/>
      <c r="H233" s="9"/>
      <c r="I233" s="9"/>
      <c r="J233" s="9"/>
      <c r="K233" s="9"/>
      <c r="L233" s="9"/>
      <c r="M233" s="9"/>
      <c r="N233" s="9"/>
      <c r="O233" s="9"/>
    </row>
    <row r="234">
      <c r="A234" s="9"/>
      <c r="B234" s="9"/>
      <c r="C234" s="9"/>
      <c r="D234" s="9"/>
      <c r="E234" s="9"/>
      <c r="F234" s="9"/>
      <c r="G234" s="59"/>
      <c r="H234" s="9"/>
      <c r="I234" s="9"/>
      <c r="J234" s="9"/>
      <c r="K234" s="9"/>
      <c r="L234" s="9"/>
      <c r="M234" s="9"/>
      <c r="N234" s="9"/>
      <c r="O234" s="9"/>
    </row>
    <row r="235">
      <c r="A235" s="9"/>
      <c r="B235" s="9"/>
      <c r="C235" s="9"/>
      <c r="D235" s="9"/>
      <c r="E235" s="9"/>
      <c r="F235" s="9"/>
      <c r="G235" s="59"/>
      <c r="H235" s="9"/>
      <c r="I235" s="9"/>
      <c r="J235" s="9"/>
      <c r="K235" s="9"/>
      <c r="L235" s="9"/>
      <c r="M235" s="9"/>
      <c r="N235" s="9"/>
      <c r="O235" s="9"/>
    </row>
    <row r="236">
      <c r="A236" s="9"/>
      <c r="B236" s="9"/>
      <c r="C236" s="9"/>
      <c r="D236" s="9"/>
      <c r="E236" s="9"/>
      <c r="F236" s="9"/>
      <c r="G236" s="59"/>
      <c r="H236" s="9"/>
      <c r="I236" s="9"/>
      <c r="J236" s="9"/>
      <c r="K236" s="9"/>
      <c r="L236" s="9"/>
      <c r="M236" s="9"/>
      <c r="N236" s="9"/>
      <c r="O236" s="9"/>
    </row>
    <row r="237">
      <c r="A237" s="9"/>
      <c r="B237" s="9"/>
      <c r="C237" s="9"/>
      <c r="D237" s="9"/>
      <c r="E237" s="9"/>
      <c r="F237" s="9"/>
      <c r="G237" s="59"/>
      <c r="H237" s="9"/>
      <c r="I237" s="9"/>
      <c r="J237" s="9"/>
      <c r="K237" s="9"/>
      <c r="L237" s="9"/>
      <c r="M237" s="9"/>
      <c r="N237" s="9"/>
      <c r="O237" s="9"/>
    </row>
    <row r="238">
      <c r="A238" s="9"/>
      <c r="B238" s="9"/>
      <c r="C238" s="9"/>
      <c r="D238" s="9"/>
      <c r="E238" s="9"/>
      <c r="F238" s="9"/>
      <c r="G238" s="59"/>
      <c r="H238" s="9"/>
      <c r="I238" s="9"/>
      <c r="J238" s="9"/>
      <c r="K238" s="9"/>
      <c r="L238" s="9"/>
      <c r="M238" s="9"/>
      <c r="N238" s="9"/>
      <c r="O238" s="9"/>
    </row>
    <row r="239">
      <c r="A239" s="9"/>
      <c r="B239" s="9"/>
      <c r="C239" s="9"/>
      <c r="D239" s="9"/>
      <c r="E239" s="9"/>
      <c r="F239" s="9"/>
      <c r="G239" s="59"/>
      <c r="H239" s="9"/>
      <c r="I239" s="9"/>
      <c r="J239" s="9"/>
      <c r="K239" s="9"/>
      <c r="L239" s="9"/>
      <c r="M239" s="9"/>
      <c r="N239" s="9"/>
      <c r="O239" s="9"/>
    </row>
    <row r="240">
      <c r="A240" s="9"/>
      <c r="B240" s="9"/>
      <c r="C240" s="9"/>
      <c r="D240" s="9"/>
      <c r="E240" s="9"/>
      <c r="F240" s="9"/>
      <c r="G240" s="59"/>
      <c r="H240" s="9"/>
      <c r="I240" s="9"/>
      <c r="J240" s="9"/>
      <c r="K240" s="9"/>
      <c r="L240" s="9"/>
      <c r="M240" s="9"/>
      <c r="N240" s="9"/>
      <c r="O240" s="9"/>
    </row>
    <row r="241">
      <c r="A241" s="9"/>
      <c r="B241" s="9"/>
      <c r="C241" s="9"/>
      <c r="D241" s="9"/>
      <c r="E241" s="9"/>
      <c r="F241" s="9"/>
      <c r="G241" s="59"/>
      <c r="H241" s="9"/>
      <c r="I241" s="9"/>
      <c r="J241" s="9"/>
      <c r="K241" s="9"/>
      <c r="L241" s="9"/>
      <c r="M241" s="9"/>
      <c r="N241" s="9"/>
      <c r="O241" s="9"/>
    </row>
    <row r="242">
      <c r="A242" s="9"/>
      <c r="B242" s="9"/>
      <c r="C242" s="9"/>
      <c r="D242" s="9"/>
      <c r="E242" s="9"/>
      <c r="F242" s="9"/>
      <c r="G242" s="59"/>
      <c r="H242" s="9"/>
      <c r="I242" s="9"/>
      <c r="J242" s="9"/>
      <c r="K242" s="9"/>
      <c r="L242" s="9"/>
      <c r="M242" s="9"/>
      <c r="N242" s="9"/>
      <c r="O242" s="9"/>
    </row>
    <row r="243">
      <c r="A243" s="9"/>
      <c r="B243" s="9"/>
      <c r="C243" s="9"/>
      <c r="D243" s="9"/>
      <c r="E243" s="9"/>
      <c r="F243" s="9"/>
      <c r="G243" s="59"/>
      <c r="H243" s="9"/>
      <c r="I243" s="9"/>
      <c r="J243" s="9"/>
      <c r="K243" s="9"/>
      <c r="L243" s="9"/>
      <c r="M243" s="9"/>
      <c r="N243" s="9"/>
      <c r="O243" s="9"/>
    </row>
    <row r="244">
      <c r="A244" s="9"/>
      <c r="B244" s="9"/>
      <c r="C244" s="9"/>
      <c r="D244" s="9"/>
      <c r="E244" s="9"/>
      <c r="F244" s="9"/>
      <c r="G244" s="59"/>
      <c r="H244" s="9"/>
      <c r="I244" s="9"/>
      <c r="J244" s="9"/>
      <c r="K244" s="9"/>
      <c r="L244" s="9"/>
      <c r="M244" s="9"/>
      <c r="N244" s="9"/>
      <c r="O244" s="9"/>
    </row>
    <row r="245">
      <c r="A245" s="9"/>
      <c r="B245" s="9"/>
      <c r="C245" s="9"/>
      <c r="D245" s="9"/>
      <c r="E245" s="9"/>
      <c r="F245" s="9"/>
      <c r="G245" s="59"/>
      <c r="H245" s="9"/>
      <c r="I245" s="9"/>
      <c r="J245" s="9"/>
      <c r="K245" s="9"/>
      <c r="L245" s="9"/>
      <c r="M245" s="9"/>
      <c r="N245" s="9"/>
      <c r="O245" s="9"/>
    </row>
    <row r="246">
      <c r="A246" s="9"/>
      <c r="B246" s="9"/>
      <c r="C246" s="9"/>
      <c r="D246" s="9"/>
      <c r="E246" s="9"/>
      <c r="F246" s="9"/>
      <c r="G246" s="59"/>
      <c r="H246" s="9"/>
      <c r="I246" s="9"/>
      <c r="J246" s="9"/>
      <c r="K246" s="9"/>
      <c r="L246" s="9"/>
      <c r="M246" s="9"/>
      <c r="N246" s="9"/>
      <c r="O246" s="9"/>
    </row>
    <row r="247">
      <c r="A247" s="9"/>
      <c r="B247" s="9"/>
      <c r="C247" s="9"/>
      <c r="D247" s="9"/>
      <c r="E247" s="9"/>
      <c r="F247" s="9"/>
      <c r="G247" s="59"/>
      <c r="H247" s="9"/>
      <c r="I247" s="9"/>
      <c r="J247" s="9"/>
      <c r="K247" s="9"/>
      <c r="L247" s="9"/>
      <c r="M247" s="9"/>
      <c r="N247" s="9"/>
      <c r="O247" s="9"/>
    </row>
    <row r="248">
      <c r="A248" s="9"/>
      <c r="B248" s="9"/>
      <c r="C248" s="9"/>
      <c r="D248" s="9"/>
      <c r="E248" s="9"/>
      <c r="F248" s="9"/>
      <c r="G248" s="59"/>
      <c r="H248" s="9"/>
      <c r="I248" s="9"/>
      <c r="J248" s="9"/>
      <c r="K248" s="9"/>
      <c r="L248" s="9"/>
      <c r="M248" s="9"/>
      <c r="N248" s="9"/>
      <c r="O248" s="9"/>
    </row>
    <row r="249">
      <c r="A249" s="9"/>
      <c r="B249" s="9"/>
      <c r="C249" s="9"/>
      <c r="D249" s="9"/>
      <c r="E249" s="9"/>
      <c r="F249" s="9"/>
      <c r="G249" s="59"/>
      <c r="H249" s="9"/>
      <c r="I249" s="9"/>
      <c r="J249" s="9"/>
      <c r="K249" s="9"/>
      <c r="L249" s="9"/>
      <c r="M249" s="9"/>
      <c r="N249" s="9"/>
      <c r="O249" s="9"/>
    </row>
    <row r="250">
      <c r="A250" s="9"/>
      <c r="B250" s="9"/>
      <c r="C250" s="9"/>
      <c r="D250" s="9"/>
      <c r="E250" s="9"/>
      <c r="F250" s="9"/>
      <c r="G250" s="59"/>
      <c r="H250" s="9"/>
      <c r="I250" s="9"/>
      <c r="J250" s="9"/>
      <c r="K250" s="9"/>
      <c r="L250" s="9"/>
      <c r="M250" s="9"/>
      <c r="N250" s="9"/>
      <c r="O250" s="9"/>
    </row>
    <row r="251">
      <c r="A251" s="9"/>
      <c r="B251" s="9"/>
      <c r="C251" s="9"/>
      <c r="D251" s="9"/>
      <c r="E251" s="9"/>
      <c r="F251" s="9"/>
      <c r="G251" s="59"/>
      <c r="H251" s="9"/>
      <c r="I251" s="9"/>
      <c r="J251" s="9"/>
      <c r="K251" s="9"/>
      <c r="L251" s="9"/>
      <c r="M251" s="9"/>
      <c r="N251" s="9"/>
      <c r="O251" s="9"/>
    </row>
    <row r="252">
      <c r="A252" s="9"/>
      <c r="B252" s="9"/>
      <c r="C252" s="9"/>
      <c r="D252" s="9"/>
      <c r="E252" s="9"/>
      <c r="F252" s="9"/>
      <c r="G252" s="59"/>
      <c r="H252" s="9"/>
      <c r="I252" s="9"/>
      <c r="J252" s="9"/>
      <c r="K252" s="9"/>
      <c r="L252" s="9"/>
      <c r="M252" s="9"/>
      <c r="N252" s="9"/>
      <c r="O252" s="9"/>
    </row>
    <row r="253">
      <c r="A253" s="9"/>
      <c r="B253" s="9"/>
      <c r="C253" s="9"/>
      <c r="D253" s="9"/>
      <c r="E253" s="9"/>
      <c r="F253" s="9"/>
      <c r="G253" s="59"/>
      <c r="H253" s="9"/>
      <c r="I253" s="9"/>
      <c r="J253" s="9"/>
      <c r="K253" s="9"/>
      <c r="L253" s="9"/>
      <c r="M253" s="9"/>
      <c r="N253" s="9"/>
      <c r="O253" s="9"/>
    </row>
    <row r="254">
      <c r="A254" s="9"/>
      <c r="B254" s="9"/>
      <c r="C254" s="9"/>
      <c r="D254" s="9"/>
      <c r="E254" s="9"/>
      <c r="F254" s="9"/>
      <c r="G254" s="59"/>
      <c r="H254" s="9"/>
      <c r="I254" s="9"/>
      <c r="J254" s="9"/>
      <c r="K254" s="9"/>
      <c r="L254" s="9"/>
      <c r="M254" s="9"/>
      <c r="N254" s="9"/>
      <c r="O254" s="9"/>
    </row>
    <row r="255">
      <c r="A255" s="9"/>
      <c r="B255" s="9"/>
      <c r="C255" s="9"/>
      <c r="D255" s="9"/>
      <c r="E255" s="9"/>
      <c r="F255" s="9"/>
      <c r="G255" s="59"/>
      <c r="H255" s="9"/>
      <c r="I255" s="9"/>
      <c r="J255" s="9"/>
      <c r="K255" s="9"/>
      <c r="L255" s="9"/>
      <c r="M255" s="9"/>
      <c r="N255" s="9"/>
      <c r="O255" s="9"/>
    </row>
    <row r="256">
      <c r="A256" s="9"/>
      <c r="B256" s="9"/>
      <c r="C256" s="9"/>
      <c r="D256" s="9"/>
      <c r="E256" s="9"/>
      <c r="F256" s="9"/>
      <c r="G256" s="59"/>
      <c r="H256" s="9"/>
      <c r="I256" s="9"/>
      <c r="J256" s="9"/>
      <c r="K256" s="9"/>
      <c r="L256" s="9"/>
      <c r="M256" s="9"/>
      <c r="N256" s="9"/>
      <c r="O256" s="9"/>
    </row>
    <row r="257">
      <c r="A257" s="9"/>
      <c r="B257" s="9"/>
      <c r="C257" s="9"/>
      <c r="D257" s="9"/>
      <c r="E257" s="9"/>
      <c r="F257" s="9"/>
      <c r="G257" s="59"/>
      <c r="H257" s="9"/>
      <c r="I257" s="9"/>
      <c r="J257" s="9"/>
      <c r="K257" s="9"/>
      <c r="L257" s="9"/>
      <c r="M257" s="9"/>
      <c r="N257" s="9"/>
      <c r="O257" s="9"/>
    </row>
    <row r="258">
      <c r="A258" s="9"/>
      <c r="B258" s="9"/>
      <c r="C258" s="9"/>
      <c r="D258" s="9"/>
      <c r="E258" s="9"/>
      <c r="F258" s="9"/>
      <c r="G258" s="59"/>
      <c r="H258" s="9"/>
      <c r="I258" s="9"/>
      <c r="J258" s="9"/>
      <c r="K258" s="9"/>
      <c r="L258" s="9"/>
      <c r="M258" s="9"/>
      <c r="N258" s="9"/>
      <c r="O258" s="9"/>
    </row>
    <row r="259">
      <c r="A259" s="9"/>
      <c r="B259" s="9"/>
      <c r="C259" s="9"/>
      <c r="D259" s="9"/>
      <c r="E259" s="9"/>
      <c r="F259" s="9"/>
      <c r="G259" s="59"/>
      <c r="H259" s="9"/>
      <c r="I259" s="9"/>
      <c r="J259" s="9"/>
      <c r="K259" s="9"/>
      <c r="L259" s="9"/>
      <c r="M259" s="9"/>
      <c r="N259" s="9"/>
      <c r="O259" s="9"/>
    </row>
    <row r="260">
      <c r="A260" s="9"/>
      <c r="B260" s="9"/>
      <c r="C260" s="9"/>
      <c r="D260" s="9"/>
      <c r="E260" s="9"/>
      <c r="F260" s="9"/>
      <c r="G260" s="59"/>
      <c r="H260" s="9"/>
      <c r="I260" s="9"/>
      <c r="J260" s="9"/>
      <c r="K260" s="9"/>
      <c r="L260" s="9"/>
      <c r="M260" s="9"/>
      <c r="N260" s="9"/>
      <c r="O260" s="9"/>
    </row>
    <row r="261">
      <c r="A261" s="9"/>
      <c r="B261" s="9"/>
      <c r="C261" s="9"/>
      <c r="D261" s="9"/>
      <c r="E261" s="9"/>
      <c r="F261" s="9"/>
      <c r="G261" s="59"/>
      <c r="H261" s="9"/>
      <c r="I261" s="9"/>
      <c r="J261" s="9"/>
      <c r="K261" s="9"/>
      <c r="L261" s="9"/>
      <c r="M261" s="9"/>
      <c r="N261" s="9"/>
      <c r="O261" s="9"/>
    </row>
    <row r="262">
      <c r="A262" s="9"/>
      <c r="B262" s="9"/>
      <c r="C262" s="9"/>
      <c r="D262" s="9"/>
      <c r="E262" s="9"/>
      <c r="F262" s="9"/>
      <c r="G262" s="59"/>
      <c r="H262" s="9"/>
      <c r="I262" s="9"/>
      <c r="J262" s="9"/>
      <c r="K262" s="9"/>
      <c r="L262" s="9"/>
      <c r="M262" s="9"/>
      <c r="N262" s="9"/>
      <c r="O262" s="9"/>
    </row>
    <row r="263">
      <c r="A263" s="9"/>
      <c r="B263" s="9"/>
      <c r="C263" s="9"/>
      <c r="D263" s="9"/>
      <c r="E263" s="9"/>
      <c r="F263" s="9"/>
      <c r="G263" s="59"/>
      <c r="H263" s="9"/>
      <c r="I263" s="9"/>
      <c r="J263" s="9"/>
      <c r="K263" s="9"/>
      <c r="L263" s="9"/>
      <c r="M263" s="9"/>
      <c r="N263" s="9"/>
      <c r="O263" s="9"/>
    </row>
    <row r="264">
      <c r="A264" s="9"/>
      <c r="B264" s="9"/>
      <c r="C264" s="9"/>
      <c r="D264" s="9"/>
      <c r="E264" s="9"/>
      <c r="F264" s="9"/>
      <c r="G264" s="59"/>
      <c r="H264" s="9"/>
      <c r="I264" s="9"/>
      <c r="J264" s="9"/>
      <c r="K264" s="9"/>
      <c r="L264" s="9"/>
      <c r="M264" s="9"/>
      <c r="N264" s="9"/>
      <c r="O264" s="9"/>
    </row>
    <row r="265">
      <c r="A265" s="9"/>
      <c r="B265" s="9"/>
      <c r="C265" s="9"/>
      <c r="D265" s="9"/>
      <c r="E265" s="9"/>
      <c r="F265" s="9"/>
      <c r="G265" s="59"/>
      <c r="H265" s="9"/>
      <c r="I265" s="9"/>
      <c r="J265" s="9"/>
      <c r="K265" s="9"/>
      <c r="L265" s="9"/>
      <c r="M265" s="9"/>
      <c r="N265" s="9"/>
      <c r="O265" s="9"/>
    </row>
    <row r="266">
      <c r="A266" s="9"/>
      <c r="B266" s="9"/>
      <c r="C266" s="9"/>
      <c r="D266" s="9"/>
      <c r="E266" s="9"/>
      <c r="F266" s="9"/>
      <c r="G266" s="59"/>
      <c r="H266" s="9"/>
      <c r="I266" s="9"/>
      <c r="J266" s="9"/>
      <c r="K266" s="9"/>
      <c r="L266" s="9"/>
      <c r="M266" s="9"/>
      <c r="N266" s="9"/>
      <c r="O266" s="9"/>
    </row>
    <row r="267">
      <c r="A267" s="9"/>
      <c r="B267" s="9"/>
      <c r="C267" s="9"/>
      <c r="D267" s="9"/>
      <c r="E267" s="9"/>
      <c r="F267" s="9"/>
      <c r="G267" s="59"/>
      <c r="H267" s="9"/>
      <c r="I267" s="9"/>
      <c r="J267" s="9"/>
      <c r="K267" s="9"/>
      <c r="L267" s="9"/>
      <c r="M267" s="9"/>
      <c r="N267" s="9"/>
      <c r="O267" s="9"/>
    </row>
    <row r="268">
      <c r="A268" s="9"/>
      <c r="B268" s="9"/>
      <c r="C268" s="9"/>
      <c r="D268" s="9"/>
      <c r="E268" s="9"/>
      <c r="F268" s="9"/>
      <c r="G268" s="59"/>
      <c r="H268" s="9"/>
      <c r="I268" s="9"/>
      <c r="J268" s="9"/>
      <c r="K268" s="9"/>
      <c r="L268" s="9"/>
      <c r="M268" s="9"/>
      <c r="N268" s="9"/>
      <c r="O268" s="9"/>
    </row>
    <row r="269">
      <c r="A269" s="9"/>
      <c r="B269" s="9"/>
      <c r="C269" s="9"/>
      <c r="D269" s="9"/>
      <c r="E269" s="9"/>
      <c r="F269" s="9"/>
      <c r="G269" s="59"/>
      <c r="H269" s="9"/>
      <c r="I269" s="9"/>
      <c r="J269" s="9"/>
      <c r="K269" s="9"/>
      <c r="L269" s="9"/>
      <c r="M269" s="9"/>
      <c r="N269" s="9"/>
      <c r="O269" s="9"/>
    </row>
    <row r="270">
      <c r="A270" s="9"/>
      <c r="B270" s="9"/>
      <c r="C270" s="9"/>
      <c r="D270" s="9"/>
      <c r="E270" s="9"/>
      <c r="F270" s="9"/>
      <c r="G270" s="59"/>
      <c r="H270" s="9"/>
      <c r="I270" s="9"/>
      <c r="J270" s="9"/>
      <c r="K270" s="9"/>
      <c r="L270" s="9"/>
      <c r="M270" s="9"/>
      <c r="N270" s="9"/>
      <c r="O270" s="9"/>
    </row>
    <row r="271">
      <c r="A271" s="9"/>
      <c r="B271" s="9"/>
      <c r="C271" s="9"/>
      <c r="D271" s="9"/>
      <c r="E271" s="9"/>
      <c r="F271" s="9"/>
      <c r="G271" s="59"/>
      <c r="H271" s="9"/>
      <c r="I271" s="9"/>
      <c r="J271" s="9"/>
      <c r="K271" s="9"/>
      <c r="L271" s="9"/>
      <c r="M271" s="9"/>
      <c r="N271" s="9"/>
      <c r="O271" s="9"/>
    </row>
    <row r="272">
      <c r="A272" s="9"/>
      <c r="B272" s="9"/>
      <c r="C272" s="9"/>
      <c r="D272" s="9"/>
      <c r="E272" s="9"/>
      <c r="F272" s="9"/>
      <c r="G272" s="59"/>
      <c r="H272" s="9"/>
      <c r="I272" s="9"/>
      <c r="J272" s="9"/>
      <c r="K272" s="9"/>
      <c r="L272" s="9"/>
      <c r="M272" s="9"/>
      <c r="N272" s="9"/>
      <c r="O272" s="9"/>
    </row>
    <row r="273">
      <c r="A273" s="9"/>
      <c r="B273" s="9"/>
      <c r="C273" s="9"/>
      <c r="D273" s="9"/>
      <c r="E273" s="9"/>
      <c r="F273" s="9"/>
      <c r="G273" s="59"/>
      <c r="H273" s="9"/>
      <c r="I273" s="9"/>
      <c r="J273" s="9"/>
      <c r="K273" s="9"/>
      <c r="L273" s="9"/>
      <c r="M273" s="9"/>
      <c r="N273" s="9"/>
      <c r="O273" s="9"/>
    </row>
    <row r="274">
      <c r="A274" s="9"/>
      <c r="B274" s="9"/>
      <c r="C274" s="9"/>
      <c r="D274" s="9"/>
      <c r="E274" s="9"/>
      <c r="F274" s="9"/>
      <c r="G274" s="59"/>
      <c r="H274" s="9"/>
      <c r="I274" s="9"/>
      <c r="J274" s="9"/>
      <c r="K274" s="9"/>
      <c r="L274" s="9"/>
      <c r="M274" s="9"/>
      <c r="N274" s="9"/>
      <c r="O274" s="9"/>
    </row>
    <row r="275">
      <c r="A275" s="9"/>
      <c r="B275" s="9"/>
      <c r="C275" s="9"/>
      <c r="D275" s="9"/>
      <c r="E275" s="9"/>
      <c r="F275" s="9"/>
      <c r="G275" s="59"/>
      <c r="H275" s="9"/>
      <c r="I275" s="9"/>
      <c r="J275" s="9"/>
      <c r="K275" s="9"/>
      <c r="L275" s="9"/>
      <c r="M275" s="9"/>
      <c r="N275" s="9"/>
      <c r="O275" s="9"/>
    </row>
    <row r="276">
      <c r="A276" s="9"/>
      <c r="B276" s="9"/>
      <c r="C276" s="9"/>
      <c r="D276" s="9"/>
      <c r="E276" s="9"/>
      <c r="F276" s="9"/>
      <c r="G276" s="59"/>
      <c r="H276" s="9"/>
      <c r="I276" s="9"/>
      <c r="J276" s="9"/>
      <c r="K276" s="9"/>
      <c r="L276" s="9"/>
      <c r="M276" s="9"/>
      <c r="N276" s="9"/>
      <c r="O276" s="9"/>
    </row>
    <row r="277">
      <c r="A277" s="9"/>
      <c r="B277" s="9"/>
      <c r="C277" s="9"/>
      <c r="D277" s="9"/>
      <c r="E277" s="9"/>
      <c r="F277" s="9"/>
      <c r="G277" s="59"/>
      <c r="H277" s="9"/>
      <c r="I277" s="9"/>
      <c r="J277" s="9"/>
      <c r="K277" s="9"/>
      <c r="L277" s="9"/>
      <c r="M277" s="9"/>
      <c r="N277" s="9"/>
      <c r="O277" s="9"/>
    </row>
    <row r="278">
      <c r="A278" s="9"/>
      <c r="B278" s="9"/>
      <c r="C278" s="9"/>
      <c r="D278" s="9"/>
      <c r="E278" s="9"/>
      <c r="F278" s="9"/>
      <c r="G278" s="59"/>
      <c r="H278" s="9"/>
      <c r="I278" s="9"/>
      <c r="J278" s="9"/>
      <c r="K278" s="9"/>
      <c r="L278" s="9"/>
      <c r="M278" s="9"/>
      <c r="N278" s="9"/>
      <c r="O278" s="9"/>
    </row>
    <row r="279">
      <c r="A279" s="9"/>
      <c r="B279" s="9"/>
      <c r="C279" s="9"/>
      <c r="D279" s="9"/>
      <c r="E279" s="9"/>
      <c r="F279" s="9"/>
      <c r="G279" s="59"/>
      <c r="H279" s="9"/>
      <c r="I279" s="9"/>
      <c r="J279" s="9"/>
      <c r="K279" s="9"/>
      <c r="L279" s="9"/>
      <c r="M279" s="9"/>
      <c r="N279" s="9"/>
      <c r="O279" s="9"/>
    </row>
    <row r="280">
      <c r="A280" s="9"/>
      <c r="B280" s="9"/>
      <c r="C280" s="9"/>
      <c r="D280" s="9"/>
      <c r="E280" s="9"/>
      <c r="F280" s="9"/>
      <c r="G280" s="59"/>
      <c r="H280" s="9"/>
      <c r="I280" s="9"/>
      <c r="J280" s="9"/>
      <c r="K280" s="9"/>
      <c r="L280" s="9"/>
      <c r="M280" s="9"/>
      <c r="N280" s="9"/>
      <c r="O280" s="9"/>
    </row>
    <row r="281">
      <c r="A281" s="9"/>
      <c r="B281" s="9"/>
      <c r="C281" s="9"/>
      <c r="D281" s="9"/>
      <c r="E281" s="9"/>
      <c r="F281" s="9"/>
      <c r="G281" s="59"/>
      <c r="H281" s="9"/>
      <c r="I281" s="9"/>
      <c r="J281" s="9"/>
      <c r="K281" s="9"/>
      <c r="L281" s="9"/>
      <c r="M281" s="9"/>
      <c r="N281" s="9"/>
      <c r="O281" s="9"/>
    </row>
    <row r="282">
      <c r="A282" s="9"/>
      <c r="B282" s="9"/>
      <c r="C282" s="9"/>
      <c r="D282" s="9"/>
      <c r="E282" s="9"/>
      <c r="F282" s="9"/>
      <c r="G282" s="59"/>
      <c r="H282" s="9"/>
      <c r="I282" s="9"/>
      <c r="J282" s="9"/>
      <c r="K282" s="9"/>
      <c r="L282" s="9"/>
      <c r="M282" s="9"/>
      <c r="N282" s="9"/>
      <c r="O282" s="9"/>
    </row>
    <row r="283">
      <c r="A283" s="9"/>
      <c r="B283" s="9"/>
      <c r="C283" s="9"/>
      <c r="D283" s="9"/>
      <c r="E283" s="9"/>
      <c r="F283" s="9"/>
      <c r="G283" s="59"/>
      <c r="H283" s="9"/>
      <c r="I283" s="9"/>
      <c r="J283" s="9"/>
      <c r="K283" s="9"/>
      <c r="L283" s="9"/>
      <c r="M283" s="9"/>
      <c r="N283" s="9"/>
      <c r="O283" s="9"/>
    </row>
    <row r="284">
      <c r="A284" s="9"/>
      <c r="B284" s="9"/>
      <c r="C284" s="9"/>
      <c r="D284" s="9"/>
      <c r="E284" s="9"/>
      <c r="F284" s="9"/>
      <c r="G284" s="59"/>
      <c r="H284" s="9"/>
      <c r="I284" s="9"/>
      <c r="J284" s="9"/>
      <c r="K284" s="9"/>
      <c r="L284" s="9"/>
      <c r="M284" s="9"/>
      <c r="N284" s="9"/>
      <c r="O284" s="9"/>
    </row>
    <row r="285">
      <c r="A285" s="9"/>
      <c r="B285" s="9"/>
      <c r="C285" s="9"/>
      <c r="D285" s="9"/>
      <c r="E285" s="9"/>
      <c r="F285" s="9"/>
      <c r="G285" s="59"/>
      <c r="H285" s="9"/>
      <c r="I285" s="9"/>
      <c r="J285" s="9"/>
      <c r="K285" s="9"/>
      <c r="L285" s="9"/>
      <c r="M285" s="9"/>
      <c r="N285" s="9"/>
      <c r="O285" s="9"/>
    </row>
    <row r="286">
      <c r="A286" s="9"/>
      <c r="B286" s="9"/>
      <c r="C286" s="9"/>
      <c r="D286" s="9"/>
      <c r="E286" s="9"/>
      <c r="F286" s="9"/>
      <c r="G286" s="59"/>
      <c r="H286" s="9"/>
      <c r="I286" s="9"/>
      <c r="J286" s="9"/>
      <c r="K286" s="9"/>
      <c r="L286" s="9"/>
      <c r="M286" s="9"/>
      <c r="N286" s="9"/>
      <c r="O286" s="9"/>
    </row>
    <row r="287">
      <c r="A287" s="9"/>
      <c r="B287" s="9"/>
      <c r="C287" s="9"/>
      <c r="D287" s="9"/>
      <c r="E287" s="9"/>
      <c r="F287" s="9"/>
      <c r="G287" s="59"/>
      <c r="H287" s="9"/>
      <c r="I287" s="9"/>
      <c r="J287" s="9"/>
      <c r="K287" s="9"/>
      <c r="L287" s="9"/>
      <c r="M287" s="9"/>
      <c r="N287" s="9"/>
      <c r="O287" s="9"/>
    </row>
    <row r="288">
      <c r="A288" s="9"/>
      <c r="B288" s="9"/>
      <c r="C288" s="9"/>
      <c r="D288" s="9"/>
      <c r="E288" s="9"/>
      <c r="F288" s="9"/>
      <c r="G288" s="59"/>
      <c r="H288" s="9"/>
      <c r="I288" s="9"/>
      <c r="J288" s="9"/>
      <c r="K288" s="9"/>
      <c r="L288" s="9"/>
      <c r="M288" s="9"/>
      <c r="N288" s="9"/>
      <c r="O288" s="9"/>
    </row>
    <row r="289">
      <c r="A289" s="9"/>
      <c r="B289" s="9"/>
      <c r="C289" s="9"/>
      <c r="D289" s="9"/>
      <c r="E289" s="9"/>
      <c r="F289" s="9"/>
      <c r="G289" s="59"/>
      <c r="H289" s="9"/>
      <c r="I289" s="9"/>
      <c r="J289" s="9"/>
      <c r="K289" s="9"/>
      <c r="L289" s="9"/>
      <c r="M289" s="9"/>
      <c r="N289" s="9"/>
      <c r="O289" s="9"/>
    </row>
    <row r="290">
      <c r="A290" s="9"/>
      <c r="B290" s="9"/>
      <c r="C290" s="9"/>
      <c r="D290" s="9"/>
      <c r="E290" s="9"/>
      <c r="F290" s="9"/>
      <c r="G290" s="59"/>
      <c r="H290" s="9"/>
      <c r="I290" s="9"/>
      <c r="J290" s="9"/>
      <c r="K290" s="9"/>
      <c r="L290" s="9"/>
      <c r="M290" s="9"/>
      <c r="N290" s="9"/>
      <c r="O290" s="9"/>
    </row>
    <row r="291">
      <c r="A291" s="9"/>
      <c r="B291" s="9"/>
      <c r="C291" s="9"/>
      <c r="D291" s="9"/>
      <c r="E291" s="9"/>
      <c r="F291" s="9"/>
      <c r="G291" s="59"/>
      <c r="H291" s="9"/>
      <c r="I291" s="9"/>
      <c r="J291" s="9"/>
      <c r="K291" s="9"/>
      <c r="L291" s="9"/>
      <c r="M291" s="9"/>
      <c r="N291" s="9"/>
      <c r="O291" s="9"/>
    </row>
    <row r="292">
      <c r="A292" s="9"/>
      <c r="B292" s="9"/>
      <c r="C292" s="9"/>
      <c r="D292" s="9"/>
      <c r="E292" s="9"/>
      <c r="F292" s="9"/>
      <c r="G292" s="59"/>
      <c r="H292" s="9"/>
      <c r="I292" s="9"/>
      <c r="J292" s="9"/>
      <c r="K292" s="9"/>
      <c r="L292" s="9"/>
      <c r="M292" s="9"/>
      <c r="N292" s="9"/>
      <c r="O292" s="9"/>
    </row>
    <row r="293">
      <c r="A293" s="9"/>
      <c r="B293" s="9"/>
      <c r="C293" s="9"/>
      <c r="D293" s="9"/>
      <c r="E293" s="9"/>
      <c r="F293" s="9"/>
      <c r="G293" s="59"/>
      <c r="H293" s="9"/>
      <c r="I293" s="9"/>
      <c r="J293" s="9"/>
      <c r="K293" s="9"/>
      <c r="L293" s="9"/>
      <c r="M293" s="9"/>
      <c r="N293" s="9"/>
      <c r="O293" s="9"/>
    </row>
    <row r="294">
      <c r="A294" s="9"/>
      <c r="B294" s="9"/>
      <c r="C294" s="9"/>
      <c r="D294" s="9"/>
      <c r="E294" s="9"/>
      <c r="F294" s="9"/>
      <c r="G294" s="59"/>
      <c r="H294" s="9"/>
      <c r="I294" s="9"/>
      <c r="J294" s="9"/>
      <c r="K294" s="9"/>
      <c r="L294" s="9"/>
      <c r="M294" s="9"/>
      <c r="N294" s="9"/>
      <c r="O294" s="9"/>
    </row>
    <row r="295">
      <c r="A295" s="9"/>
      <c r="B295" s="9"/>
      <c r="C295" s="9"/>
      <c r="D295" s="9"/>
      <c r="E295" s="9"/>
      <c r="F295" s="9"/>
      <c r="G295" s="59"/>
      <c r="H295" s="9"/>
      <c r="I295" s="9"/>
      <c r="J295" s="9"/>
      <c r="K295" s="9"/>
      <c r="L295" s="9"/>
      <c r="M295" s="9"/>
      <c r="N295" s="9"/>
      <c r="O295" s="9"/>
    </row>
    <row r="296">
      <c r="A296" s="9"/>
      <c r="B296" s="9"/>
      <c r="C296" s="9"/>
      <c r="D296" s="9"/>
      <c r="E296" s="9"/>
      <c r="F296" s="9"/>
      <c r="G296" s="59"/>
      <c r="H296" s="9"/>
      <c r="I296" s="9"/>
      <c r="J296" s="9"/>
      <c r="K296" s="9"/>
      <c r="L296" s="9"/>
      <c r="M296" s="9"/>
      <c r="N296" s="9"/>
      <c r="O296" s="9"/>
    </row>
    <row r="297">
      <c r="A297" s="9"/>
      <c r="B297" s="9"/>
      <c r="C297" s="9"/>
      <c r="D297" s="9"/>
      <c r="E297" s="9"/>
      <c r="F297" s="9"/>
      <c r="G297" s="59"/>
      <c r="H297" s="9"/>
      <c r="I297" s="9"/>
      <c r="J297" s="9"/>
      <c r="K297" s="9"/>
      <c r="L297" s="9"/>
      <c r="M297" s="9"/>
      <c r="N297" s="9"/>
      <c r="O297" s="9"/>
    </row>
    <row r="298">
      <c r="A298" s="9"/>
      <c r="B298" s="9"/>
      <c r="C298" s="9"/>
      <c r="D298" s="9"/>
      <c r="E298" s="9"/>
      <c r="F298" s="9"/>
      <c r="G298" s="59"/>
      <c r="H298" s="9"/>
      <c r="I298" s="9"/>
      <c r="J298" s="9"/>
      <c r="K298" s="9"/>
      <c r="L298" s="9"/>
      <c r="M298" s="9"/>
      <c r="N298" s="9"/>
      <c r="O298" s="9"/>
    </row>
    <row r="299">
      <c r="A299" s="9"/>
      <c r="B299" s="9"/>
      <c r="C299" s="9"/>
      <c r="D299" s="9"/>
      <c r="E299" s="9"/>
      <c r="F299" s="9"/>
      <c r="G299" s="59"/>
      <c r="H299" s="9"/>
      <c r="I299" s="9"/>
      <c r="J299" s="9"/>
      <c r="K299" s="9"/>
      <c r="L299" s="9"/>
      <c r="M299" s="9"/>
      <c r="N299" s="9"/>
      <c r="O299" s="9"/>
    </row>
    <row r="300">
      <c r="A300" s="9"/>
      <c r="B300" s="9"/>
      <c r="C300" s="9"/>
      <c r="D300" s="9"/>
      <c r="E300" s="9"/>
      <c r="F300" s="9"/>
      <c r="G300" s="59"/>
      <c r="H300" s="9"/>
      <c r="I300" s="9"/>
      <c r="J300" s="9"/>
      <c r="K300" s="9"/>
      <c r="L300" s="9"/>
      <c r="M300" s="9"/>
      <c r="N300" s="9"/>
      <c r="O300" s="9"/>
    </row>
    <row r="301">
      <c r="A301" s="9"/>
      <c r="B301" s="9"/>
      <c r="C301" s="9"/>
      <c r="D301" s="9"/>
      <c r="E301" s="9"/>
      <c r="F301" s="9"/>
      <c r="G301" s="59"/>
      <c r="H301" s="9"/>
      <c r="I301" s="9"/>
      <c r="J301" s="9"/>
      <c r="K301" s="9"/>
      <c r="L301" s="9"/>
      <c r="M301" s="9"/>
      <c r="N301" s="9"/>
      <c r="O301" s="9"/>
    </row>
    <row r="302">
      <c r="A302" s="9"/>
      <c r="B302" s="9"/>
      <c r="C302" s="9"/>
      <c r="D302" s="9"/>
      <c r="E302" s="9"/>
      <c r="F302" s="9"/>
      <c r="G302" s="59"/>
      <c r="H302" s="9"/>
      <c r="I302" s="9"/>
      <c r="J302" s="9"/>
      <c r="K302" s="9"/>
      <c r="L302" s="9"/>
      <c r="M302" s="9"/>
      <c r="N302" s="9"/>
      <c r="O302" s="9"/>
    </row>
    <row r="303">
      <c r="A303" s="9"/>
      <c r="B303" s="9"/>
      <c r="C303" s="9"/>
      <c r="D303" s="9"/>
      <c r="E303" s="9"/>
      <c r="F303" s="9"/>
      <c r="G303" s="59"/>
      <c r="H303" s="9"/>
      <c r="I303" s="9"/>
      <c r="J303" s="9"/>
      <c r="K303" s="9"/>
      <c r="L303" s="9"/>
      <c r="M303" s="9"/>
      <c r="N303" s="9"/>
      <c r="O303" s="9"/>
    </row>
    <row r="304">
      <c r="A304" s="9"/>
      <c r="B304" s="9"/>
      <c r="C304" s="9"/>
      <c r="D304" s="9"/>
      <c r="E304" s="9"/>
      <c r="F304" s="9"/>
      <c r="G304" s="59"/>
      <c r="H304" s="9"/>
      <c r="I304" s="9"/>
      <c r="J304" s="9"/>
      <c r="K304" s="9"/>
      <c r="L304" s="9"/>
      <c r="M304" s="9"/>
      <c r="N304" s="9"/>
      <c r="O304" s="9"/>
    </row>
    <row r="305">
      <c r="A305" s="9"/>
      <c r="B305" s="9"/>
      <c r="C305" s="9"/>
      <c r="D305" s="9"/>
      <c r="E305" s="9"/>
      <c r="F305" s="9"/>
      <c r="G305" s="59"/>
      <c r="H305" s="9"/>
      <c r="I305" s="9"/>
      <c r="J305" s="9"/>
      <c r="K305" s="9"/>
      <c r="L305" s="9"/>
      <c r="M305" s="9"/>
      <c r="N305" s="9"/>
      <c r="O305" s="9"/>
    </row>
    <row r="306">
      <c r="A306" s="9"/>
      <c r="B306" s="9"/>
      <c r="C306" s="9"/>
      <c r="D306" s="9"/>
      <c r="E306" s="9"/>
      <c r="F306" s="9"/>
      <c r="G306" s="59"/>
      <c r="H306" s="9"/>
      <c r="I306" s="9"/>
      <c r="J306" s="9"/>
      <c r="K306" s="9"/>
      <c r="L306" s="9"/>
      <c r="M306" s="9"/>
      <c r="N306" s="9"/>
      <c r="O306" s="9"/>
    </row>
    <row r="307">
      <c r="A307" s="9"/>
      <c r="B307" s="9"/>
      <c r="C307" s="9"/>
      <c r="D307" s="9"/>
      <c r="E307" s="9"/>
      <c r="F307" s="9"/>
      <c r="G307" s="59"/>
      <c r="H307" s="9"/>
      <c r="I307" s="9"/>
      <c r="J307" s="9"/>
      <c r="K307" s="9"/>
      <c r="L307" s="9"/>
      <c r="M307" s="9"/>
      <c r="N307" s="9"/>
      <c r="O307" s="9"/>
    </row>
    <row r="308">
      <c r="A308" s="9"/>
      <c r="B308" s="9"/>
      <c r="C308" s="9"/>
      <c r="D308" s="9"/>
      <c r="E308" s="9"/>
      <c r="F308" s="9"/>
      <c r="G308" s="59"/>
      <c r="H308" s="9"/>
      <c r="I308" s="9"/>
      <c r="J308" s="9"/>
      <c r="K308" s="9"/>
      <c r="L308" s="9"/>
      <c r="M308" s="9"/>
      <c r="N308" s="9"/>
      <c r="O308" s="9"/>
    </row>
    <row r="309">
      <c r="A309" s="9"/>
      <c r="B309" s="9"/>
      <c r="C309" s="9"/>
      <c r="D309" s="9"/>
      <c r="E309" s="9"/>
      <c r="F309" s="9"/>
      <c r="G309" s="59"/>
      <c r="H309" s="9"/>
      <c r="I309" s="9"/>
      <c r="J309" s="9"/>
      <c r="K309" s="9"/>
      <c r="L309" s="9"/>
      <c r="M309" s="9"/>
      <c r="N309" s="9"/>
      <c r="O309" s="9"/>
    </row>
    <row r="310">
      <c r="A310" s="9"/>
      <c r="B310" s="9"/>
      <c r="C310" s="9"/>
      <c r="D310" s="9"/>
      <c r="E310" s="9"/>
      <c r="F310" s="9"/>
      <c r="G310" s="59"/>
      <c r="H310" s="9"/>
      <c r="I310" s="9"/>
      <c r="J310" s="9"/>
      <c r="K310" s="9"/>
      <c r="L310" s="9"/>
      <c r="M310" s="9"/>
      <c r="N310" s="9"/>
      <c r="O310" s="9"/>
    </row>
    <row r="311">
      <c r="A311" s="9"/>
      <c r="B311" s="9"/>
      <c r="C311" s="9"/>
      <c r="D311" s="9"/>
      <c r="E311" s="9"/>
      <c r="F311" s="9"/>
      <c r="G311" s="59"/>
      <c r="H311" s="9"/>
      <c r="I311" s="9"/>
      <c r="J311" s="9"/>
      <c r="K311" s="9"/>
      <c r="L311" s="9"/>
      <c r="M311" s="9"/>
      <c r="N311" s="9"/>
      <c r="O311" s="9"/>
    </row>
    <row r="312">
      <c r="A312" s="9"/>
      <c r="B312" s="9"/>
      <c r="C312" s="9"/>
      <c r="D312" s="9"/>
      <c r="E312" s="9"/>
      <c r="F312" s="9"/>
      <c r="G312" s="59"/>
      <c r="H312" s="9"/>
      <c r="I312" s="9"/>
      <c r="J312" s="9"/>
      <c r="K312" s="9"/>
      <c r="L312" s="9"/>
      <c r="M312" s="9"/>
      <c r="N312" s="9"/>
      <c r="O312" s="9"/>
    </row>
    <row r="313">
      <c r="A313" s="9"/>
      <c r="B313" s="9"/>
      <c r="C313" s="9"/>
      <c r="D313" s="9"/>
      <c r="E313" s="9"/>
      <c r="F313" s="9"/>
      <c r="G313" s="59"/>
      <c r="H313" s="9"/>
      <c r="I313" s="9"/>
      <c r="J313" s="9"/>
      <c r="K313" s="9"/>
      <c r="L313" s="9"/>
      <c r="M313" s="9"/>
      <c r="N313" s="9"/>
      <c r="O313" s="9"/>
    </row>
    <row r="314">
      <c r="A314" s="9"/>
      <c r="B314" s="9"/>
      <c r="C314" s="9"/>
      <c r="D314" s="9"/>
      <c r="E314" s="9"/>
      <c r="F314" s="9"/>
      <c r="G314" s="59"/>
      <c r="H314" s="9"/>
      <c r="I314" s="9"/>
      <c r="J314" s="9"/>
      <c r="K314" s="9"/>
      <c r="L314" s="9"/>
      <c r="M314" s="9"/>
      <c r="N314" s="9"/>
      <c r="O314" s="9"/>
    </row>
    <row r="315">
      <c r="A315" s="9"/>
      <c r="B315" s="9"/>
      <c r="C315" s="9"/>
      <c r="D315" s="9"/>
      <c r="E315" s="9"/>
      <c r="F315" s="9"/>
      <c r="G315" s="59"/>
      <c r="H315" s="9"/>
      <c r="I315" s="9"/>
      <c r="J315" s="9"/>
      <c r="K315" s="9"/>
      <c r="L315" s="9"/>
      <c r="M315" s="9"/>
      <c r="N315" s="9"/>
      <c r="O315" s="9"/>
    </row>
    <row r="316">
      <c r="A316" s="9"/>
      <c r="B316" s="9"/>
      <c r="C316" s="9"/>
      <c r="D316" s="9"/>
      <c r="E316" s="9"/>
      <c r="F316" s="9"/>
      <c r="G316" s="59"/>
      <c r="H316" s="9"/>
      <c r="I316" s="9"/>
      <c r="J316" s="9"/>
      <c r="K316" s="9"/>
      <c r="L316" s="9"/>
      <c r="M316" s="9"/>
      <c r="N316" s="9"/>
      <c r="O316" s="9"/>
    </row>
    <row r="317">
      <c r="A317" s="9"/>
      <c r="B317" s="9"/>
      <c r="C317" s="9"/>
      <c r="D317" s="9"/>
      <c r="E317" s="9"/>
      <c r="F317" s="9"/>
      <c r="G317" s="59"/>
      <c r="H317" s="9"/>
      <c r="I317" s="9"/>
      <c r="J317" s="9"/>
      <c r="K317" s="9"/>
      <c r="L317" s="9"/>
      <c r="M317" s="9"/>
      <c r="N317" s="9"/>
      <c r="O317" s="9"/>
    </row>
    <row r="318">
      <c r="A318" s="9"/>
      <c r="B318" s="9"/>
      <c r="C318" s="9"/>
      <c r="D318" s="9"/>
      <c r="E318" s="9"/>
      <c r="F318" s="9"/>
      <c r="G318" s="59"/>
      <c r="H318" s="9"/>
      <c r="I318" s="9"/>
      <c r="J318" s="9"/>
      <c r="K318" s="9"/>
      <c r="L318" s="9"/>
      <c r="M318" s="9"/>
      <c r="N318" s="9"/>
      <c r="O318" s="9"/>
    </row>
    <row r="319">
      <c r="A319" s="9"/>
      <c r="B319" s="9"/>
      <c r="C319" s="9"/>
      <c r="D319" s="9"/>
      <c r="E319" s="9"/>
      <c r="F319" s="9"/>
      <c r="G319" s="59"/>
      <c r="H319" s="9"/>
      <c r="I319" s="9"/>
      <c r="J319" s="9"/>
      <c r="K319" s="9"/>
      <c r="L319" s="9"/>
      <c r="M319" s="9"/>
      <c r="N319" s="9"/>
      <c r="O319" s="9"/>
    </row>
    <row r="320">
      <c r="A320" s="9"/>
      <c r="B320" s="9"/>
      <c r="C320" s="9"/>
      <c r="D320" s="9"/>
      <c r="E320" s="9"/>
      <c r="F320" s="9"/>
      <c r="G320" s="59"/>
      <c r="H320" s="9"/>
      <c r="I320" s="9"/>
      <c r="J320" s="9"/>
      <c r="K320" s="9"/>
      <c r="L320" s="9"/>
      <c r="M320" s="9"/>
      <c r="N320" s="9"/>
      <c r="O320" s="9"/>
    </row>
    <row r="321">
      <c r="A321" s="9"/>
      <c r="B321" s="9"/>
      <c r="C321" s="9"/>
      <c r="D321" s="9"/>
      <c r="E321" s="9"/>
      <c r="F321" s="9"/>
      <c r="G321" s="59"/>
      <c r="H321" s="9"/>
      <c r="I321" s="9"/>
      <c r="J321" s="9"/>
      <c r="K321" s="9"/>
      <c r="L321" s="9"/>
      <c r="M321" s="9"/>
      <c r="N321" s="9"/>
      <c r="O321" s="9"/>
    </row>
    <row r="322">
      <c r="A322" s="9"/>
      <c r="B322" s="9"/>
      <c r="C322" s="9"/>
      <c r="D322" s="9"/>
      <c r="E322" s="9"/>
      <c r="F322" s="9"/>
      <c r="G322" s="59"/>
      <c r="H322" s="9"/>
      <c r="I322" s="9"/>
      <c r="J322" s="9"/>
      <c r="K322" s="9"/>
      <c r="L322" s="9"/>
      <c r="M322" s="9"/>
      <c r="N322" s="9"/>
      <c r="O322" s="9"/>
    </row>
    <row r="323">
      <c r="A323" s="9"/>
      <c r="B323" s="9"/>
      <c r="C323" s="9"/>
      <c r="D323" s="9"/>
      <c r="E323" s="9"/>
      <c r="F323" s="9"/>
      <c r="G323" s="59"/>
      <c r="H323" s="9"/>
      <c r="I323" s="9"/>
      <c r="J323" s="9"/>
      <c r="K323" s="9"/>
      <c r="L323" s="9"/>
      <c r="M323" s="9"/>
      <c r="N323" s="9"/>
      <c r="O323" s="9"/>
    </row>
    <row r="324">
      <c r="A324" s="9"/>
      <c r="B324" s="9"/>
      <c r="C324" s="9"/>
      <c r="D324" s="9"/>
      <c r="E324" s="9"/>
      <c r="F324" s="9"/>
      <c r="G324" s="59"/>
      <c r="H324" s="9"/>
      <c r="I324" s="9"/>
      <c r="J324" s="9"/>
      <c r="K324" s="9"/>
      <c r="L324" s="9"/>
      <c r="M324" s="9"/>
      <c r="N324" s="9"/>
      <c r="O324" s="9"/>
    </row>
    <row r="325">
      <c r="A325" s="9"/>
      <c r="B325" s="9"/>
      <c r="C325" s="9"/>
      <c r="D325" s="9"/>
      <c r="E325" s="9"/>
      <c r="F325" s="9"/>
      <c r="G325" s="59"/>
      <c r="H325" s="9"/>
      <c r="I325" s="9"/>
      <c r="J325" s="9"/>
      <c r="K325" s="9"/>
      <c r="L325" s="9"/>
      <c r="M325" s="9"/>
      <c r="N325" s="9"/>
      <c r="O325" s="9"/>
    </row>
    <row r="326">
      <c r="A326" s="9"/>
      <c r="B326" s="9"/>
      <c r="C326" s="9"/>
      <c r="D326" s="9"/>
      <c r="E326" s="9"/>
      <c r="F326" s="9"/>
      <c r="G326" s="59"/>
      <c r="H326" s="9"/>
      <c r="I326" s="9"/>
      <c r="J326" s="9"/>
      <c r="K326" s="9"/>
      <c r="L326" s="9"/>
      <c r="M326" s="9"/>
      <c r="N326" s="9"/>
      <c r="O326" s="9"/>
    </row>
    <row r="327">
      <c r="A327" s="9"/>
      <c r="B327" s="9"/>
      <c r="C327" s="9"/>
      <c r="D327" s="9"/>
      <c r="E327" s="9"/>
      <c r="F327" s="9"/>
      <c r="G327" s="59"/>
      <c r="H327" s="9"/>
      <c r="I327" s="9"/>
      <c r="J327" s="9"/>
      <c r="K327" s="9"/>
      <c r="L327" s="9"/>
      <c r="M327" s="9"/>
      <c r="N327" s="9"/>
      <c r="O327" s="9"/>
    </row>
    <row r="328">
      <c r="A328" s="9"/>
      <c r="B328" s="9"/>
      <c r="C328" s="9"/>
      <c r="D328" s="9"/>
      <c r="E328" s="9"/>
      <c r="F328" s="9"/>
      <c r="G328" s="59"/>
      <c r="H328" s="9"/>
      <c r="I328" s="9"/>
      <c r="J328" s="9"/>
      <c r="K328" s="9"/>
      <c r="L328" s="9"/>
      <c r="M328" s="9"/>
      <c r="N328" s="9"/>
      <c r="O328" s="9"/>
    </row>
    <row r="329">
      <c r="A329" s="9"/>
      <c r="B329" s="9"/>
      <c r="C329" s="9"/>
      <c r="D329" s="9"/>
      <c r="E329" s="9"/>
      <c r="F329" s="9"/>
      <c r="G329" s="59"/>
      <c r="H329" s="9"/>
      <c r="I329" s="9"/>
      <c r="J329" s="9"/>
      <c r="K329" s="9"/>
      <c r="L329" s="9"/>
      <c r="M329" s="9"/>
      <c r="N329" s="9"/>
      <c r="O329" s="9"/>
    </row>
    <row r="330">
      <c r="A330" s="9"/>
      <c r="B330" s="9"/>
      <c r="C330" s="9"/>
      <c r="D330" s="9"/>
      <c r="E330" s="9"/>
      <c r="F330" s="9"/>
      <c r="G330" s="59"/>
      <c r="H330" s="9"/>
      <c r="I330" s="9"/>
      <c r="J330" s="9"/>
      <c r="K330" s="9"/>
      <c r="L330" s="9"/>
      <c r="M330" s="9"/>
      <c r="N330" s="9"/>
      <c r="O330" s="9"/>
    </row>
    <row r="331">
      <c r="A331" s="9"/>
      <c r="B331" s="9"/>
      <c r="C331" s="9"/>
      <c r="D331" s="9"/>
      <c r="E331" s="9"/>
      <c r="F331" s="9"/>
      <c r="G331" s="59"/>
      <c r="H331" s="9"/>
      <c r="I331" s="9"/>
      <c r="J331" s="9"/>
      <c r="K331" s="9"/>
      <c r="L331" s="9"/>
      <c r="M331" s="9"/>
      <c r="N331" s="9"/>
      <c r="O331" s="9"/>
    </row>
    <row r="332">
      <c r="A332" s="9"/>
      <c r="B332" s="9"/>
      <c r="C332" s="9"/>
      <c r="D332" s="9"/>
      <c r="E332" s="9"/>
      <c r="F332" s="9"/>
      <c r="G332" s="59"/>
      <c r="H332" s="9"/>
      <c r="I332" s="9"/>
      <c r="J332" s="9"/>
      <c r="K332" s="9"/>
      <c r="L332" s="9"/>
      <c r="M332" s="9"/>
      <c r="N332" s="9"/>
      <c r="O332" s="9"/>
    </row>
    <row r="333">
      <c r="A333" s="9"/>
      <c r="B333" s="9"/>
      <c r="C333" s="9"/>
      <c r="D333" s="9"/>
      <c r="E333" s="9"/>
      <c r="F333" s="9"/>
      <c r="G333" s="59"/>
      <c r="H333" s="9"/>
      <c r="I333" s="9"/>
      <c r="J333" s="9"/>
      <c r="K333" s="9"/>
      <c r="L333" s="9"/>
      <c r="M333" s="9"/>
      <c r="N333" s="9"/>
      <c r="O333" s="9"/>
    </row>
    <row r="334">
      <c r="A334" s="9"/>
      <c r="B334" s="9"/>
      <c r="C334" s="9"/>
      <c r="D334" s="9"/>
      <c r="E334" s="9"/>
      <c r="F334" s="9"/>
      <c r="G334" s="59"/>
      <c r="H334" s="9"/>
      <c r="I334" s="9"/>
      <c r="J334" s="9"/>
      <c r="K334" s="9"/>
      <c r="L334" s="9"/>
      <c r="M334" s="9"/>
      <c r="N334" s="9"/>
      <c r="O334" s="9"/>
    </row>
    <row r="335">
      <c r="A335" s="9"/>
      <c r="B335" s="9"/>
      <c r="C335" s="9"/>
      <c r="D335" s="9"/>
      <c r="E335" s="9"/>
      <c r="F335" s="9"/>
      <c r="G335" s="59"/>
      <c r="H335" s="9"/>
      <c r="I335" s="9"/>
      <c r="J335" s="9"/>
      <c r="K335" s="9"/>
      <c r="L335" s="9"/>
      <c r="M335" s="9"/>
      <c r="N335" s="9"/>
      <c r="O335" s="9"/>
    </row>
    <row r="336">
      <c r="A336" s="9"/>
      <c r="B336" s="9"/>
      <c r="C336" s="9"/>
      <c r="D336" s="9"/>
      <c r="E336" s="9"/>
      <c r="F336" s="9"/>
      <c r="G336" s="59"/>
      <c r="H336" s="9"/>
      <c r="I336" s="9"/>
      <c r="J336" s="9"/>
      <c r="K336" s="9"/>
      <c r="L336" s="9"/>
      <c r="M336" s="9"/>
      <c r="N336" s="9"/>
      <c r="O336" s="9"/>
    </row>
    <row r="337">
      <c r="A337" s="9"/>
      <c r="B337" s="9"/>
      <c r="C337" s="9"/>
      <c r="D337" s="9"/>
      <c r="E337" s="9"/>
      <c r="F337" s="9"/>
      <c r="G337" s="59"/>
      <c r="H337" s="9"/>
      <c r="I337" s="9"/>
      <c r="J337" s="9"/>
      <c r="K337" s="9"/>
      <c r="L337" s="9"/>
      <c r="M337" s="9"/>
      <c r="N337" s="9"/>
      <c r="O337" s="9"/>
    </row>
    <row r="338">
      <c r="A338" s="9"/>
      <c r="B338" s="9"/>
      <c r="C338" s="9"/>
      <c r="D338" s="9"/>
      <c r="E338" s="9"/>
      <c r="F338" s="9"/>
      <c r="G338" s="59"/>
      <c r="H338" s="9"/>
      <c r="I338" s="9"/>
      <c r="J338" s="9"/>
      <c r="K338" s="9"/>
      <c r="L338" s="9"/>
      <c r="M338" s="9"/>
      <c r="N338" s="9"/>
      <c r="O338" s="9"/>
    </row>
    <row r="339">
      <c r="A339" s="9"/>
      <c r="B339" s="9"/>
      <c r="C339" s="9"/>
      <c r="D339" s="9"/>
      <c r="E339" s="9"/>
      <c r="F339" s="9"/>
      <c r="G339" s="59"/>
      <c r="H339" s="9"/>
      <c r="I339" s="9"/>
      <c r="J339" s="9"/>
      <c r="K339" s="9"/>
      <c r="L339" s="9"/>
      <c r="M339" s="9"/>
      <c r="N339" s="9"/>
      <c r="O339" s="9"/>
    </row>
    <row r="340">
      <c r="A340" s="9"/>
      <c r="B340" s="9"/>
      <c r="C340" s="9"/>
      <c r="D340" s="9"/>
      <c r="E340" s="9"/>
      <c r="F340" s="9"/>
      <c r="G340" s="59"/>
      <c r="H340" s="9"/>
      <c r="I340" s="9"/>
      <c r="J340" s="9"/>
      <c r="K340" s="9"/>
      <c r="L340" s="9"/>
      <c r="M340" s="9"/>
      <c r="N340" s="9"/>
      <c r="O340" s="9"/>
    </row>
    <row r="341">
      <c r="A341" s="9"/>
      <c r="B341" s="9"/>
      <c r="C341" s="9"/>
      <c r="D341" s="9"/>
      <c r="E341" s="9"/>
      <c r="F341" s="9"/>
      <c r="G341" s="59"/>
      <c r="H341" s="9"/>
      <c r="I341" s="9"/>
      <c r="J341" s="9"/>
      <c r="K341" s="9"/>
      <c r="L341" s="9"/>
      <c r="M341" s="9"/>
      <c r="N341" s="9"/>
      <c r="O341" s="9"/>
    </row>
    <row r="342">
      <c r="A342" s="9"/>
      <c r="B342" s="9"/>
      <c r="C342" s="9"/>
      <c r="D342" s="9"/>
      <c r="E342" s="9"/>
      <c r="F342" s="9"/>
      <c r="G342" s="59"/>
      <c r="H342" s="9"/>
      <c r="I342" s="9"/>
      <c r="J342" s="9"/>
      <c r="K342" s="9"/>
      <c r="L342" s="9"/>
      <c r="M342" s="9"/>
      <c r="N342" s="9"/>
      <c r="O342" s="9"/>
    </row>
    <row r="343">
      <c r="A343" s="9"/>
      <c r="B343" s="9"/>
      <c r="C343" s="9"/>
      <c r="D343" s="9"/>
      <c r="E343" s="9"/>
      <c r="F343" s="9"/>
      <c r="G343" s="59"/>
      <c r="H343" s="9"/>
      <c r="I343" s="9"/>
      <c r="J343" s="9"/>
      <c r="K343" s="9"/>
      <c r="L343" s="9"/>
      <c r="M343" s="9"/>
      <c r="N343" s="9"/>
      <c r="O343" s="9"/>
    </row>
    <row r="344">
      <c r="A344" s="9"/>
      <c r="B344" s="9"/>
      <c r="C344" s="9"/>
      <c r="D344" s="9"/>
      <c r="E344" s="9"/>
      <c r="F344" s="9"/>
      <c r="G344" s="59"/>
      <c r="H344" s="9"/>
      <c r="I344" s="9"/>
      <c r="J344" s="9"/>
      <c r="K344" s="9"/>
      <c r="L344" s="9"/>
      <c r="M344" s="9"/>
      <c r="N344" s="9"/>
      <c r="O344" s="9"/>
    </row>
    <row r="345">
      <c r="A345" s="9"/>
      <c r="B345" s="9"/>
      <c r="C345" s="9"/>
      <c r="D345" s="9"/>
      <c r="E345" s="9"/>
      <c r="F345" s="9"/>
      <c r="G345" s="59"/>
      <c r="H345" s="9"/>
      <c r="I345" s="9"/>
      <c r="J345" s="9"/>
      <c r="K345" s="9"/>
      <c r="L345" s="9"/>
      <c r="M345" s="9"/>
      <c r="N345" s="9"/>
      <c r="O345" s="9"/>
    </row>
    <row r="346">
      <c r="A346" s="9"/>
      <c r="B346" s="9"/>
      <c r="C346" s="9"/>
      <c r="D346" s="9"/>
      <c r="E346" s="9"/>
      <c r="F346" s="9"/>
      <c r="G346" s="59"/>
      <c r="H346" s="9"/>
      <c r="I346" s="9"/>
      <c r="J346" s="9"/>
      <c r="K346" s="9"/>
      <c r="L346" s="9"/>
      <c r="M346" s="9"/>
      <c r="N346" s="9"/>
      <c r="O346" s="9"/>
    </row>
    <row r="347">
      <c r="A347" s="9"/>
      <c r="B347" s="9"/>
      <c r="C347" s="9"/>
      <c r="D347" s="9"/>
      <c r="E347" s="9"/>
      <c r="F347" s="9"/>
      <c r="G347" s="59"/>
      <c r="H347" s="9"/>
      <c r="I347" s="9"/>
      <c r="J347" s="9"/>
      <c r="K347" s="9"/>
      <c r="L347" s="9"/>
      <c r="M347" s="9"/>
      <c r="N347" s="9"/>
      <c r="O347" s="9"/>
    </row>
    <row r="348">
      <c r="A348" s="9"/>
      <c r="B348" s="9"/>
      <c r="C348" s="9"/>
      <c r="D348" s="9"/>
      <c r="E348" s="9"/>
      <c r="F348" s="9"/>
      <c r="G348" s="59"/>
      <c r="H348" s="9"/>
      <c r="I348" s="9"/>
      <c r="J348" s="9"/>
      <c r="K348" s="9"/>
      <c r="L348" s="9"/>
      <c r="M348" s="9"/>
      <c r="N348" s="9"/>
      <c r="O348" s="9"/>
    </row>
    <row r="349">
      <c r="A349" s="9"/>
      <c r="B349" s="9"/>
      <c r="C349" s="9"/>
      <c r="D349" s="9"/>
      <c r="E349" s="9"/>
      <c r="F349" s="9"/>
      <c r="G349" s="59"/>
      <c r="H349" s="9"/>
      <c r="I349" s="9"/>
      <c r="J349" s="9"/>
      <c r="K349" s="9"/>
      <c r="L349" s="9"/>
      <c r="M349" s="9"/>
      <c r="N349" s="9"/>
      <c r="O349" s="9"/>
    </row>
    <row r="350">
      <c r="A350" s="9"/>
      <c r="B350" s="9"/>
      <c r="C350" s="9"/>
      <c r="D350" s="9"/>
      <c r="E350" s="9"/>
      <c r="F350" s="9"/>
      <c r="G350" s="59"/>
      <c r="H350" s="9"/>
      <c r="I350" s="9"/>
      <c r="J350" s="9"/>
      <c r="K350" s="9"/>
      <c r="L350" s="9"/>
      <c r="M350" s="9"/>
      <c r="N350" s="9"/>
      <c r="O350" s="9"/>
    </row>
    <row r="351">
      <c r="A351" s="9"/>
      <c r="B351" s="9"/>
      <c r="C351" s="9"/>
      <c r="D351" s="9"/>
      <c r="E351" s="9"/>
      <c r="F351" s="9"/>
      <c r="G351" s="59"/>
      <c r="H351" s="9"/>
      <c r="I351" s="9"/>
      <c r="J351" s="9"/>
      <c r="K351" s="9"/>
      <c r="L351" s="9"/>
      <c r="M351" s="9"/>
      <c r="N351" s="9"/>
      <c r="O351" s="9"/>
    </row>
    <row r="352">
      <c r="A352" s="9"/>
      <c r="B352" s="9"/>
      <c r="C352" s="9"/>
      <c r="D352" s="9"/>
      <c r="E352" s="9"/>
      <c r="F352" s="9"/>
      <c r="G352" s="59"/>
      <c r="H352" s="9"/>
      <c r="I352" s="9"/>
      <c r="J352" s="9"/>
      <c r="K352" s="9"/>
      <c r="L352" s="9"/>
      <c r="M352" s="9"/>
      <c r="N352" s="9"/>
      <c r="O352" s="9"/>
    </row>
    <row r="353">
      <c r="A353" s="9"/>
      <c r="B353" s="9"/>
      <c r="C353" s="9"/>
      <c r="D353" s="9"/>
      <c r="E353" s="9"/>
      <c r="F353" s="9"/>
      <c r="G353" s="59"/>
      <c r="H353" s="9"/>
      <c r="I353" s="9"/>
      <c r="J353" s="9"/>
      <c r="K353" s="9"/>
      <c r="L353" s="9"/>
      <c r="M353" s="9"/>
      <c r="N353" s="9"/>
      <c r="O353" s="9"/>
    </row>
    <row r="354">
      <c r="A354" s="9"/>
      <c r="B354" s="9"/>
      <c r="C354" s="9"/>
      <c r="D354" s="9"/>
      <c r="E354" s="9"/>
      <c r="F354" s="9"/>
      <c r="G354" s="59"/>
      <c r="H354" s="9"/>
      <c r="I354" s="9"/>
      <c r="J354" s="9"/>
      <c r="K354" s="9"/>
      <c r="L354" s="9"/>
      <c r="M354" s="9"/>
      <c r="N354" s="9"/>
      <c r="O354" s="9"/>
    </row>
    <row r="355">
      <c r="A355" s="9"/>
      <c r="B355" s="9"/>
      <c r="C355" s="9"/>
      <c r="D355" s="9"/>
      <c r="E355" s="9"/>
      <c r="F355" s="9"/>
      <c r="G355" s="59"/>
      <c r="H355" s="9"/>
      <c r="I355" s="9"/>
      <c r="J355" s="9"/>
      <c r="K355" s="9"/>
      <c r="L355" s="9"/>
      <c r="M355" s="9"/>
      <c r="N355" s="9"/>
      <c r="O355" s="9"/>
    </row>
    <row r="356">
      <c r="A356" s="9"/>
      <c r="B356" s="9"/>
      <c r="C356" s="9"/>
      <c r="D356" s="9"/>
      <c r="E356" s="9"/>
      <c r="F356" s="9"/>
      <c r="G356" s="59"/>
      <c r="H356" s="9"/>
      <c r="I356" s="9"/>
      <c r="J356" s="9"/>
      <c r="K356" s="9"/>
      <c r="L356" s="9"/>
      <c r="M356" s="9"/>
      <c r="N356" s="9"/>
      <c r="O356" s="9"/>
    </row>
    <row r="357">
      <c r="A357" s="9"/>
      <c r="B357" s="9"/>
      <c r="C357" s="9"/>
      <c r="D357" s="9"/>
      <c r="E357" s="9"/>
      <c r="F357" s="9"/>
      <c r="G357" s="59"/>
      <c r="H357" s="9"/>
      <c r="I357" s="9"/>
      <c r="J357" s="9"/>
      <c r="K357" s="9"/>
      <c r="L357" s="9"/>
      <c r="M357" s="9"/>
      <c r="N357" s="9"/>
      <c r="O357" s="9"/>
    </row>
    <row r="358">
      <c r="A358" s="9"/>
      <c r="B358" s="9"/>
      <c r="C358" s="9"/>
      <c r="D358" s="9"/>
      <c r="E358" s="9"/>
      <c r="F358" s="9"/>
      <c r="G358" s="59"/>
      <c r="H358" s="9"/>
      <c r="I358" s="9"/>
      <c r="J358" s="9"/>
      <c r="K358" s="9"/>
      <c r="L358" s="9"/>
      <c r="M358" s="9"/>
      <c r="N358" s="9"/>
      <c r="O358" s="9"/>
    </row>
    <row r="359">
      <c r="A359" s="9"/>
      <c r="B359" s="9"/>
      <c r="C359" s="9"/>
      <c r="D359" s="9"/>
      <c r="E359" s="9"/>
      <c r="F359" s="9"/>
      <c r="G359" s="59"/>
      <c r="H359" s="9"/>
      <c r="I359" s="9"/>
      <c r="J359" s="9"/>
      <c r="K359" s="9"/>
      <c r="L359" s="9"/>
      <c r="M359" s="9"/>
      <c r="N359" s="9"/>
      <c r="O359" s="9"/>
    </row>
    <row r="360">
      <c r="A360" s="9"/>
      <c r="B360" s="9"/>
      <c r="C360" s="9"/>
      <c r="D360" s="9"/>
      <c r="E360" s="9"/>
      <c r="F360" s="9"/>
      <c r="G360" s="59"/>
      <c r="H360" s="9"/>
      <c r="I360" s="9"/>
      <c r="J360" s="9"/>
      <c r="K360" s="9"/>
      <c r="L360" s="9"/>
      <c r="M360" s="9"/>
      <c r="N360" s="9"/>
      <c r="O360" s="9"/>
    </row>
    <row r="361">
      <c r="A361" s="9"/>
      <c r="B361" s="9"/>
      <c r="C361" s="9"/>
      <c r="D361" s="9"/>
      <c r="E361" s="9"/>
      <c r="F361" s="9"/>
      <c r="G361" s="59"/>
      <c r="H361" s="9"/>
      <c r="I361" s="9"/>
      <c r="J361" s="9"/>
      <c r="K361" s="9"/>
      <c r="L361" s="9"/>
      <c r="M361" s="9"/>
      <c r="N361" s="9"/>
      <c r="O361" s="9"/>
    </row>
    <row r="362">
      <c r="A362" s="9"/>
      <c r="B362" s="9"/>
      <c r="C362" s="9"/>
      <c r="D362" s="9"/>
      <c r="E362" s="9"/>
      <c r="F362" s="9"/>
      <c r="G362" s="59"/>
      <c r="H362" s="9"/>
      <c r="I362" s="9"/>
      <c r="J362" s="9"/>
      <c r="K362" s="9"/>
      <c r="L362" s="9"/>
      <c r="M362" s="9"/>
      <c r="N362" s="9"/>
      <c r="O362" s="9"/>
    </row>
    <row r="363">
      <c r="A363" s="9"/>
      <c r="B363" s="9"/>
      <c r="C363" s="9"/>
      <c r="D363" s="9"/>
      <c r="E363" s="9"/>
      <c r="F363" s="9"/>
      <c r="G363" s="59"/>
      <c r="H363" s="9"/>
      <c r="I363" s="9"/>
      <c r="J363" s="9"/>
      <c r="K363" s="9"/>
      <c r="L363" s="9"/>
      <c r="M363" s="9"/>
      <c r="N363" s="9"/>
      <c r="O363" s="9"/>
    </row>
    <row r="364">
      <c r="A364" s="9"/>
      <c r="B364" s="9"/>
      <c r="C364" s="9"/>
      <c r="D364" s="9"/>
      <c r="E364" s="9"/>
      <c r="F364" s="9"/>
      <c r="G364" s="59"/>
      <c r="H364" s="9"/>
      <c r="I364" s="9"/>
      <c r="J364" s="9"/>
      <c r="K364" s="9"/>
      <c r="L364" s="9"/>
      <c r="M364" s="9"/>
      <c r="N364" s="9"/>
      <c r="O364" s="9"/>
    </row>
    <row r="365">
      <c r="A365" s="9"/>
      <c r="B365" s="9"/>
      <c r="C365" s="9"/>
      <c r="D365" s="9"/>
      <c r="E365" s="9"/>
      <c r="F365" s="9"/>
      <c r="G365" s="59"/>
      <c r="H365" s="9"/>
      <c r="I365" s="9"/>
      <c r="J365" s="9"/>
      <c r="K365" s="9"/>
      <c r="L365" s="9"/>
      <c r="M365" s="9"/>
      <c r="N365" s="9"/>
      <c r="O365" s="9"/>
    </row>
    <row r="366">
      <c r="A366" s="9"/>
      <c r="B366" s="9"/>
      <c r="C366" s="9"/>
      <c r="D366" s="9"/>
      <c r="E366" s="9"/>
      <c r="F366" s="9"/>
      <c r="G366" s="59"/>
      <c r="H366" s="9"/>
      <c r="I366" s="9"/>
      <c r="J366" s="9"/>
      <c r="K366" s="9"/>
      <c r="L366" s="9"/>
      <c r="M366" s="9"/>
      <c r="N366" s="9"/>
      <c r="O366" s="9"/>
    </row>
    <row r="367">
      <c r="A367" s="9"/>
      <c r="B367" s="9"/>
      <c r="C367" s="9"/>
      <c r="D367" s="9"/>
      <c r="E367" s="9"/>
      <c r="F367" s="9"/>
      <c r="G367" s="59"/>
      <c r="H367" s="9"/>
      <c r="I367" s="9"/>
      <c r="J367" s="9"/>
      <c r="K367" s="9"/>
      <c r="L367" s="9"/>
      <c r="M367" s="9"/>
      <c r="N367" s="9"/>
      <c r="O367" s="9"/>
    </row>
    <row r="368">
      <c r="A368" s="9"/>
      <c r="B368" s="9"/>
      <c r="C368" s="9"/>
      <c r="D368" s="9"/>
      <c r="E368" s="9"/>
      <c r="F368" s="9"/>
      <c r="G368" s="59"/>
      <c r="H368" s="9"/>
      <c r="I368" s="9"/>
      <c r="J368" s="9"/>
      <c r="K368" s="9"/>
      <c r="L368" s="9"/>
      <c r="M368" s="9"/>
      <c r="N368" s="9"/>
      <c r="O368" s="9"/>
    </row>
    <row r="369">
      <c r="A369" s="9"/>
      <c r="B369" s="9"/>
      <c r="C369" s="9"/>
      <c r="D369" s="9"/>
      <c r="E369" s="9"/>
      <c r="F369" s="9"/>
      <c r="G369" s="59"/>
      <c r="H369" s="9"/>
      <c r="I369" s="9"/>
      <c r="J369" s="9"/>
      <c r="K369" s="9"/>
      <c r="L369" s="9"/>
      <c r="M369" s="9"/>
      <c r="N369" s="9"/>
      <c r="O369" s="9"/>
    </row>
    <row r="370">
      <c r="A370" s="9"/>
      <c r="B370" s="9"/>
      <c r="C370" s="9"/>
      <c r="D370" s="9"/>
      <c r="E370" s="9"/>
      <c r="F370" s="9"/>
      <c r="G370" s="59"/>
      <c r="H370" s="9"/>
      <c r="I370" s="9"/>
      <c r="J370" s="9"/>
      <c r="K370" s="9"/>
      <c r="L370" s="9"/>
      <c r="M370" s="9"/>
      <c r="N370" s="9"/>
      <c r="O370" s="9"/>
    </row>
    <row r="371">
      <c r="A371" s="9"/>
      <c r="B371" s="9"/>
      <c r="C371" s="9"/>
      <c r="D371" s="9"/>
      <c r="E371" s="9"/>
      <c r="F371" s="9"/>
      <c r="G371" s="59"/>
      <c r="H371" s="9"/>
      <c r="I371" s="9"/>
      <c r="J371" s="9"/>
      <c r="K371" s="9"/>
      <c r="L371" s="9"/>
      <c r="M371" s="9"/>
      <c r="N371" s="9"/>
      <c r="O371" s="9"/>
    </row>
    <row r="372">
      <c r="A372" s="9"/>
      <c r="B372" s="9"/>
      <c r="C372" s="9"/>
      <c r="D372" s="9"/>
      <c r="E372" s="9"/>
      <c r="F372" s="9"/>
      <c r="G372" s="59"/>
      <c r="H372" s="9"/>
      <c r="I372" s="9"/>
      <c r="J372" s="9"/>
      <c r="K372" s="9"/>
      <c r="L372" s="9"/>
      <c r="M372" s="9"/>
      <c r="N372" s="9"/>
      <c r="O372" s="9"/>
    </row>
    <row r="373">
      <c r="A373" s="9"/>
      <c r="B373" s="9"/>
      <c r="C373" s="9"/>
      <c r="D373" s="9"/>
      <c r="E373" s="9"/>
      <c r="F373" s="9"/>
      <c r="G373" s="59"/>
      <c r="H373" s="9"/>
      <c r="I373" s="9"/>
      <c r="J373" s="9"/>
      <c r="K373" s="9"/>
      <c r="L373" s="9"/>
      <c r="M373" s="9"/>
      <c r="N373" s="9"/>
      <c r="O373" s="9"/>
    </row>
    <row r="374">
      <c r="A374" s="9"/>
      <c r="B374" s="9"/>
      <c r="C374" s="9"/>
      <c r="D374" s="9"/>
      <c r="E374" s="9"/>
      <c r="F374" s="9"/>
      <c r="G374" s="59"/>
      <c r="H374" s="9"/>
      <c r="I374" s="9"/>
      <c r="J374" s="9"/>
      <c r="K374" s="9"/>
      <c r="L374" s="9"/>
      <c r="M374" s="9"/>
      <c r="N374" s="9"/>
      <c r="O374" s="9"/>
    </row>
    <row r="375">
      <c r="A375" s="9"/>
      <c r="B375" s="9"/>
      <c r="C375" s="9"/>
      <c r="D375" s="9"/>
      <c r="E375" s="9"/>
      <c r="F375" s="9"/>
      <c r="G375" s="59"/>
      <c r="H375" s="9"/>
      <c r="I375" s="9"/>
      <c r="J375" s="9"/>
      <c r="K375" s="9"/>
      <c r="L375" s="9"/>
      <c r="M375" s="9"/>
      <c r="N375" s="9"/>
      <c r="O375" s="9"/>
    </row>
    <row r="376">
      <c r="A376" s="9"/>
      <c r="B376" s="9"/>
      <c r="C376" s="9"/>
      <c r="D376" s="9"/>
      <c r="E376" s="9"/>
      <c r="F376" s="9"/>
      <c r="G376" s="59"/>
      <c r="H376" s="9"/>
      <c r="I376" s="9"/>
      <c r="J376" s="9"/>
      <c r="K376" s="9"/>
      <c r="L376" s="9"/>
      <c r="M376" s="9"/>
      <c r="N376" s="9"/>
      <c r="O376" s="9"/>
    </row>
    <row r="377">
      <c r="A377" s="9"/>
      <c r="B377" s="9"/>
      <c r="C377" s="9"/>
      <c r="D377" s="9"/>
      <c r="E377" s="9"/>
      <c r="F377" s="9"/>
      <c r="G377" s="59"/>
      <c r="H377" s="9"/>
      <c r="I377" s="9"/>
      <c r="J377" s="9"/>
      <c r="K377" s="9"/>
      <c r="L377" s="9"/>
      <c r="M377" s="9"/>
      <c r="N377" s="9"/>
      <c r="O377" s="9"/>
    </row>
    <row r="378">
      <c r="A378" s="9"/>
      <c r="B378" s="9"/>
      <c r="C378" s="9"/>
      <c r="D378" s="9"/>
      <c r="E378" s="9"/>
      <c r="F378" s="9"/>
      <c r="G378" s="59"/>
      <c r="H378" s="9"/>
      <c r="I378" s="9"/>
      <c r="J378" s="9"/>
      <c r="K378" s="9"/>
      <c r="L378" s="9"/>
      <c r="M378" s="9"/>
      <c r="N378" s="9"/>
      <c r="O378" s="9"/>
    </row>
    <row r="379">
      <c r="A379" s="9"/>
      <c r="B379" s="9"/>
      <c r="C379" s="9"/>
      <c r="D379" s="9"/>
      <c r="E379" s="9"/>
      <c r="F379" s="9"/>
      <c r="G379" s="59"/>
      <c r="H379" s="9"/>
      <c r="I379" s="9"/>
      <c r="J379" s="9"/>
      <c r="K379" s="9"/>
      <c r="L379" s="9"/>
      <c r="M379" s="9"/>
      <c r="N379" s="9"/>
      <c r="O379" s="9"/>
    </row>
    <row r="380">
      <c r="A380" s="9"/>
      <c r="B380" s="9"/>
      <c r="C380" s="9"/>
      <c r="D380" s="9"/>
      <c r="E380" s="9"/>
      <c r="F380" s="9"/>
      <c r="G380" s="59"/>
      <c r="H380" s="9"/>
      <c r="I380" s="9"/>
      <c r="J380" s="9"/>
      <c r="K380" s="9"/>
      <c r="L380" s="9"/>
      <c r="M380" s="9"/>
      <c r="N380" s="9"/>
      <c r="O380" s="9"/>
    </row>
    <row r="381">
      <c r="A381" s="9"/>
      <c r="B381" s="9"/>
      <c r="C381" s="9"/>
      <c r="D381" s="9"/>
      <c r="E381" s="9"/>
      <c r="F381" s="9"/>
      <c r="G381" s="59"/>
      <c r="H381" s="9"/>
      <c r="I381" s="9"/>
      <c r="J381" s="9"/>
      <c r="K381" s="9"/>
      <c r="L381" s="9"/>
      <c r="M381" s="9"/>
      <c r="N381" s="9"/>
      <c r="O381" s="9"/>
    </row>
    <row r="382">
      <c r="A382" s="9"/>
      <c r="B382" s="9"/>
      <c r="C382" s="9"/>
      <c r="D382" s="9"/>
      <c r="E382" s="9"/>
      <c r="F382" s="9"/>
      <c r="G382" s="59"/>
      <c r="H382" s="9"/>
      <c r="I382" s="9"/>
      <c r="J382" s="9"/>
      <c r="K382" s="9"/>
      <c r="L382" s="9"/>
      <c r="M382" s="9"/>
      <c r="N382" s="9"/>
      <c r="O382" s="9"/>
    </row>
    <row r="383">
      <c r="A383" s="9"/>
      <c r="B383" s="9"/>
      <c r="C383" s="9"/>
      <c r="D383" s="9"/>
      <c r="E383" s="9"/>
      <c r="F383" s="9"/>
      <c r="G383" s="59"/>
      <c r="H383" s="9"/>
      <c r="I383" s="9"/>
      <c r="J383" s="9"/>
      <c r="K383" s="9"/>
      <c r="L383" s="9"/>
      <c r="M383" s="9"/>
      <c r="N383" s="9"/>
      <c r="O383" s="9"/>
    </row>
    <row r="384">
      <c r="A384" s="9"/>
      <c r="B384" s="9"/>
      <c r="C384" s="9"/>
      <c r="D384" s="9"/>
      <c r="E384" s="9"/>
      <c r="F384" s="9"/>
      <c r="G384" s="59"/>
      <c r="H384" s="9"/>
      <c r="I384" s="9"/>
      <c r="J384" s="9"/>
      <c r="K384" s="9"/>
      <c r="L384" s="9"/>
      <c r="M384" s="9"/>
      <c r="N384" s="9"/>
      <c r="O384" s="9"/>
    </row>
    <row r="385">
      <c r="A385" s="9"/>
      <c r="B385" s="9"/>
      <c r="C385" s="9"/>
      <c r="D385" s="9"/>
      <c r="E385" s="9"/>
      <c r="F385" s="9"/>
      <c r="G385" s="59"/>
      <c r="H385" s="9"/>
      <c r="I385" s="9"/>
      <c r="J385" s="9"/>
      <c r="K385" s="9"/>
      <c r="L385" s="9"/>
      <c r="M385" s="9"/>
      <c r="N385" s="9"/>
      <c r="O385" s="9"/>
    </row>
    <row r="386">
      <c r="A386" s="9"/>
      <c r="B386" s="9"/>
      <c r="C386" s="9"/>
      <c r="D386" s="9"/>
      <c r="E386" s="9"/>
      <c r="F386" s="9"/>
      <c r="G386" s="59"/>
      <c r="H386" s="9"/>
      <c r="I386" s="9"/>
      <c r="J386" s="9"/>
      <c r="K386" s="9"/>
      <c r="L386" s="9"/>
      <c r="M386" s="9"/>
      <c r="N386" s="9"/>
      <c r="O386" s="9"/>
    </row>
    <row r="387">
      <c r="A387" s="9"/>
      <c r="B387" s="9"/>
      <c r="C387" s="9"/>
      <c r="D387" s="9"/>
      <c r="E387" s="9"/>
      <c r="F387" s="9"/>
      <c r="G387" s="59"/>
      <c r="H387" s="9"/>
      <c r="I387" s="9"/>
      <c r="J387" s="9"/>
      <c r="K387" s="9"/>
      <c r="L387" s="9"/>
      <c r="M387" s="9"/>
      <c r="N387" s="9"/>
      <c r="O387" s="9"/>
    </row>
    <row r="388">
      <c r="A388" s="9"/>
      <c r="B388" s="9"/>
      <c r="C388" s="9"/>
      <c r="D388" s="9"/>
      <c r="E388" s="9"/>
      <c r="F388" s="9"/>
      <c r="G388" s="59"/>
      <c r="H388" s="9"/>
      <c r="I388" s="9"/>
      <c r="J388" s="9"/>
      <c r="K388" s="9"/>
      <c r="L388" s="9"/>
      <c r="M388" s="9"/>
      <c r="N388" s="9"/>
      <c r="O388" s="9"/>
    </row>
    <row r="389">
      <c r="A389" s="9"/>
      <c r="B389" s="9"/>
      <c r="C389" s="9"/>
      <c r="D389" s="9"/>
      <c r="E389" s="9"/>
      <c r="F389" s="9"/>
      <c r="G389" s="59"/>
      <c r="H389" s="9"/>
      <c r="I389" s="9"/>
      <c r="J389" s="9"/>
      <c r="K389" s="9"/>
      <c r="L389" s="9"/>
      <c r="M389" s="9"/>
      <c r="N389" s="9"/>
      <c r="O389" s="9"/>
    </row>
    <row r="390">
      <c r="A390" s="9"/>
      <c r="B390" s="9"/>
      <c r="C390" s="9"/>
      <c r="D390" s="9"/>
      <c r="E390" s="9"/>
      <c r="F390" s="9"/>
      <c r="G390" s="59"/>
      <c r="H390" s="9"/>
      <c r="I390" s="9"/>
      <c r="J390" s="9"/>
      <c r="K390" s="9"/>
      <c r="L390" s="9"/>
      <c r="M390" s="9"/>
      <c r="N390" s="9"/>
      <c r="O390" s="9"/>
    </row>
    <row r="391">
      <c r="A391" s="9"/>
      <c r="B391" s="9"/>
      <c r="C391" s="9"/>
      <c r="D391" s="9"/>
      <c r="E391" s="9"/>
      <c r="F391" s="9"/>
      <c r="G391" s="59"/>
      <c r="H391" s="9"/>
      <c r="I391" s="9"/>
      <c r="J391" s="9"/>
      <c r="K391" s="9"/>
      <c r="L391" s="9"/>
      <c r="M391" s="9"/>
      <c r="N391" s="9"/>
      <c r="O391" s="9"/>
    </row>
    <row r="392">
      <c r="A392" s="9"/>
      <c r="B392" s="9"/>
      <c r="C392" s="9"/>
      <c r="D392" s="9"/>
      <c r="E392" s="9"/>
      <c r="F392" s="9"/>
      <c r="G392" s="59"/>
      <c r="H392" s="9"/>
      <c r="I392" s="9"/>
      <c r="J392" s="9"/>
      <c r="K392" s="9"/>
      <c r="L392" s="9"/>
      <c r="M392" s="9"/>
      <c r="N392" s="9"/>
      <c r="O392" s="9"/>
    </row>
    <row r="393">
      <c r="A393" s="9"/>
      <c r="B393" s="9"/>
      <c r="C393" s="9"/>
      <c r="D393" s="9"/>
      <c r="E393" s="9"/>
      <c r="F393" s="9"/>
      <c r="G393" s="59"/>
      <c r="H393" s="9"/>
      <c r="I393" s="9"/>
      <c r="J393" s="9"/>
      <c r="K393" s="9"/>
      <c r="L393" s="9"/>
      <c r="M393" s="9"/>
      <c r="N393" s="9"/>
      <c r="O393" s="9"/>
    </row>
    <row r="394">
      <c r="A394" s="9"/>
      <c r="B394" s="9"/>
      <c r="C394" s="9"/>
      <c r="D394" s="9"/>
      <c r="E394" s="9"/>
      <c r="F394" s="9"/>
      <c r="G394" s="59"/>
      <c r="H394" s="9"/>
      <c r="I394" s="9"/>
      <c r="J394" s="9"/>
      <c r="K394" s="9"/>
      <c r="L394" s="9"/>
      <c r="M394" s="9"/>
      <c r="N394" s="9"/>
      <c r="O394" s="9"/>
    </row>
    <row r="395">
      <c r="A395" s="9"/>
      <c r="B395" s="9"/>
      <c r="C395" s="9"/>
      <c r="D395" s="9"/>
      <c r="E395" s="9"/>
      <c r="F395" s="9"/>
      <c r="G395" s="59"/>
      <c r="H395" s="9"/>
      <c r="I395" s="9"/>
      <c r="J395" s="9"/>
      <c r="K395" s="9"/>
      <c r="L395" s="9"/>
      <c r="M395" s="9"/>
      <c r="N395" s="9"/>
      <c r="O395" s="9"/>
    </row>
    <row r="396">
      <c r="A396" s="9"/>
      <c r="B396" s="9"/>
      <c r="C396" s="9"/>
      <c r="D396" s="9"/>
      <c r="E396" s="9"/>
      <c r="F396" s="9"/>
      <c r="G396" s="59"/>
      <c r="H396" s="9"/>
      <c r="I396" s="9"/>
      <c r="J396" s="9"/>
      <c r="K396" s="9"/>
      <c r="L396" s="9"/>
      <c r="M396" s="9"/>
      <c r="N396" s="9"/>
      <c r="O396" s="9"/>
    </row>
    <row r="397">
      <c r="A397" s="9"/>
      <c r="B397" s="9"/>
      <c r="C397" s="9"/>
      <c r="D397" s="9"/>
      <c r="E397" s="9"/>
      <c r="F397" s="9"/>
      <c r="G397" s="59"/>
      <c r="H397" s="9"/>
      <c r="I397" s="9"/>
      <c r="J397" s="9"/>
      <c r="K397" s="9"/>
      <c r="L397" s="9"/>
      <c r="M397" s="9"/>
      <c r="N397" s="9"/>
      <c r="O397" s="9"/>
    </row>
    <row r="398">
      <c r="A398" s="9"/>
      <c r="B398" s="9"/>
      <c r="C398" s="9"/>
      <c r="D398" s="9"/>
      <c r="E398" s="9"/>
      <c r="F398" s="9"/>
      <c r="G398" s="59"/>
      <c r="H398" s="9"/>
      <c r="I398" s="9"/>
      <c r="J398" s="9"/>
      <c r="K398" s="9"/>
      <c r="L398" s="9"/>
      <c r="M398" s="9"/>
      <c r="N398" s="9"/>
      <c r="O398" s="9"/>
    </row>
    <row r="399">
      <c r="A399" s="9"/>
      <c r="B399" s="9"/>
      <c r="C399" s="9"/>
      <c r="D399" s="9"/>
      <c r="E399" s="9"/>
      <c r="F399" s="9"/>
      <c r="G399" s="59"/>
      <c r="H399" s="9"/>
      <c r="I399" s="9"/>
      <c r="J399" s="9"/>
      <c r="K399" s="9"/>
      <c r="L399" s="9"/>
      <c r="M399" s="9"/>
      <c r="N399" s="9"/>
      <c r="O399" s="9"/>
    </row>
    <row r="400">
      <c r="A400" s="9"/>
      <c r="B400" s="9"/>
      <c r="C400" s="9"/>
      <c r="D400" s="9"/>
      <c r="E400" s="9"/>
      <c r="F400" s="9"/>
      <c r="G400" s="59"/>
      <c r="H400" s="9"/>
      <c r="I400" s="9"/>
      <c r="J400" s="9"/>
      <c r="K400" s="9"/>
      <c r="L400" s="9"/>
      <c r="M400" s="9"/>
      <c r="N400" s="9"/>
      <c r="O400" s="9"/>
    </row>
    <row r="401">
      <c r="A401" s="9"/>
      <c r="B401" s="9"/>
      <c r="C401" s="9"/>
      <c r="D401" s="9"/>
      <c r="E401" s="9"/>
      <c r="F401" s="9"/>
      <c r="G401" s="59"/>
      <c r="H401" s="9"/>
      <c r="I401" s="9"/>
      <c r="J401" s="9"/>
      <c r="K401" s="9"/>
      <c r="L401" s="9"/>
      <c r="M401" s="9"/>
      <c r="N401" s="9"/>
      <c r="O401" s="9"/>
    </row>
    <row r="402">
      <c r="A402" s="9"/>
      <c r="B402" s="9"/>
      <c r="C402" s="9"/>
      <c r="D402" s="9"/>
      <c r="E402" s="9"/>
      <c r="F402" s="9"/>
      <c r="G402" s="59"/>
      <c r="H402" s="9"/>
      <c r="I402" s="9"/>
      <c r="J402" s="9"/>
      <c r="K402" s="9"/>
      <c r="L402" s="9"/>
      <c r="M402" s="9"/>
      <c r="N402" s="9"/>
      <c r="O402" s="9"/>
    </row>
    <row r="403">
      <c r="A403" s="9"/>
      <c r="B403" s="9"/>
      <c r="C403" s="9"/>
      <c r="D403" s="9"/>
      <c r="E403" s="9"/>
      <c r="F403" s="9"/>
      <c r="G403" s="59"/>
      <c r="H403" s="9"/>
      <c r="I403" s="9"/>
      <c r="J403" s="9"/>
      <c r="K403" s="9"/>
      <c r="L403" s="9"/>
      <c r="M403" s="9"/>
      <c r="N403" s="9"/>
      <c r="O403" s="9"/>
    </row>
    <row r="404">
      <c r="A404" s="9"/>
      <c r="B404" s="9"/>
      <c r="C404" s="9"/>
      <c r="D404" s="9"/>
      <c r="E404" s="9"/>
      <c r="F404" s="9"/>
      <c r="G404" s="59"/>
      <c r="H404" s="9"/>
      <c r="I404" s="9"/>
      <c r="J404" s="9"/>
      <c r="K404" s="9"/>
      <c r="L404" s="9"/>
      <c r="M404" s="9"/>
      <c r="N404" s="9"/>
      <c r="O404" s="9"/>
    </row>
    <row r="405">
      <c r="A405" s="9"/>
      <c r="B405" s="9"/>
      <c r="C405" s="9"/>
      <c r="D405" s="9"/>
      <c r="E405" s="9"/>
      <c r="F405" s="9"/>
      <c r="G405" s="59"/>
      <c r="H405" s="9"/>
      <c r="I405" s="9"/>
      <c r="J405" s="9"/>
      <c r="K405" s="9"/>
      <c r="L405" s="9"/>
      <c r="M405" s="9"/>
      <c r="N405" s="9"/>
      <c r="O405" s="9"/>
    </row>
    <row r="406">
      <c r="A406" s="9"/>
      <c r="B406" s="9"/>
      <c r="C406" s="9"/>
      <c r="D406" s="9"/>
      <c r="E406" s="9"/>
      <c r="F406" s="9"/>
      <c r="G406" s="59"/>
      <c r="H406" s="9"/>
      <c r="I406" s="9"/>
      <c r="J406" s="9"/>
      <c r="K406" s="9"/>
      <c r="L406" s="9"/>
      <c r="M406" s="9"/>
      <c r="N406" s="9"/>
      <c r="O406" s="9"/>
    </row>
    <row r="407">
      <c r="A407" s="9"/>
      <c r="B407" s="9"/>
      <c r="C407" s="9"/>
      <c r="D407" s="9"/>
      <c r="E407" s="9"/>
      <c r="F407" s="9"/>
      <c r="G407" s="59"/>
      <c r="H407" s="9"/>
      <c r="I407" s="9"/>
      <c r="J407" s="9"/>
      <c r="K407" s="9"/>
      <c r="L407" s="9"/>
      <c r="M407" s="9"/>
      <c r="N407" s="9"/>
      <c r="O407" s="9"/>
    </row>
    <row r="408">
      <c r="A408" s="9"/>
      <c r="B408" s="9"/>
      <c r="C408" s="9"/>
      <c r="D408" s="9"/>
      <c r="E408" s="9"/>
      <c r="F408" s="9"/>
      <c r="G408" s="59"/>
      <c r="H408" s="9"/>
      <c r="I408" s="9"/>
      <c r="J408" s="9"/>
      <c r="K408" s="9"/>
      <c r="L408" s="9"/>
      <c r="M408" s="9"/>
      <c r="N408" s="9"/>
      <c r="O408" s="9"/>
    </row>
    <row r="409">
      <c r="A409" s="9"/>
      <c r="B409" s="9"/>
      <c r="C409" s="9"/>
      <c r="D409" s="9"/>
      <c r="E409" s="9"/>
      <c r="F409" s="9"/>
      <c r="G409" s="59"/>
      <c r="H409" s="9"/>
      <c r="I409" s="9"/>
      <c r="J409" s="9"/>
      <c r="K409" s="9"/>
      <c r="L409" s="9"/>
      <c r="M409" s="9"/>
      <c r="N409" s="9"/>
      <c r="O409" s="9"/>
    </row>
    <row r="410">
      <c r="A410" s="9"/>
      <c r="B410" s="9"/>
      <c r="C410" s="9"/>
      <c r="D410" s="9"/>
      <c r="E410" s="9"/>
      <c r="F410" s="9"/>
      <c r="G410" s="59"/>
      <c r="H410" s="9"/>
      <c r="I410" s="9"/>
      <c r="J410" s="9"/>
      <c r="K410" s="9"/>
      <c r="L410" s="9"/>
      <c r="M410" s="9"/>
      <c r="N410" s="9"/>
      <c r="O410" s="9"/>
    </row>
    <row r="411">
      <c r="A411" s="9"/>
      <c r="B411" s="9"/>
      <c r="C411" s="9"/>
      <c r="D411" s="9"/>
      <c r="E411" s="9"/>
      <c r="F411" s="9"/>
      <c r="G411" s="59"/>
      <c r="H411" s="9"/>
      <c r="I411" s="9"/>
      <c r="J411" s="9"/>
      <c r="K411" s="9"/>
      <c r="L411" s="9"/>
      <c r="M411" s="9"/>
      <c r="N411" s="9"/>
      <c r="O411" s="9"/>
    </row>
    <row r="412">
      <c r="A412" s="9"/>
      <c r="B412" s="9"/>
      <c r="C412" s="9"/>
      <c r="D412" s="9"/>
      <c r="E412" s="9"/>
      <c r="F412" s="9"/>
      <c r="G412" s="59"/>
      <c r="H412" s="9"/>
      <c r="I412" s="9"/>
      <c r="J412" s="9"/>
      <c r="K412" s="9"/>
      <c r="L412" s="9"/>
      <c r="M412" s="9"/>
      <c r="N412" s="9"/>
      <c r="O412" s="9"/>
    </row>
    <row r="413">
      <c r="A413" s="9"/>
      <c r="B413" s="9"/>
      <c r="C413" s="9"/>
      <c r="D413" s="9"/>
      <c r="E413" s="9"/>
      <c r="F413" s="9"/>
      <c r="G413" s="59"/>
      <c r="H413" s="9"/>
      <c r="I413" s="9"/>
      <c r="J413" s="9"/>
      <c r="K413" s="9"/>
      <c r="L413" s="9"/>
      <c r="M413" s="9"/>
      <c r="N413" s="9"/>
      <c r="O413" s="9"/>
    </row>
    <row r="414">
      <c r="A414" s="9"/>
      <c r="B414" s="9"/>
      <c r="C414" s="9"/>
      <c r="D414" s="9"/>
      <c r="E414" s="9"/>
      <c r="F414" s="9"/>
      <c r="G414" s="59"/>
      <c r="H414" s="9"/>
      <c r="I414" s="9"/>
      <c r="J414" s="9"/>
      <c r="K414" s="9"/>
      <c r="L414" s="9"/>
      <c r="M414" s="9"/>
      <c r="N414" s="9"/>
      <c r="O414" s="9"/>
    </row>
    <row r="415">
      <c r="A415" s="9"/>
      <c r="B415" s="9"/>
      <c r="C415" s="9"/>
      <c r="D415" s="9"/>
      <c r="E415" s="9"/>
      <c r="F415" s="9"/>
      <c r="G415" s="59"/>
      <c r="H415" s="9"/>
      <c r="I415" s="9"/>
      <c r="J415" s="9"/>
      <c r="K415" s="9"/>
      <c r="L415" s="9"/>
      <c r="M415" s="9"/>
      <c r="N415" s="9"/>
      <c r="O415" s="9"/>
    </row>
    <row r="416">
      <c r="A416" s="9"/>
      <c r="B416" s="9"/>
      <c r="C416" s="9"/>
      <c r="D416" s="9"/>
      <c r="E416" s="9"/>
      <c r="F416" s="9"/>
      <c r="G416" s="59"/>
      <c r="H416" s="9"/>
      <c r="I416" s="9"/>
      <c r="J416" s="9"/>
      <c r="K416" s="9"/>
      <c r="L416" s="9"/>
      <c r="M416" s="9"/>
      <c r="N416" s="9"/>
      <c r="O416" s="9"/>
    </row>
    <row r="417">
      <c r="A417" s="9"/>
      <c r="B417" s="9"/>
      <c r="C417" s="9"/>
      <c r="D417" s="9"/>
      <c r="E417" s="9"/>
      <c r="F417" s="9"/>
      <c r="G417" s="59"/>
      <c r="H417" s="9"/>
      <c r="I417" s="9"/>
      <c r="J417" s="9"/>
      <c r="K417" s="9"/>
      <c r="L417" s="9"/>
      <c r="M417" s="9"/>
      <c r="N417" s="9"/>
      <c r="O417" s="9"/>
    </row>
    <row r="418">
      <c r="A418" s="9"/>
      <c r="B418" s="9"/>
      <c r="C418" s="9"/>
      <c r="D418" s="9"/>
      <c r="E418" s="9"/>
      <c r="F418" s="9"/>
      <c r="G418" s="59"/>
      <c r="H418" s="9"/>
      <c r="I418" s="9"/>
      <c r="J418" s="9"/>
      <c r="K418" s="9"/>
      <c r="L418" s="9"/>
      <c r="M418" s="9"/>
      <c r="N418" s="9"/>
      <c r="O418" s="9"/>
    </row>
    <row r="419">
      <c r="A419" s="9"/>
      <c r="B419" s="9"/>
      <c r="C419" s="9"/>
      <c r="D419" s="9"/>
      <c r="E419" s="9"/>
      <c r="F419" s="9"/>
      <c r="G419" s="59"/>
      <c r="H419" s="9"/>
      <c r="I419" s="9"/>
      <c r="J419" s="9"/>
      <c r="K419" s="9"/>
      <c r="L419" s="9"/>
      <c r="M419" s="9"/>
      <c r="N419" s="9"/>
      <c r="O419" s="9"/>
    </row>
    <row r="420">
      <c r="A420" s="9"/>
      <c r="B420" s="9"/>
      <c r="C420" s="9"/>
      <c r="D420" s="9"/>
      <c r="E420" s="9"/>
      <c r="F420" s="9"/>
      <c r="G420" s="59"/>
      <c r="H420" s="9"/>
      <c r="I420" s="9"/>
      <c r="J420" s="9"/>
      <c r="K420" s="9"/>
      <c r="L420" s="9"/>
      <c r="M420" s="9"/>
      <c r="N420" s="9"/>
      <c r="O420" s="9"/>
    </row>
    <row r="421">
      <c r="A421" s="9"/>
      <c r="B421" s="9"/>
      <c r="C421" s="9"/>
      <c r="D421" s="9"/>
      <c r="E421" s="9"/>
      <c r="F421" s="9"/>
      <c r="G421" s="59"/>
      <c r="H421" s="9"/>
      <c r="I421" s="9"/>
      <c r="J421" s="9"/>
      <c r="K421" s="9"/>
      <c r="L421" s="9"/>
      <c r="M421" s="9"/>
      <c r="N421" s="9"/>
      <c r="O421" s="9"/>
    </row>
    <row r="422">
      <c r="A422" s="9"/>
      <c r="B422" s="9"/>
      <c r="C422" s="9"/>
      <c r="D422" s="9"/>
      <c r="E422" s="9"/>
      <c r="F422" s="9"/>
      <c r="G422" s="59"/>
      <c r="H422" s="9"/>
      <c r="I422" s="9"/>
      <c r="J422" s="9"/>
      <c r="K422" s="9"/>
      <c r="L422" s="9"/>
      <c r="M422" s="9"/>
      <c r="N422" s="9"/>
      <c r="O422" s="9"/>
    </row>
    <row r="423">
      <c r="A423" s="9"/>
      <c r="B423" s="9"/>
      <c r="C423" s="9"/>
      <c r="D423" s="9"/>
      <c r="E423" s="9"/>
      <c r="F423" s="9"/>
      <c r="G423" s="59"/>
      <c r="H423" s="9"/>
      <c r="I423" s="9"/>
      <c r="J423" s="9"/>
      <c r="K423" s="9"/>
      <c r="L423" s="9"/>
      <c r="M423" s="9"/>
      <c r="N423" s="9"/>
      <c r="O423" s="9"/>
    </row>
    <row r="424">
      <c r="A424" s="9"/>
      <c r="B424" s="9"/>
      <c r="C424" s="9"/>
      <c r="D424" s="9"/>
      <c r="E424" s="9"/>
      <c r="F424" s="9"/>
      <c r="G424" s="59"/>
      <c r="H424" s="9"/>
      <c r="I424" s="9"/>
      <c r="J424" s="9"/>
      <c r="K424" s="9"/>
      <c r="L424" s="9"/>
      <c r="M424" s="9"/>
      <c r="N424" s="9"/>
      <c r="O424" s="9"/>
    </row>
    <row r="425">
      <c r="A425" s="9"/>
      <c r="B425" s="9"/>
      <c r="C425" s="9"/>
      <c r="D425" s="9"/>
      <c r="E425" s="9"/>
      <c r="F425" s="9"/>
      <c r="G425" s="59"/>
      <c r="H425" s="9"/>
      <c r="I425" s="9"/>
      <c r="J425" s="9"/>
      <c r="K425" s="9"/>
      <c r="L425" s="9"/>
      <c r="M425" s="9"/>
      <c r="N425" s="9"/>
      <c r="O425" s="9"/>
    </row>
    <row r="426">
      <c r="A426" s="9"/>
      <c r="B426" s="9"/>
      <c r="C426" s="9"/>
      <c r="D426" s="9"/>
      <c r="E426" s="9"/>
      <c r="F426" s="9"/>
      <c r="G426" s="59"/>
      <c r="H426" s="9"/>
      <c r="I426" s="9"/>
      <c r="J426" s="9"/>
      <c r="K426" s="9"/>
      <c r="L426" s="9"/>
      <c r="M426" s="9"/>
      <c r="N426" s="9"/>
      <c r="O426" s="9"/>
    </row>
    <row r="427">
      <c r="A427" s="9"/>
      <c r="B427" s="9"/>
      <c r="C427" s="9"/>
      <c r="D427" s="9"/>
      <c r="E427" s="9"/>
      <c r="F427" s="9"/>
      <c r="G427" s="59"/>
      <c r="H427" s="9"/>
      <c r="I427" s="9"/>
      <c r="J427" s="9"/>
      <c r="K427" s="9"/>
      <c r="L427" s="9"/>
      <c r="M427" s="9"/>
      <c r="N427" s="9"/>
      <c r="O427" s="9"/>
    </row>
    <row r="428">
      <c r="A428" s="9"/>
      <c r="B428" s="9"/>
      <c r="C428" s="9"/>
      <c r="D428" s="9"/>
      <c r="E428" s="9"/>
      <c r="F428" s="9"/>
      <c r="G428" s="59"/>
      <c r="H428" s="9"/>
      <c r="I428" s="9"/>
      <c r="J428" s="9"/>
      <c r="K428" s="9"/>
      <c r="L428" s="9"/>
      <c r="M428" s="9"/>
      <c r="N428" s="9"/>
      <c r="O428" s="9"/>
    </row>
    <row r="429">
      <c r="A429" s="9"/>
      <c r="B429" s="9"/>
      <c r="C429" s="9"/>
      <c r="D429" s="9"/>
      <c r="E429" s="9"/>
      <c r="F429" s="9"/>
      <c r="G429" s="59"/>
      <c r="H429" s="9"/>
      <c r="I429" s="9"/>
      <c r="J429" s="9"/>
      <c r="K429" s="9"/>
      <c r="L429" s="9"/>
      <c r="M429" s="9"/>
      <c r="N429" s="9"/>
      <c r="O429" s="9"/>
    </row>
    <row r="430">
      <c r="A430" s="9"/>
      <c r="B430" s="9"/>
      <c r="C430" s="9"/>
      <c r="D430" s="9"/>
      <c r="E430" s="9"/>
      <c r="F430" s="9"/>
      <c r="G430" s="59"/>
      <c r="H430" s="9"/>
      <c r="I430" s="9"/>
      <c r="J430" s="9"/>
      <c r="K430" s="9"/>
      <c r="L430" s="9"/>
      <c r="M430" s="9"/>
      <c r="N430" s="9"/>
      <c r="O430" s="9"/>
    </row>
    <row r="431">
      <c r="A431" s="9"/>
      <c r="B431" s="9"/>
      <c r="C431" s="9"/>
      <c r="D431" s="9"/>
      <c r="E431" s="9"/>
      <c r="F431" s="9"/>
      <c r="G431" s="59"/>
      <c r="H431" s="9"/>
      <c r="I431" s="9"/>
      <c r="J431" s="9"/>
      <c r="K431" s="9"/>
      <c r="L431" s="9"/>
      <c r="M431" s="9"/>
      <c r="N431" s="9"/>
      <c r="O431" s="9"/>
    </row>
    <row r="432">
      <c r="A432" s="9"/>
      <c r="B432" s="9"/>
      <c r="C432" s="9"/>
      <c r="D432" s="9"/>
      <c r="E432" s="9"/>
      <c r="F432" s="9"/>
      <c r="G432" s="59"/>
      <c r="H432" s="9"/>
      <c r="I432" s="9"/>
      <c r="J432" s="9"/>
      <c r="K432" s="9"/>
      <c r="L432" s="9"/>
      <c r="M432" s="9"/>
      <c r="N432" s="9"/>
      <c r="O432" s="9"/>
    </row>
    <row r="433">
      <c r="A433" s="9"/>
      <c r="B433" s="9"/>
      <c r="C433" s="9"/>
      <c r="D433" s="9"/>
      <c r="E433" s="9"/>
      <c r="F433" s="9"/>
      <c r="G433" s="59"/>
      <c r="H433" s="9"/>
      <c r="I433" s="9"/>
      <c r="J433" s="9"/>
      <c r="K433" s="9"/>
      <c r="L433" s="9"/>
      <c r="M433" s="9"/>
      <c r="N433" s="9"/>
      <c r="O433" s="9"/>
    </row>
    <row r="434">
      <c r="A434" s="9"/>
      <c r="B434" s="9"/>
      <c r="C434" s="9"/>
      <c r="D434" s="9"/>
      <c r="E434" s="9"/>
      <c r="F434" s="9"/>
      <c r="G434" s="59"/>
      <c r="H434" s="9"/>
      <c r="I434" s="9"/>
      <c r="J434" s="9"/>
      <c r="K434" s="9"/>
      <c r="L434" s="9"/>
      <c r="M434" s="9"/>
      <c r="N434" s="9"/>
      <c r="O434" s="9"/>
    </row>
    <row r="435">
      <c r="A435" s="9"/>
      <c r="B435" s="9"/>
      <c r="C435" s="9"/>
      <c r="D435" s="9"/>
      <c r="E435" s="9"/>
      <c r="F435" s="9"/>
      <c r="G435" s="59"/>
      <c r="H435" s="9"/>
      <c r="I435" s="9"/>
      <c r="J435" s="9"/>
      <c r="K435" s="9"/>
      <c r="L435" s="9"/>
      <c r="M435" s="9"/>
      <c r="N435" s="9"/>
      <c r="O435" s="9"/>
    </row>
    <row r="436">
      <c r="A436" s="9"/>
      <c r="B436" s="9"/>
      <c r="C436" s="9"/>
      <c r="D436" s="9"/>
      <c r="E436" s="9"/>
      <c r="F436" s="9"/>
      <c r="G436" s="59"/>
      <c r="H436" s="9"/>
      <c r="I436" s="9"/>
      <c r="J436" s="9"/>
      <c r="K436" s="9"/>
      <c r="L436" s="9"/>
      <c r="M436" s="9"/>
      <c r="N436" s="9"/>
      <c r="O436" s="9"/>
    </row>
    <row r="437">
      <c r="A437" s="9"/>
      <c r="B437" s="9"/>
      <c r="C437" s="9"/>
      <c r="D437" s="9"/>
      <c r="E437" s="9"/>
      <c r="F437" s="9"/>
      <c r="G437" s="59"/>
      <c r="H437" s="9"/>
      <c r="I437" s="9"/>
      <c r="J437" s="9"/>
      <c r="K437" s="9"/>
      <c r="L437" s="9"/>
      <c r="M437" s="9"/>
      <c r="N437" s="9"/>
      <c r="O437" s="9"/>
    </row>
    <row r="438">
      <c r="A438" s="9"/>
      <c r="B438" s="9"/>
      <c r="C438" s="9"/>
      <c r="D438" s="9"/>
      <c r="E438" s="9"/>
      <c r="F438" s="9"/>
      <c r="G438" s="59"/>
      <c r="H438" s="9"/>
      <c r="I438" s="9"/>
      <c r="J438" s="9"/>
      <c r="K438" s="9"/>
      <c r="L438" s="9"/>
      <c r="M438" s="9"/>
      <c r="N438" s="9"/>
      <c r="O438" s="9"/>
    </row>
    <row r="439">
      <c r="A439" s="9"/>
      <c r="B439" s="9"/>
      <c r="C439" s="9"/>
      <c r="D439" s="9"/>
      <c r="E439" s="9"/>
      <c r="F439" s="9"/>
      <c r="G439" s="59"/>
      <c r="H439" s="9"/>
      <c r="I439" s="9"/>
      <c r="J439" s="9"/>
      <c r="K439" s="9"/>
      <c r="L439" s="9"/>
      <c r="M439" s="9"/>
      <c r="N439" s="9"/>
      <c r="O439" s="9"/>
    </row>
    <row r="440">
      <c r="A440" s="9"/>
      <c r="B440" s="9"/>
      <c r="C440" s="9"/>
      <c r="D440" s="9"/>
      <c r="E440" s="9"/>
      <c r="F440" s="9"/>
      <c r="G440" s="59"/>
      <c r="H440" s="9"/>
      <c r="I440" s="9"/>
      <c r="J440" s="9"/>
      <c r="K440" s="9"/>
      <c r="L440" s="9"/>
      <c r="M440" s="9"/>
      <c r="N440" s="9"/>
      <c r="O440" s="9"/>
    </row>
    <row r="441">
      <c r="A441" s="9"/>
      <c r="B441" s="9"/>
      <c r="C441" s="9"/>
      <c r="D441" s="9"/>
      <c r="E441" s="9"/>
      <c r="F441" s="9"/>
      <c r="G441" s="59"/>
      <c r="H441" s="9"/>
      <c r="I441" s="9"/>
      <c r="J441" s="9"/>
      <c r="K441" s="9"/>
      <c r="L441" s="9"/>
      <c r="M441" s="9"/>
      <c r="N441" s="9"/>
      <c r="O441" s="9"/>
    </row>
    <row r="442">
      <c r="A442" s="9"/>
      <c r="B442" s="9"/>
      <c r="C442" s="9"/>
      <c r="D442" s="9"/>
      <c r="E442" s="9"/>
      <c r="F442" s="9"/>
      <c r="G442" s="59"/>
      <c r="H442" s="9"/>
      <c r="I442" s="9"/>
      <c r="J442" s="9"/>
      <c r="K442" s="9"/>
      <c r="L442" s="9"/>
      <c r="M442" s="9"/>
      <c r="N442" s="9"/>
      <c r="O442" s="9"/>
    </row>
    <row r="443">
      <c r="A443" s="9"/>
      <c r="B443" s="9"/>
      <c r="C443" s="9"/>
      <c r="D443" s="9"/>
      <c r="E443" s="9"/>
      <c r="F443" s="9"/>
      <c r="G443" s="59"/>
      <c r="H443" s="9"/>
      <c r="I443" s="9"/>
      <c r="J443" s="9"/>
      <c r="K443" s="9"/>
      <c r="L443" s="9"/>
      <c r="M443" s="9"/>
      <c r="N443" s="9"/>
      <c r="O443" s="9"/>
    </row>
    <row r="444">
      <c r="A444" s="9"/>
      <c r="B444" s="9"/>
      <c r="C444" s="9"/>
      <c r="D444" s="9"/>
      <c r="E444" s="9"/>
      <c r="F444" s="9"/>
      <c r="G444" s="59"/>
      <c r="H444" s="9"/>
      <c r="I444" s="9"/>
      <c r="J444" s="9"/>
      <c r="K444" s="9"/>
      <c r="L444" s="9"/>
      <c r="M444" s="9"/>
      <c r="N444" s="9"/>
      <c r="O444" s="9"/>
    </row>
    <row r="445">
      <c r="A445" s="9"/>
      <c r="B445" s="9"/>
      <c r="C445" s="9"/>
      <c r="D445" s="9"/>
      <c r="E445" s="9"/>
      <c r="F445" s="9"/>
      <c r="G445" s="59"/>
      <c r="H445" s="9"/>
      <c r="I445" s="9"/>
      <c r="J445" s="9"/>
      <c r="K445" s="9"/>
      <c r="L445" s="9"/>
      <c r="M445" s="9"/>
      <c r="N445" s="9"/>
      <c r="O445" s="9"/>
    </row>
    <row r="446">
      <c r="A446" s="9"/>
      <c r="B446" s="9"/>
      <c r="C446" s="9"/>
      <c r="D446" s="9"/>
      <c r="E446" s="9"/>
      <c r="F446" s="9"/>
      <c r="G446" s="59"/>
      <c r="H446" s="9"/>
      <c r="I446" s="9"/>
      <c r="J446" s="9"/>
      <c r="K446" s="9"/>
      <c r="L446" s="9"/>
      <c r="M446" s="9"/>
      <c r="N446" s="9"/>
      <c r="O446" s="9"/>
    </row>
    <row r="447">
      <c r="A447" s="9"/>
      <c r="B447" s="9"/>
      <c r="C447" s="9"/>
      <c r="D447" s="9"/>
      <c r="E447" s="9"/>
      <c r="F447" s="9"/>
      <c r="G447" s="59"/>
      <c r="H447" s="9"/>
      <c r="I447" s="9"/>
      <c r="J447" s="9"/>
      <c r="K447" s="9"/>
      <c r="L447" s="9"/>
      <c r="M447" s="9"/>
      <c r="N447" s="9"/>
      <c r="O447" s="9"/>
    </row>
    <row r="448">
      <c r="A448" s="9"/>
      <c r="B448" s="9"/>
      <c r="C448" s="9"/>
      <c r="D448" s="9"/>
      <c r="E448" s="9"/>
      <c r="F448" s="9"/>
      <c r="G448" s="59"/>
      <c r="H448" s="9"/>
      <c r="I448" s="9"/>
      <c r="J448" s="9"/>
      <c r="K448" s="9"/>
      <c r="L448" s="9"/>
      <c r="M448" s="9"/>
      <c r="N448" s="9"/>
      <c r="O448" s="9"/>
    </row>
    <row r="449">
      <c r="A449" s="9"/>
      <c r="B449" s="9"/>
      <c r="C449" s="9"/>
      <c r="D449" s="9"/>
      <c r="E449" s="9"/>
      <c r="F449" s="9"/>
      <c r="G449" s="59"/>
      <c r="H449" s="9"/>
      <c r="I449" s="9"/>
      <c r="J449" s="9"/>
      <c r="K449" s="9"/>
      <c r="L449" s="9"/>
      <c r="M449" s="9"/>
      <c r="N449" s="9"/>
      <c r="O449" s="9"/>
    </row>
    <row r="450">
      <c r="A450" s="9"/>
      <c r="B450" s="9"/>
      <c r="C450" s="9"/>
      <c r="D450" s="9"/>
      <c r="E450" s="9"/>
      <c r="F450" s="9"/>
      <c r="G450" s="59"/>
      <c r="H450" s="9"/>
      <c r="I450" s="9"/>
      <c r="J450" s="9"/>
      <c r="K450" s="9"/>
      <c r="L450" s="9"/>
      <c r="M450" s="9"/>
      <c r="N450" s="9"/>
      <c r="O450" s="9"/>
    </row>
    <row r="451">
      <c r="A451" s="9"/>
      <c r="B451" s="9"/>
      <c r="C451" s="9"/>
      <c r="D451" s="9"/>
      <c r="E451" s="9"/>
      <c r="F451" s="9"/>
      <c r="G451" s="59"/>
      <c r="H451" s="9"/>
      <c r="I451" s="9"/>
      <c r="J451" s="9"/>
      <c r="K451" s="9"/>
      <c r="L451" s="9"/>
      <c r="M451" s="9"/>
      <c r="N451" s="9"/>
      <c r="O451" s="9"/>
    </row>
    <row r="452">
      <c r="A452" s="9"/>
      <c r="B452" s="9"/>
      <c r="C452" s="9"/>
      <c r="D452" s="9"/>
      <c r="E452" s="9"/>
      <c r="F452" s="9"/>
      <c r="G452" s="59"/>
      <c r="H452" s="9"/>
      <c r="I452" s="9"/>
      <c r="J452" s="9"/>
      <c r="K452" s="9"/>
      <c r="L452" s="9"/>
      <c r="M452" s="9"/>
      <c r="N452" s="9"/>
      <c r="O452" s="9"/>
    </row>
    <row r="453">
      <c r="A453" s="9"/>
      <c r="B453" s="9"/>
      <c r="C453" s="9"/>
      <c r="D453" s="9"/>
      <c r="E453" s="9"/>
      <c r="F453" s="9"/>
      <c r="G453" s="59"/>
      <c r="H453" s="9"/>
      <c r="I453" s="9"/>
      <c r="J453" s="9"/>
      <c r="K453" s="9"/>
      <c r="L453" s="9"/>
      <c r="M453" s="9"/>
      <c r="N453" s="9"/>
      <c r="O453" s="9"/>
    </row>
    <row r="454">
      <c r="A454" s="9"/>
      <c r="B454" s="9"/>
      <c r="C454" s="9"/>
      <c r="D454" s="9"/>
      <c r="E454" s="9"/>
      <c r="F454" s="9"/>
      <c r="G454" s="59"/>
      <c r="H454" s="9"/>
      <c r="I454" s="9"/>
      <c r="J454" s="9"/>
      <c r="K454" s="9"/>
      <c r="L454" s="9"/>
      <c r="M454" s="9"/>
      <c r="N454" s="9"/>
      <c r="O454" s="9"/>
    </row>
    <row r="455">
      <c r="A455" s="9"/>
      <c r="B455" s="9"/>
      <c r="C455" s="9"/>
      <c r="D455" s="9"/>
      <c r="E455" s="9"/>
      <c r="F455" s="9"/>
      <c r="G455" s="59"/>
      <c r="H455" s="9"/>
      <c r="I455" s="9"/>
      <c r="J455" s="9"/>
      <c r="K455" s="9"/>
      <c r="L455" s="9"/>
      <c r="M455" s="9"/>
      <c r="N455" s="9"/>
      <c r="O455" s="9"/>
    </row>
    <row r="456">
      <c r="A456" s="9"/>
      <c r="B456" s="9"/>
      <c r="C456" s="9"/>
      <c r="D456" s="9"/>
      <c r="E456" s="9"/>
      <c r="F456" s="9"/>
      <c r="G456" s="59"/>
      <c r="H456" s="9"/>
      <c r="I456" s="9"/>
      <c r="J456" s="9"/>
      <c r="K456" s="9"/>
      <c r="L456" s="9"/>
      <c r="M456" s="9"/>
      <c r="N456" s="9"/>
      <c r="O456" s="9"/>
    </row>
    <row r="457">
      <c r="A457" s="9"/>
      <c r="B457" s="9"/>
      <c r="C457" s="9"/>
      <c r="D457" s="9"/>
      <c r="E457" s="9"/>
      <c r="F457" s="9"/>
      <c r="G457" s="59"/>
      <c r="H457" s="9"/>
      <c r="I457" s="9"/>
      <c r="J457" s="9"/>
      <c r="K457" s="9"/>
      <c r="L457" s="9"/>
      <c r="M457" s="9"/>
      <c r="N457" s="9"/>
      <c r="O457" s="9"/>
    </row>
    <row r="458">
      <c r="A458" s="9"/>
      <c r="B458" s="9"/>
      <c r="C458" s="9"/>
      <c r="D458" s="9"/>
      <c r="E458" s="9"/>
      <c r="F458" s="9"/>
      <c r="G458" s="59"/>
      <c r="H458" s="9"/>
      <c r="I458" s="9"/>
      <c r="J458" s="9"/>
      <c r="K458" s="9"/>
      <c r="L458" s="9"/>
      <c r="M458" s="9"/>
      <c r="N458" s="9"/>
      <c r="O458" s="9"/>
    </row>
    <row r="459">
      <c r="A459" s="9"/>
      <c r="B459" s="9"/>
      <c r="C459" s="9"/>
      <c r="D459" s="9"/>
      <c r="E459" s="9"/>
      <c r="F459" s="9"/>
      <c r="G459" s="59"/>
      <c r="H459" s="9"/>
      <c r="I459" s="9"/>
      <c r="J459" s="9"/>
      <c r="K459" s="9"/>
      <c r="L459" s="9"/>
      <c r="M459" s="9"/>
      <c r="N459" s="9"/>
      <c r="O459" s="9"/>
    </row>
    <row r="460">
      <c r="A460" s="9"/>
      <c r="B460" s="9"/>
      <c r="C460" s="9"/>
      <c r="D460" s="9"/>
      <c r="E460" s="9"/>
      <c r="F460" s="9"/>
      <c r="G460" s="59"/>
      <c r="H460" s="9"/>
      <c r="I460" s="9"/>
      <c r="J460" s="9"/>
      <c r="K460" s="9"/>
      <c r="L460" s="9"/>
      <c r="M460" s="9"/>
      <c r="N460" s="9"/>
      <c r="O460" s="9"/>
    </row>
    <row r="461">
      <c r="A461" s="9"/>
      <c r="B461" s="9"/>
      <c r="C461" s="9"/>
      <c r="D461" s="9"/>
      <c r="E461" s="9"/>
      <c r="F461" s="9"/>
      <c r="G461" s="59"/>
      <c r="H461" s="9"/>
      <c r="I461" s="9"/>
      <c r="J461" s="9"/>
      <c r="K461" s="9"/>
      <c r="L461" s="9"/>
      <c r="M461" s="9"/>
      <c r="N461" s="9"/>
      <c r="O461" s="9"/>
    </row>
    <row r="462">
      <c r="A462" s="9"/>
      <c r="B462" s="9"/>
      <c r="C462" s="9"/>
      <c r="D462" s="9"/>
      <c r="E462" s="9"/>
      <c r="F462" s="9"/>
      <c r="G462" s="59"/>
      <c r="H462" s="9"/>
      <c r="I462" s="9"/>
      <c r="J462" s="9"/>
      <c r="K462" s="9"/>
      <c r="L462" s="9"/>
      <c r="M462" s="9"/>
      <c r="N462" s="9"/>
      <c r="O462" s="9"/>
    </row>
    <row r="463">
      <c r="A463" s="9"/>
      <c r="B463" s="9"/>
      <c r="C463" s="9"/>
      <c r="D463" s="9"/>
      <c r="E463" s="9"/>
      <c r="F463" s="9"/>
      <c r="G463" s="59"/>
      <c r="H463" s="9"/>
      <c r="I463" s="9"/>
      <c r="J463" s="9"/>
      <c r="K463" s="9"/>
      <c r="L463" s="9"/>
      <c r="M463" s="9"/>
      <c r="N463" s="9"/>
      <c r="O463" s="9"/>
    </row>
    <row r="464">
      <c r="A464" s="9"/>
      <c r="B464" s="9"/>
      <c r="C464" s="9"/>
      <c r="D464" s="9"/>
      <c r="E464" s="9"/>
      <c r="F464" s="9"/>
      <c r="G464" s="59"/>
      <c r="H464" s="9"/>
      <c r="I464" s="9"/>
      <c r="J464" s="9"/>
      <c r="K464" s="9"/>
      <c r="L464" s="9"/>
      <c r="M464" s="9"/>
      <c r="N464" s="9"/>
      <c r="O464" s="9"/>
    </row>
    <row r="465">
      <c r="A465" s="9"/>
      <c r="B465" s="9"/>
      <c r="C465" s="9"/>
      <c r="D465" s="9"/>
      <c r="E465" s="9"/>
      <c r="F465" s="9"/>
      <c r="G465" s="59"/>
      <c r="H465" s="9"/>
      <c r="I465" s="9"/>
      <c r="J465" s="9"/>
      <c r="K465" s="9"/>
      <c r="L465" s="9"/>
      <c r="M465" s="9"/>
      <c r="N465" s="9"/>
      <c r="O465" s="9"/>
    </row>
    <row r="466">
      <c r="A466" s="9"/>
      <c r="B466" s="9"/>
      <c r="C466" s="9"/>
      <c r="D466" s="9"/>
      <c r="E466" s="9"/>
      <c r="F466" s="9"/>
      <c r="G466" s="59"/>
      <c r="H466" s="9"/>
      <c r="I466" s="9"/>
      <c r="J466" s="9"/>
      <c r="K466" s="9"/>
      <c r="L466" s="9"/>
      <c r="M466" s="9"/>
      <c r="N466" s="9"/>
      <c r="O466" s="9"/>
    </row>
    <row r="467">
      <c r="A467" s="9"/>
      <c r="B467" s="9"/>
      <c r="C467" s="9"/>
      <c r="D467" s="9"/>
      <c r="E467" s="9"/>
      <c r="F467" s="9"/>
      <c r="G467" s="59"/>
      <c r="H467" s="9"/>
      <c r="I467" s="9"/>
      <c r="J467" s="9"/>
      <c r="K467" s="9"/>
      <c r="L467" s="9"/>
      <c r="M467" s="9"/>
      <c r="N467" s="9"/>
      <c r="O467" s="9"/>
    </row>
    <row r="468">
      <c r="A468" s="9"/>
      <c r="B468" s="9"/>
      <c r="C468" s="9"/>
      <c r="D468" s="9"/>
      <c r="E468" s="9"/>
      <c r="F468" s="9"/>
      <c r="G468" s="59"/>
      <c r="H468" s="9"/>
      <c r="I468" s="9"/>
      <c r="J468" s="9"/>
      <c r="K468" s="9"/>
      <c r="L468" s="9"/>
      <c r="M468" s="9"/>
      <c r="N468" s="9"/>
      <c r="O468" s="9"/>
    </row>
    <row r="469">
      <c r="A469" s="9"/>
      <c r="B469" s="9"/>
      <c r="C469" s="9"/>
      <c r="D469" s="9"/>
      <c r="E469" s="9"/>
      <c r="F469" s="9"/>
      <c r="G469" s="59"/>
      <c r="H469" s="9"/>
      <c r="I469" s="9"/>
      <c r="J469" s="9"/>
      <c r="K469" s="9"/>
      <c r="L469" s="9"/>
      <c r="M469" s="9"/>
      <c r="N469" s="9"/>
      <c r="O469" s="9"/>
    </row>
    <row r="470">
      <c r="A470" s="9"/>
      <c r="B470" s="9"/>
      <c r="C470" s="9"/>
      <c r="D470" s="9"/>
      <c r="E470" s="9"/>
      <c r="F470" s="9"/>
      <c r="G470" s="59"/>
      <c r="H470" s="9"/>
      <c r="I470" s="9"/>
      <c r="J470" s="9"/>
      <c r="K470" s="9"/>
      <c r="L470" s="9"/>
      <c r="M470" s="9"/>
      <c r="N470" s="9"/>
      <c r="O470" s="9"/>
    </row>
    <row r="471">
      <c r="A471" s="9"/>
      <c r="B471" s="9"/>
      <c r="C471" s="9"/>
      <c r="D471" s="9"/>
      <c r="E471" s="9"/>
      <c r="F471" s="9"/>
      <c r="G471" s="59"/>
      <c r="H471" s="9"/>
      <c r="I471" s="9"/>
      <c r="J471" s="9"/>
      <c r="K471" s="9"/>
      <c r="L471" s="9"/>
      <c r="M471" s="9"/>
      <c r="N471" s="9"/>
      <c r="O471" s="9"/>
    </row>
    <row r="472">
      <c r="A472" s="9"/>
      <c r="B472" s="9"/>
      <c r="C472" s="9"/>
      <c r="D472" s="9"/>
      <c r="E472" s="9"/>
      <c r="F472" s="9"/>
      <c r="G472" s="59"/>
      <c r="H472" s="9"/>
      <c r="I472" s="9"/>
      <c r="J472" s="9"/>
      <c r="K472" s="9"/>
      <c r="L472" s="9"/>
      <c r="M472" s="9"/>
      <c r="N472" s="9"/>
      <c r="O472" s="9"/>
    </row>
    <row r="473">
      <c r="A473" s="9"/>
      <c r="B473" s="9"/>
      <c r="C473" s="9"/>
      <c r="D473" s="9"/>
      <c r="E473" s="9"/>
      <c r="F473" s="9"/>
      <c r="G473" s="59"/>
      <c r="H473" s="9"/>
      <c r="I473" s="9"/>
      <c r="J473" s="9"/>
      <c r="K473" s="9"/>
      <c r="L473" s="9"/>
      <c r="M473" s="9"/>
      <c r="N473" s="9"/>
      <c r="O473" s="9"/>
    </row>
    <row r="474">
      <c r="A474" s="9"/>
      <c r="B474" s="9"/>
      <c r="C474" s="9"/>
      <c r="D474" s="9"/>
      <c r="E474" s="9"/>
      <c r="F474" s="9"/>
      <c r="G474" s="59"/>
      <c r="H474" s="9"/>
      <c r="I474" s="9"/>
      <c r="J474" s="9"/>
      <c r="K474" s="9"/>
      <c r="L474" s="9"/>
      <c r="M474" s="9"/>
      <c r="N474" s="9"/>
      <c r="O474" s="9"/>
    </row>
    <row r="475">
      <c r="A475" s="9"/>
      <c r="B475" s="9"/>
      <c r="C475" s="9"/>
      <c r="D475" s="9"/>
      <c r="E475" s="9"/>
      <c r="F475" s="9"/>
      <c r="G475" s="59"/>
      <c r="H475" s="9"/>
      <c r="I475" s="9"/>
      <c r="J475" s="9"/>
      <c r="K475" s="9"/>
      <c r="L475" s="9"/>
      <c r="M475" s="9"/>
      <c r="N475" s="9"/>
      <c r="O475" s="9"/>
    </row>
    <row r="476">
      <c r="A476" s="9"/>
      <c r="B476" s="9"/>
      <c r="C476" s="9"/>
      <c r="D476" s="9"/>
      <c r="E476" s="9"/>
      <c r="F476" s="9"/>
      <c r="G476" s="59"/>
      <c r="H476" s="9"/>
      <c r="I476" s="9"/>
      <c r="J476" s="9"/>
      <c r="K476" s="9"/>
      <c r="L476" s="9"/>
      <c r="M476" s="9"/>
      <c r="N476" s="9"/>
      <c r="O476" s="9"/>
    </row>
    <row r="477">
      <c r="A477" s="9"/>
      <c r="B477" s="9"/>
      <c r="C477" s="9"/>
      <c r="D477" s="9"/>
      <c r="E477" s="9"/>
      <c r="F477" s="9"/>
      <c r="G477" s="59"/>
      <c r="H477" s="9"/>
      <c r="I477" s="9"/>
      <c r="J477" s="9"/>
      <c r="K477" s="9"/>
      <c r="L477" s="9"/>
      <c r="M477" s="9"/>
      <c r="N477" s="9"/>
      <c r="O477" s="9"/>
    </row>
    <row r="478">
      <c r="A478" s="9"/>
      <c r="B478" s="9"/>
      <c r="C478" s="9"/>
      <c r="D478" s="9"/>
      <c r="E478" s="9"/>
      <c r="F478" s="9"/>
      <c r="G478" s="59"/>
      <c r="H478" s="9"/>
      <c r="I478" s="9"/>
      <c r="J478" s="9"/>
      <c r="K478" s="9"/>
      <c r="L478" s="9"/>
      <c r="M478" s="9"/>
      <c r="N478" s="9"/>
      <c r="O478" s="9"/>
    </row>
    <row r="479">
      <c r="A479" s="9"/>
      <c r="B479" s="9"/>
      <c r="C479" s="9"/>
      <c r="D479" s="9"/>
      <c r="E479" s="9"/>
      <c r="F479" s="9"/>
      <c r="G479" s="59"/>
      <c r="H479" s="9"/>
      <c r="I479" s="9"/>
      <c r="J479" s="9"/>
      <c r="K479" s="9"/>
      <c r="L479" s="9"/>
      <c r="M479" s="9"/>
      <c r="N479" s="9"/>
      <c r="O479" s="9"/>
    </row>
    <row r="480">
      <c r="A480" s="9"/>
      <c r="B480" s="9"/>
      <c r="C480" s="9"/>
      <c r="D480" s="9"/>
      <c r="E480" s="9"/>
      <c r="F480" s="9"/>
      <c r="G480" s="59"/>
      <c r="H480" s="9"/>
      <c r="I480" s="9"/>
      <c r="J480" s="9"/>
      <c r="K480" s="9"/>
      <c r="L480" s="9"/>
      <c r="M480" s="9"/>
      <c r="N480" s="9"/>
      <c r="O480" s="9"/>
    </row>
    <row r="481">
      <c r="A481" s="9"/>
      <c r="B481" s="9"/>
      <c r="C481" s="9"/>
      <c r="D481" s="9"/>
      <c r="E481" s="9"/>
      <c r="F481" s="9"/>
      <c r="G481" s="59"/>
      <c r="H481" s="9"/>
      <c r="I481" s="9"/>
      <c r="J481" s="9"/>
      <c r="K481" s="9"/>
      <c r="L481" s="9"/>
      <c r="M481" s="9"/>
      <c r="N481" s="9"/>
      <c r="O481" s="9"/>
    </row>
    <row r="482">
      <c r="A482" s="9"/>
      <c r="B482" s="9"/>
      <c r="C482" s="9"/>
      <c r="D482" s="9"/>
      <c r="E482" s="9"/>
      <c r="F482" s="9"/>
      <c r="G482" s="59"/>
      <c r="H482" s="9"/>
      <c r="I482" s="9"/>
      <c r="J482" s="9"/>
      <c r="K482" s="9"/>
      <c r="L482" s="9"/>
      <c r="M482" s="9"/>
      <c r="N482" s="9"/>
      <c r="O482" s="9"/>
    </row>
    <row r="483">
      <c r="A483" s="9"/>
      <c r="B483" s="9"/>
      <c r="C483" s="9"/>
      <c r="D483" s="9"/>
      <c r="E483" s="9"/>
      <c r="F483" s="9"/>
      <c r="G483" s="59"/>
      <c r="H483" s="9"/>
      <c r="I483" s="9"/>
      <c r="J483" s="9"/>
      <c r="K483" s="9"/>
      <c r="L483" s="9"/>
      <c r="M483" s="9"/>
      <c r="N483" s="9"/>
      <c r="O483" s="9"/>
    </row>
    <row r="484">
      <c r="A484" s="9"/>
      <c r="B484" s="9"/>
      <c r="C484" s="9"/>
      <c r="D484" s="9"/>
      <c r="E484" s="9"/>
      <c r="F484" s="9"/>
      <c r="G484" s="59"/>
      <c r="H484" s="9"/>
      <c r="I484" s="9"/>
      <c r="J484" s="9"/>
      <c r="K484" s="9"/>
      <c r="L484" s="9"/>
      <c r="M484" s="9"/>
      <c r="N484" s="9"/>
      <c r="O484" s="9"/>
    </row>
    <row r="485">
      <c r="A485" s="9"/>
      <c r="B485" s="9"/>
      <c r="C485" s="9"/>
      <c r="D485" s="9"/>
      <c r="E485" s="9"/>
      <c r="F485" s="9"/>
      <c r="G485" s="59"/>
      <c r="H485" s="9"/>
      <c r="I485" s="9"/>
      <c r="J485" s="9"/>
      <c r="K485" s="9"/>
      <c r="L485" s="9"/>
      <c r="M485" s="9"/>
      <c r="N485" s="9"/>
      <c r="O485" s="9"/>
    </row>
    <row r="486">
      <c r="A486" s="9"/>
      <c r="B486" s="9"/>
      <c r="C486" s="9"/>
      <c r="D486" s="9"/>
      <c r="E486" s="9"/>
      <c r="F486" s="9"/>
      <c r="G486" s="59"/>
      <c r="H486" s="9"/>
      <c r="I486" s="9"/>
      <c r="J486" s="9"/>
      <c r="K486" s="9"/>
      <c r="L486" s="9"/>
      <c r="M486" s="9"/>
      <c r="N486" s="9"/>
      <c r="O486" s="9"/>
    </row>
    <row r="487">
      <c r="A487" s="9"/>
      <c r="B487" s="9"/>
      <c r="C487" s="9"/>
      <c r="D487" s="9"/>
      <c r="E487" s="9"/>
      <c r="F487" s="9"/>
      <c r="G487" s="59"/>
      <c r="H487" s="9"/>
      <c r="I487" s="9"/>
      <c r="J487" s="9"/>
      <c r="K487" s="9"/>
      <c r="L487" s="9"/>
      <c r="M487" s="9"/>
      <c r="N487" s="9"/>
      <c r="O487" s="9"/>
    </row>
    <row r="488">
      <c r="A488" s="9"/>
      <c r="B488" s="9"/>
      <c r="C488" s="9"/>
      <c r="D488" s="9"/>
      <c r="E488" s="9"/>
      <c r="F488" s="9"/>
      <c r="G488" s="59"/>
      <c r="H488" s="9"/>
      <c r="I488" s="9"/>
      <c r="J488" s="9"/>
      <c r="K488" s="9"/>
      <c r="L488" s="9"/>
      <c r="M488" s="9"/>
      <c r="N488" s="9"/>
      <c r="O488" s="9"/>
    </row>
    <row r="489">
      <c r="A489" s="9"/>
      <c r="B489" s="9"/>
      <c r="C489" s="9"/>
      <c r="D489" s="9"/>
      <c r="E489" s="9"/>
      <c r="F489" s="9"/>
      <c r="G489" s="59"/>
      <c r="H489" s="9"/>
      <c r="I489" s="9"/>
      <c r="J489" s="9"/>
      <c r="K489" s="9"/>
      <c r="L489" s="9"/>
      <c r="M489" s="9"/>
      <c r="N489" s="9"/>
      <c r="O489" s="9"/>
    </row>
    <row r="490">
      <c r="A490" s="9"/>
      <c r="B490" s="9"/>
      <c r="C490" s="9"/>
      <c r="D490" s="9"/>
      <c r="E490" s="9"/>
      <c r="F490" s="9"/>
      <c r="G490" s="59"/>
      <c r="H490" s="9"/>
      <c r="I490" s="9"/>
      <c r="J490" s="9"/>
      <c r="K490" s="9"/>
      <c r="L490" s="9"/>
      <c r="M490" s="9"/>
      <c r="N490" s="9"/>
      <c r="O490" s="9"/>
    </row>
    <row r="491">
      <c r="A491" s="9"/>
      <c r="B491" s="9"/>
      <c r="C491" s="9"/>
      <c r="D491" s="9"/>
      <c r="E491" s="9"/>
      <c r="F491" s="9"/>
      <c r="G491" s="59"/>
      <c r="H491" s="9"/>
      <c r="I491" s="9"/>
      <c r="J491" s="9"/>
      <c r="K491" s="9"/>
      <c r="L491" s="9"/>
      <c r="M491" s="9"/>
      <c r="N491" s="9"/>
      <c r="O491" s="9"/>
    </row>
    <row r="492">
      <c r="A492" s="9"/>
      <c r="B492" s="9"/>
      <c r="C492" s="9"/>
      <c r="D492" s="9"/>
      <c r="E492" s="9"/>
      <c r="F492" s="9"/>
      <c r="G492" s="59"/>
      <c r="H492" s="9"/>
      <c r="I492" s="9"/>
      <c r="J492" s="9"/>
      <c r="K492" s="9"/>
      <c r="L492" s="9"/>
      <c r="M492" s="9"/>
      <c r="N492" s="9"/>
      <c r="O492" s="9"/>
    </row>
    <row r="493">
      <c r="A493" s="9"/>
      <c r="B493" s="9"/>
      <c r="C493" s="9"/>
      <c r="D493" s="9"/>
      <c r="E493" s="9"/>
      <c r="F493" s="9"/>
      <c r="G493" s="59"/>
      <c r="H493" s="9"/>
      <c r="I493" s="9"/>
      <c r="J493" s="9"/>
      <c r="K493" s="9"/>
      <c r="L493" s="9"/>
      <c r="M493" s="9"/>
      <c r="N493" s="9"/>
      <c r="O493" s="9"/>
    </row>
    <row r="494">
      <c r="A494" s="9"/>
      <c r="B494" s="9"/>
      <c r="C494" s="9"/>
      <c r="D494" s="9"/>
      <c r="E494" s="9"/>
      <c r="F494" s="9"/>
      <c r="G494" s="59"/>
      <c r="H494" s="9"/>
      <c r="I494" s="9"/>
      <c r="J494" s="9"/>
      <c r="K494" s="9"/>
      <c r="L494" s="9"/>
      <c r="M494" s="9"/>
      <c r="N494" s="9"/>
      <c r="O494" s="9"/>
    </row>
    <row r="495">
      <c r="A495" s="9"/>
      <c r="B495" s="9"/>
      <c r="C495" s="9"/>
      <c r="D495" s="9"/>
      <c r="E495" s="9"/>
      <c r="F495" s="9"/>
      <c r="G495" s="59"/>
      <c r="H495" s="9"/>
      <c r="I495" s="9"/>
      <c r="J495" s="9"/>
      <c r="K495" s="9"/>
      <c r="L495" s="9"/>
      <c r="M495" s="9"/>
      <c r="N495" s="9"/>
      <c r="O495" s="9"/>
    </row>
    <row r="496">
      <c r="A496" s="9"/>
      <c r="B496" s="9"/>
      <c r="C496" s="9"/>
      <c r="D496" s="9"/>
      <c r="E496" s="9"/>
      <c r="F496" s="9"/>
      <c r="G496" s="59"/>
      <c r="H496" s="9"/>
      <c r="I496" s="9"/>
      <c r="J496" s="9"/>
      <c r="K496" s="9"/>
      <c r="L496" s="9"/>
      <c r="M496" s="9"/>
      <c r="N496" s="9"/>
      <c r="O496" s="9"/>
    </row>
    <row r="497">
      <c r="A497" s="9"/>
      <c r="B497" s="9"/>
      <c r="C497" s="9"/>
      <c r="D497" s="9"/>
      <c r="E497" s="9"/>
      <c r="F497" s="9"/>
      <c r="G497" s="59"/>
      <c r="H497" s="9"/>
      <c r="I497" s="9"/>
      <c r="J497" s="9"/>
      <c r="K497" s="9"/>
      <c r="L497" s="9"/>
      <c r="M497" s="9"/>
      <c r="N497" s="9"/>
      <c r="O497" s="9"/>
    </row>
    <row r="498">
      <c r="A498" s="9"/>
      <c r="B498" s="9"/>
      <c r="C498" s="9"/>
      <c r="D498" s="9"/>
      <c r="E498" s="9"/>
      <c r="F498" s="9"/>
      <c r="G498" s="59"/>
      <c r="H498" s="9"/>
      <c r="I498" s="9"/>
      <c r="J498" s="9"/>
      <c r="K498" s="9"/>
      <c r="L498" s="9"/>
      <c r="M498" s="9"/>
      <c r="N498" s="9"/>
      <c r="O498" s="9"/>
    </row>
    <row r="499">
      <c r="A499" s="9"/>
      <c r="B499" s="9"/>
      <c r="C499" s="9"/>
      <c r="D499" s="9"/>
      <c r="E499" s="9"/>
      <c r="F499" s="9"/>
      <c r="G499" s="59"/>
      <c r="H499" s="9"/>
      <c r="I499" s="9"/>
      <c r="J499" s="9"/>
      <c r="K499" s="9"/>
      <c r="L499" s="9"/>
      <c r="M499" s="9"/>
      <c r="N499" s="9"/>
      <c r="O499" s="9"/>
    </row>
    <row r="500">
      <c r="A500" s="9"/>
      <c r="B500" s="9"/>
      <c r="C500" s="9"/>
      <c r="D500" s="9"/>
      <c r="E500" s="9"/>
      <c r="F500" s="9"/>
      <c r="G500" s="59"/>
      <c r="H500" s="9"/>
      <c r="I500" s="9"/>
      <c r="J500" s="9"/>
      <c r="K500" s="9"/>
      <c r="L500" s="9"/>
      <c r="M500" s="9"/>
      <c r="N500" s="9"/>
      <c r="O500" s="9"/>
    </row>
    <row r="501">
      <c r="A501" s="9"/>
      <c r="B501" s="9"/>
      <c r="C501" s="9"/>
      <c r="D501" s="9"/>
      <c r="E501" s="9"/>
      <c r="F501" s="9"/>
      <c r="G501" s="59"/>
      <c r="H501" s="9"/>
      <c r="I501" s="9"/>
      <c r="J501" s="9"/>
      <c r="K501" s="9"/>
      <c r="L501" s="9"/>
      <c r="M501" s="9"/>
      <c r="N501" s="9"/>
      <c r="O501" s="9"/>
    </row>
    <row r="502">
      <c r="A502" s="9"/>
      <c r="B502" s="9"/>
      <c r="C502" s="9"/>
      <c r="D502" s="9"/>
      <c r="E502" s="9"/>
      <c r="F502" s="9"/>
      <c r="G502" s="59"/>
      <c r="H502" s="9"/>
      <c r="I502" s="9"/>
      <c r="J502" s="9"/>
      <c r="K502" s="9"/>
      <c r="L502" s="9"/>
      <c r="M502" s="9"/>
      <c r="N502" s="9"/>
      <c r="O502" s="9"/>
    </row>
    <row r="503">
      <c r="A503" s="9"/>
      <c r="B503" s="9"/>
      <c r="C503" s="9"/>
      <c r="D503" s="9"/>
      <c r="E503" s="9"/>
      <c r="F503" s="9"/>
      <c r="G503" s="59"/>
      <c r="H503" s="9"/>
      <c r="I503" s="9"/>
      <c r="J503" s="9"/>
      <c r="K503" s="9"/>
      <c r="L503" s="9"/>
      <c r="M503" s="9"/>
      <c r="N503" s="9"/>
      <c r="O503" s="9"/>
    </row>
    <row r="504">
      <c r="A504" s="9"/>
      <c r="B504" s="9"/>
      <c r="C504" s="9"/>
      <c r="D504" s="9"/>
      <c r="E504" s="9"/>
      <c r="F504" s="9"/>
      <c r="G504" s="59"/>
      <c r="H504" s="9"/>
      <c r="I504" s="9"/>
      <c r="J504" s="9"/>
      <c r="K504" s="9"/>
      <c r="L504" s="9"/>
      <c r="M504" s="9"/>
      <c r="N504" s="9"/>
      <c r="O504" s="9"/>
    </row>
    <row r="505">
      <c r="A505" s="9"/>
      <c r="B505" s="9"/>
      <c r="C505" s="9"/>
      <c r="D505" s="9"/>
      <c r="E505" s="9"/>
      <c r="F505" s="9"/>
      <c r="G505" s="59"/>
      <c r="H505" s="9"/>
      <c r="I505" s="9"/>
      <c r="J505" s="9"/>
      <c r="K505" s="9"/>
      <c r="L505" s="9"/>
      <c r="M505" s="9"/>
      <c r="N505" s="9"/>
      <c r="O505" s="9"/>
    </row>
    <row r="506">
      <c r="A506" s="9"/>
      <c r="B506" s="9"/>
      <c r="C506" s="9"/>
      <c r="D506" s="9"/>
      <c r="E506" s="9"/>
      <c r="F506" s="9"/>
      <c r="G506" s="59"/>
      <c r="H506" s="9"/>
      <c r="I506" s="9"/>
      <c r="J506" s="9"/>
      <c r="K506" s="9"/>
      <c r="L506" s="9"/>
      <c r="M506" s="9"/>
      <c r="N506" s="9"/>
      <c r="O506" s="9"/>
    </row>
    <row r="507">
      <c r="A507" s="9"/>
      <c r="B507" s="9"/>
      <c r="C507" s="9"/>
      <c r="D507" s="9"/>
      <c r="E507" s="9"/>
      <c r="F507" s="9"/>
      <c r="G507" s="59"/>
      <c r="H507" s="9"/>
      <c r="I507" s="9"/>
      <c r="J507" s="9"/>
      <c r="K507" s="9"/>
      <c r="L507" s="9"/>
      <c r="M507" s="9"/>
      <c r="N507" s="9"/>
      <c r="O507" s="9"/>
    </row>
    <row r="508">
      <c r="A508" s="9"/>
      <c r="B508" s="9"/>
      <c r="C508" s="9"/>
      <c r="D508" s="9"/>
      <c r="E508" s="9"/>
      <c r="F508" s="9"/>
      <c r="G508" s="59"/>
      <c r="H508" s="9"/>
      <c r="I508" s="9"/>
      <c r="J508" s="9"/>
      <c r="K508" s="9"/>
      <c r="L508" s="9"/>
      <c r="M508" s="9"/>
      <c r="N508" s="9"/>
      <c r="O508" s="9"/>
    </row>
    <row r="509">
      <c r="A509" s="9"/>
      <c r="B509" s="9"/>
      <c r="C509" s="9"/>
      <c r="D509" s="9"/>
      <c r="E509" s="9"/>
      <c r="F509" s="9"/>
      <c r="G509" s="59"/>
      <c r="H509" s="9"/>
      <c r="I509" s="9"/>
      <c r="J509" s="9"/>
      <c r="K509" s="9"/>
      <c r="L509" s="9"/>
      <c r="M509" s="9"/>
      <c r="N509" s="9"/>
      <c r="O509" s="9"/>
    </row>
    <row r="510">
      <c r="A510" s="9"/>
      <c r="B510" s="9"/>
      <c r="C510" s="9"/>
      <c r="D510" s="9"/>
      <c r="E510" s="9"/>
      <c r="F510" s="9"/>
      <c r="G510" s="59"/>
      <c r="H510" s="9"/>
      <c r="I510" s="9"/>
      <c r="J510" s="9"/>
      <c r="K510" s="9"/>
      <c r="L510" s="9"/>
      <c r="M510" s="9"/>
      <c r="N510" s="9"/>
      <c r="O510" s="9"/>
    </row>
    <row r="511">
      <c r="A511" s="9"/>
      <c r="B511" s="9"/>
      <c r="C511" s="9"/>
      <c r="D511" s="9"/>
      <c r="E511" s="9"/>
      <c r="F511" s="9"/>
      <c r="G511" s="59"/>
      <c r="H511" s="9"/>
      <c r="I511" s="9"/>
      <c r="J511" s="9"/>
      <c r="K511" s="9"/>
      <c r="L511" s="9"/>
      <c r="M511" s="9"/>
      <c r="N511" s="9"/>
      <c r="O511" s="9"/>
    </row>
    <row r="512">
      <c r="A512" s="9"/>
      <c r="B512" s="9"/>
      <c r="C512" s="9"/>
      <c r="D512" s="9"/>
      <c r="E512" s="9"/>
      <c r="F512" s="9"/>
      <c r="G512" s="59"/>
      <c r="H512" s="9"/>
      <c r="I512" s="9"/>
      <c r="J512" s="9"/>
      <c r="K512" s="9"/>
      <c r="L512" s="9"/>
      <c r="M512" s="9"/>
      <c r="N512" s="9"/>
      <c r="O512" s="9"/>
    </row>
    <row r="513">
      <c r="A513" s="9"/>
      <c r="B513" s="9"/>
      <c r="C513" s="9"/>
      <c r="D513" s="9"/>
      <c r="E513" s="9"/>
      <c r="F513" s="9"/>
      <c r="G513" s="59"/>
      <c r="H513" s="9"/>
      <c r="I513" s="9"/>
      <c r="J513" s="9"/>
      <c r="K513" s="9"/>
      <c r="L513" s="9"/>
      <c r="M513" s="9"/>
      <c r="N513" s="9"/>
      <c r="O513" s="9"/>
    </row>
    <row r="514">
      <c r="A514" s="9"/>
      <c r="B514" s="9"/>
      <c r="C514" s="9"/>
      <c r="D514" s="9"/>
      <c r="E514" s="9"/>
      <c r="F514" s="9"/>
      <c r="G514" s="59"/>
      <c r="H514" s="9"/>
      <c r="I514" s="9"/>
      <c r="J514" s="9"/>
      <c r="K514" s="9"/>
      <c r="L514" s="9"/>
      <c r="M514" s="9"/>
      <c r="N514" s="9"/>
      <c r="O514" s="9"/>
    </row>
    <row r="515">
      <c r="A515" s="9"/>
      <c r="B515" s="9"/>
      <c r="C515" s="9"/>
      <c r="D515" s="9"/>
      <c r="E515" s="9"/>
      <c r="F515" s="9"/>
      <c r="G515" s="59"/>
      <c r="H515" s="9"/>
      <c r="I515" s="9"/>
      <c r="J515" s="9"/>
      <c r="K515" s="9"/>
      <c r="L515" s="9"/>
      <c r="M515" s="9"/>
      <c r="N515" s="9"/>
      <c r="O515" s="9"/>
    </row>
    <row r="516">
      <c r="A516" s="9"/>
      <c r="B516" s="9"/>
      <c r="C516" s="9"/>
      <c r="D516" s="9"/>
      <c r="E516" s="9"/>
      <c r="F516" s="9"/>
      <c r="G516" s="59"/>
      <c r="H516" s="9"/>
      <c r="I516" s="9"/>
      <c r="J516" s="9"/>
      <c r="K516" s="9"/>
      <c r="L516" s="9"/>
      <c r="M516" s="9"/>
      <c r="N516" s="9"/>
      <c r="O516" s="9"/>
    </row>
    <row r="517">
      <c r="A517" s="9"/>
      <c r="B517" s="9"/>
      <c r="C517" s="9"/>
      <c r="D517" s="9"/>
      <c r="E517" s="9"/>
      <c r="F517" s="9"/>
      <c r="G517" s="59"/>
      <c r="H517" s="9"/>
      <c r="I517" s="9"/>
      <c r="J517" s="9"/>
      <c r="K517" s="9"/>
      <c r="L517" s="9"/>
      <c r="M517" s="9"/>
      <c r="N517" s="9"/>
      <c r="O517" s="9"/>
    </row>
    <row r="518">
      <c r="A518" s="9"/>
      <c r="B518" s="9"/>
      <c r="C518" s="9"/>
      <c r="D518" s="9"/>
      <c r="E518" s="9"/>
      <c r="F518" s="9"/>
      <c r="G518" s="59"/>
      <c r="H518" s="9"/>
      <c r="I518" s="9"/>
      <c r="J518" s="9"/>
      <c r="K518" s="9"/>
      <c r="L518" s="9"/>
      <c r="M518" s="9"/>
      <c r="N518" s="9"/>
      <c r="O518" s="9"/>
    </row>
    <row r="519">
      <c r="A519" s="9"/>
      <c r="B519" s="9"/>
      <c r="C519" s="9"/>
      <c r="D519" s="9"/>
      <c r="E519" s="9"/>
      <c r="F519" s="9"/>
      <c r="G519" s="59"/>
      <c r="H519" s="9"/>
      <c r="I519" s="9"/>
      <c r="J519" s="9"/>
      <c r="K519" s="9"/>
      <c r="L519" s="9"/>
      <c r="M519" s="9"/>
      <c r="N519" s="9"/>
      <c r="O519" s="9"/>
    </row>
    <row r="520">
      <c r="A520" s="9"/>
      <c r="B520" s="9"/>
      <c r="C520" s="9"/>
      <c r="D520" s="9"/>
      <c r="E520" s="9"/>
      <c r="F520" s="9"/>
      <c r="G520" s="59"/>
      <c r="H520" s="9"/>
      <c r="I520" s="9"/>
      <c r="J520" s="9"/>
      <c r="K520" s="9"/>
      <c r="L520" s="9"/>
      <c r="M520" s="9"/>
      <c r="N520" s="9"/>
      <c r="O520" s="9"/>
    </row>
    <row r="521">
      <c r="A521" s="9"/>
      <c r="B521" s="9"/>
      <c r="C521" s="9"/>
      <c r="D521" s="9"/>
      <c r="E521" s="9"/>
      <c r="F521" s="9"/>
      <c r="G521" s="59"/>
      <c r="H521" s="9"/>
      <c r="I521" s="9"/>
      <c r="J521" s="9"/>
      <c r="K521" s="9"/>
      <c r="L521" s="9"/>
      <c r="M521" s="9"/>
      <c r="N521" s="9"/>
      <c r="O521" s="9"/>
    </row>
    <row r="522">
      <c r="A522" s="9"/>
      <c r="B522" s="9"/>
      <c r="C522" s="9"/>
      <c r="D522" s="9"/>
      <c r="E522" s="9"/>
      <c r="F522" s="9"/>
      <c r="G522" s="59"/>
      <c r="H522" s="9"/>
      <c r="I522" s="9"/>
      <c r="J522" s="9"/>
      <c r="K522" s="9"/>
      <c r="L522" s="9"/>
      <c r="M522" s="9"/>
      <c r="N522" s="9"/>
      <c r="O522" s="9"/>
    </row>
    <row r="523">
      <c r="A523" s="9"/>
      <c r="B523" s="9"/>
      <c r="C523" s="9"/>
      <c r="D523" s="9"/>
      <c r="E523" s="9"/>
      <c r="F523" s="9"/>
      <c r="G523" s="59"/>
      <c r="H523" s="9"/>
      <c r="I523" s="9"/>
      <c r="J523" s="9"/>
      <c r="K523" s="9"/>
      <c r="L523" s="9"/>
      <c r="M523" s="9"/>
      <c r="N523" s="9"/>
      <c r="O523" s="9"/>
    </row>
    <row r="524">
      <c r="A524" s="9"/>
      <c r="B524" s="9"/>
      <c r="C524" s="9"/>
      <c r="D524" s="9"/>
      <c r="E524" s="9"/>
      <c r="F524" s="9"/>
      <c r="G524" s="59"/>
      <c r="H524" s="9"/>
      <c r="I524" s="9"/>
      <c r="J524" s="9"/>
      <c r="K524" s="9"/>
      <c r="L524" s="9"/>
      <c r="M524" s="9"/>
      <c r="N524" s="9"/>
      <c r="O524" s="9"/>
    </row>
    <row r="525">
      <c r="A525" s="9"/>
      <c r="B525" s="9"/>
      <c r="C525" s="9"/>
      <c r="D525" s="9"/>
      <c r="E525" s="9"/>
      <c r="F525" s="9"/>
      <c r="G525" s="59"/>
      <c r="H525" s="9"/>
      <c r="I525" s="9"/>
      <c r="J525" s="9"/>
      <c r="K525" s="9"/>
      <c r="L525" s="9"/>
      <c r="M525" s="9"/>
      <c r="N525" s="9"/>
      <c r="O525" s="9"/>
    </row>
    <row r="526">
      <c r="A526" s="9"/>
      <c r="B526" s="9"/>
      <c r="C526" s="9"/>
      <c r="D526" s="9"/>
      <c r="E526" s="9"/>
      <c r="F526" s="9"/>
      <c r="G526" s="59"/>
      <c r="H526" s="9"/>
      <c r="I526" s="9"/>
      <c r="J526" s="9"/>
      <c r="K526" s="9"/>
      <c r="L526" s="9"/>
      <c r="M526" s="9"/>
      <c r="N526" s="9"/>
      <c r="O526" s="9"/>
    </row>
    <row r="527">
      <c r="A527" s="9"/>
      <c r="B527" s="9"/>
      <c r="C527" s="9"/>
      <c r="D527" s="9"/>
      <c r="E527" s="9"/>
      <c r="F527" s="9"/>
      <c r="G527" s="59"/>
      <c r="H527" s="9"/>
      <c r="I527" s="9"/>
      <c r="J527" s="9"/>
      <c r="K527" s="9"/>
      <c r="L527" s="9"/>
      <c r="M527" s="9"/>
      <c r="N527" s="9"/>
      <c r="O527" s="9"/>
    </row>
    <row r="528">
      <c r="A528" s="9"/>
      <c r="B528" s="9"/>
      <c r="C528" s="9"/>
      <c r="D528" s="9"/>
      <c r="E528" s="9"/>
      <c r="F528" s="9"/>
      <c r="G528" s="59"/>
      <c r="H528" s="9"/>
      <c r="I528" s="9"/>
      <c r="J528" s="9"/>
      <c r="K528" s="9"/>
      <c r="L528" s="9"/>
      <c r="M528" s="9"/>
      <c r="N528" s="9"/>
      <c r="O528" s="9"/>
    </row>
    <row r="529">
      <c r="A529" s="9"/>
      <c r="B529" s="9"/>
      <c r="C529" s="9"/>
      <c r="D529" s="9"/>
      <c r="E529" s="9"/>
      <c r="F529" s="9"/>
      <c r="G529" s="59"/>
      <c r="H529" s="9"/>
      <c r="I529" s="9"/>
      <c r="J529" s="9"/>
      <c r="K529" s="9"/>
      <c r="L529" s="9"/>
      <c r="M529" s="9"/>
      <c r="N529" s="9"/>
      <c r="O529" s="9"/>
    </row>
    <row r="530">
      <c r="A530" s="9"/>
      <c r="B530" s="9"/>
      <c r="C530" s="9"/>
      <c r="D530" s="9"/>
      <c r="E530" s="9"/>
      <c r="F530" s="9"/>
      <c r="G530" s="59"/>
      <c r="H530" s="9"/>
      <c r="I530" s="9"/>
      <c r="J530" s="9"/>
      <c r="K530" s="9"/>
      <c r="L530" s="9"/>
      <c r="M530" s="9"/>
      <c r="N530" s="9"/>
      <c r="O530" s="9"/>
    </row>
    <row r="531">
      <c r="A531" s="9"/>
      <c r="B531" s="9"/>
      <c r="C531" s="9"/>
      <c r="D531" s="9"/>
      <c r="E531" s="9"/>
      <c r="F531" s="9"/>
      <c r="G531" s="59"/>
      <c r="H531" s="9"/>
      <c r="I531" s="9"/>
      <c r="J531" s="9"/>
      <c r="K531" s="9"/>
      <c r="L531" s="9"/>
      <c r="M531" s="9"/>
      <c r="N531" s="9"/>
      <c r="O531" s="9"/>
    </row>
    <row r="532">
      <c r="A532" s="9"/>
      <c r="B532" s="9"/>
      <c r="C532" s="9"/>
      <c r="D532" s="9"/>
      <c r="E532" s="9"/>
      <c r="F532" s="9"/>
      <c r="G532" s="59"/>
      <c r="H532" s="9"/>
      <c r="I532" s="9"/>
      <c r="J532" s="9"/>
      <c r="K532" s="9"/>
      <c r="L532" s="9"/>
      <c r="M532" s="9"/>
      <c r="N532" s="9"/>
      <c r="O532" s="9"/>
    </row>
    <row r="533">
      <c r="A533" s="9"/>
      <c r="B533" s="9"/>
      <c r="C533" s="9"/>
      <c r="D533" s="9"/>
      <c r="E533" s="9"/>
      <c r="F533" s="9"/>
      <c r="G533" s="59"/>
      <c r="H533" s="9"/>
      <c r="I533" s="9"/>
      <c r="J533" s="9"/>
      <c r="K533" s="9"/>
      <c r="L533" s="9"/>
      <c r="M533" s="9"/>
      <c r="N533" s="9"/>
      <c r="O533" s="9"/>
    </row>
    <row r="534">
      <c r="A534" s="9"/>
      <c r="B534" s="9"/>
      <c r="C534" s="9"/>
      <c r="D534" s="9"/>
      <c r="E534" s="9"/>
      <c r="F534" s="9"/>
      <c r="G534" s="59"/>
      <c r="H534" s="9"/>
      <c r="I534" s="9"/>
      <c r="J534" s="9"/>
      <c r="K534" s="9"/>
      <c r="L534" s="9"/>
      <c r="M534" s="9"/>
      <c r="N534" s="9"/>
      <c r="O534" s="9"/>
    </row>
    <row r="535">
      <c r="A535" s="9"/>
      <c r="B535" s="9"/>
      <c r="C535" s="9"/>
      <c r="D535" s="9"/>
      <c r="E535" s="9"/>
      <c r="F535" s="9"/>
      <c r="G535" s="59"/>
      <c r="H535" s="9"/>
      <c r="I535" s="9"/>
      <c r="J535" s="9"/>
      <c r="K535" s="9"/>
      <c r="L535" s="9"/>
      <c r="M535" s="9"/>
      <c r="N535" s="9"/>
      <c r="O535" s="9"/>
    </row>
    <row r="536">
      <c r="A536" s="9"/>
      <c r="B536" s="9"/>
      <c r="C536" s="9"/>
      <c r="D536" s="9"/>
      <c r="E536" s="9"/>
      <c r="F536" s="9"/>
      <c r="G536" s="59"/>
      <c r="H536" s="9"/>
      <c r="I536" s="9"/>
      <c r="J536" s="9"/>
      <c r="K536" s="9"/>
      <c r="L536" s="9"/>
      <c r="M536" s="9"/>
      <c r="N536" s="9"/>
      <c r="O536" s="9"/>
    </row>
    <row r="537">
      <c r="A537" s="9"/>
      <c r="B537" s="9"/>
      <c r="C537" s="9"/>
      <c r="D537" s="9"/>
      <c r="E537" s="9"/>
      <c r="F537" s="9"/>
      <c r="G537" s="59"/>
      <c r="H537" s="9"/>
      <c r="I537" s="9"/>
      <c r="J537" s="9"/>
      <c r="K537" s="9"/>
      <c r="L537" s="9"/>
      <c r="M537" s="9"/>
      <c r="N537" s="9"/>
      <c r="O537" s="9"/>
    </row>
    <row r="538">
      <c r="A538" s="9"/>
      <c r="B538" s="9"/>
      <c r="C538" s="9"/>
      <c r="D538" s="9"/>
      <c r="E538" s="9"/>
      <c r="F538" s="9"/>
      <c r="G538" s="59"/>
      <c r="H538" s="9"/>
      <c r="I538" s="9"/>
      <c r="J538" s="9"/>
      <c r="K538" s="9"/>
      <c r="L538" s="9"/>
      <c r="M538" s="9"/>
      <c r="N538" s="9"/>
      <c r="O538" s="9"/>
    </row>
    <row r="539">
      <c r="A539" s="9"/>
      <c r="B539" s="9"/>
      <c r="C539" s="9"/>
      <c r="D539" s="9"/>
      <c r="E539" s="9"/>
      <c r="F539" s="9"/>
      <c r="G539" s="59"/>
      <c r="H539" s="9"/>
      <c r="I539" s="9"/>
      <c r="J539" s="9"/>
      <c r="K539" s="9"/>
      <c r="L539" s="9"/>
      <c r="M539" s="9"/>
      <c r="N539" s="9"/>
      <c r="O539" s="9"/>
    </row>
    <row r="540">
      <c r="A540" s="9"/>
      <c r="B540" s="9"/>
      <c r="C540" s="9"/>
      <c r="D540" s="9"/>
      <c r="E540" s="9"/>
      <c r="F540" s="9"/>
      <c r="G540" s="59"/>
      <c r="H540" s="9"/>
      <c r="I540" s="9"/>
      <c r="J540" s="9"/>
      <c r="K540" s="9"/>
      <c r="L540" s="9"/>
      <c r="M540" s="9"/>
      <c r="N540" s="9"/>
      <c r="O540" s="9"/>
    </row>
    <row r="541">
      <c r="A541" s="9"/>
      <c r="B541" s="9"/>
      <c r="C541" s="9"/>
      <c r="D541" s="9"/>
      <c r="E541" s="9"/>
      <c r="F541" s="9"/>
      <c r="G541" s="59"/>
      <c r="H541" s="9"/>
      <c r="I541" s="9"/>
      <c r="J541" s="9"/>
      <c r="K541" s="9"/>
      <c r="L541" s="9"/>
      <c r="M541" s="9"/>
      <c r="N541" s="9"/>
      <c r="O541" s="9"/>
    </row>
    <row r="542">
      <c r="A542" s="9"/>
      <c r="B542" s="9"/>
      <c r="C542" s="9"/>
      <c r="D542" s="9"/>
      <c r="E542" s="9"/>
      <c r="F542" s="9"/>
      <c r="G542" s="59"/>
      <c r="H542" s="9"/>
      <c r="I542" s="9"/>
      <c r="J542" s="9"/>
      <c r="K542" s="9"/>
      <c r="L542" s="9"/>
      <c r="M542" s="9"/>
      <c r="N542" s="9"/>
      <c r="O542" s="9"/>
    </row>
    <row r="543">
      <c r="A543" s="9"/>
      <c r="B543" s="9"/>
      <c r="C543" s="9"/>
      <c r="D543" s="9"/>
      <c r="E543" s="9"/>
      <c r="F543" s="9"/>
      <c r="G543" s="59"/>
      <c r="H543" s="9"/>
      <c r="I543" s="9"/>
      <c r="J543" s="9"/>
      <c r="K543" s="9"/>
      <c r="L543" s="9"/>
      <c r="M543" s="9"/>
      <c r="N543" s="9"/>
      <c r="O543" s="9"/>
    </row>
    <row r="544">
      <c r="A544" s="9"/>
      <c r="B544" s="9"/>
      <c r="C544" s="9"/>
      <c r="D544" s="9"/>
      <c r="E544" s="9"/>
      <c r="F544" s="9"/>
      <c r="G544" s="59"/>
      <c r="H544" s="9"/>
      <c r="I544" s="9"/>
      <c r="J544" s="9"/>
      <c r="K544" s="9"/>
      <c r="L544" s="9"/>
      <c r="M544" s="9"/>
      <c r="N544" s="9"/>
      <c r="O544" s="9"/>
    </row>
    <row r="545">
      <c r="A545" s="9"/>
      <c r="B545" s="9"/>
      <c r="C545" s="9"/>
      <c r="D545" s="9"/>
      <c r="E545" s="9"/>
      <c r="F545" s="9"/>
      <c r="G545" s="59"/>
      <c r="H545" s="9"/>
      <c r="I545" s="9"/>
      <c r="J545" s="9"/>
      <c r="K545" s="9"/>
      <c r="L545" s="9"/>
      <c r="M545" s="9"/>
      <c r="N545" s="9"/>
      <c r="O545" s="9"/>
    </row>
    <row r="546">
      <c r="A546" s="9"/>
      <c r="B546" s="9"/>
      <c r="C546" s="9"/>
      <c r="D546" s="9"/>
      <c r="E546" s="9"/>
      <c r="F546" s="9"/>
      <c r="G546" s="59"/>
      <c r="H546" s="9"/>
      <c r="I546" s="9"/>
      <c r="J546" s="9"/>
      <c r="K546" s="9"/>
      <c r="L546" s="9"/>
      <c r="M546" s="9"/>
      <c r="N546" s="9"/>
      <c r="O546" s="9"/>
    </row>
    <row r="547">
      <c r="A547" s="9"/>
      <c r="B547" s="9"/>
      <c r="C547" s="9"/>
      <c r="D547" s="9"/>
      <c r="E547" s="9"/>
      <c r="F547" s="9"/>
      <c r="G547" s="59"/>
      <c r="H547" s="9"/>
      <c r="I547" s="9"/>
      <c r="J547" s="9"/>
      <c r="K547" s="9"/>
      <c r="L547" s="9"/>
      <c r="M547" s="9"/>
      <c r="N547" s="9"/>
      <c r="O547" s="9"/>
    </row>
    <row r="548">
      <c r="A548" s="9"/>
      <c r="B548" s="9"/>
      <c r="C548" s="9"/>
      <c r="D548" s="9"/>
      <c r="E548" s="9"/>
      <c r="F548" s="9"/>
      <c r="G548" s="59"/>
      <c r="H548" s="9"/>
      <c r="I548" s="9"/>
      <c r="J548" s="9"/>
      <c r="K548" s="9"/>
      <c r="L548" s="9"/>
      <c r="M548" s="9"/>
      <c r="N548" s="9"/>
      <c r="O548" s="9"/>
    </row>
    <row r="549">
      <c r="A549" s="9"/>
      <c r="B549" s="9"/>
      <c r="C549" s="9"/>
      <c r="D549" s="9"/>
      <c r="E549" s="9"/>
      <c r="F549" s="9"/>
      <c r="G549" s="59"/>
      <c r="H549" s="9"/>
      <c r="I549" s="9"/>
      <c r="J549" s="9"/>
      <c r="K549" s="9"/>
      <c r="L549" s="9"/>
      <c r="M549" s="9"/>
      <c r="N549" s="9"/>
      <c r="O549" s="9"/>
    </row>
    <row r="550">
      <c r="A550" s="9"/>
      <c r="B550" s="9"/>
      <c r="C550" s="9"/>
      <c r="D550" s="9"/>
      <c r="E550" s="9"/>
      <c r="F550" s="9"/>
      <c r="G550" s="59"/>
      <c r="H550" s="9"/>
      <c r="I550" s="9"/>
      <c r="J550" s="9"/>
      <c r="K550" s="9"/>
      <c r="L550" s="9"/>
      <c r="M550" s="9"/>
      <c r="N550" s="9"/>
      <c r="O550" s="9"/>
    </row>
    <row r="551">
      <c r="A551" s="9"/>
      <c r="B551" s="9"/>
      <c r="C551" s="9"/>
      <c r="D551" s="9"/>
      <c r="E551" s="9"/>
      <c r="F551" s="9"/>
      <c r="G551" s="59"/>
      <c r="H551" s="9"/>
      <c r="I551" s="9"/>
      <c r="J551" s="9"/>
      <c r="K551" s="9"/>
      <c r="L551" s="9"/>
      <c r="M551" s="9"/>
      <c r="N551" s="9"/>
      <c r="O551" s="9"/>
    </row>
    <row r="552">
      <c r="A552" s="9"/>
      <c r="B552" s="9"/>
      <c r="C552" s="9"/>
      <c r="D552" s="9"/>
      <c r="E552" s="9"/>
      <c r="F552" s="9"/>
      <c r="G552" s="59"/>
      <c r="H552" s="9"/>
      <c r="I552" s="9"/>
      <c r="J552" s="9"/>
      <c r="K552" s="9"/>
      <c r="L552" s="9"/>
      <c r="M552" s="9"/>
      <c r="N552" s="9"/>
      <c r="O552" s="9"/>
    </row>
    <row r="553">
      <c r="A553" s="9"/>
      <c r="B553" s="9"/>
      <c r="C553" s="9"/>
      <c r="D553" s="9"/>
      <c r="E553" s="9"/>
      <c r="F553" s="9"/>
      <c r="G553" s="59"/>
      <c r="H553" s="9"/>
      <c r="I553" s="9"/>
      <c r="J553" s="9"/>
      <c r="K553" s="9"/>
      <c r="L553" s="9"/>
      <c r="M553" s="9"/>
      <c r="N553" s="9"/>
      <c r="O553" s="9"/>
    </row>
    <row r="554">
      <c r="A554" s="9"/>
      <c r="B554" s="9"/>
      <c r="C554" s="9"/>
      <c r="D554" s="9"/>
      <c r="E554" s="9"/>
      <c r="F554" s="9"/>
      <c r="G554" s="59"/>
      <c r="H554" s="9"/>
      <c r="I554" s="9"/>
      <c r="J554" s="9"/>
      <c r="K554" s="9"/>
      <c r="L554" s="9"/>
      <c r="M554" s="9"/>
      <c r="N554" s="9"/>
      <c r="O554" s="9"/>
    </row>
    <row r="555">
      <c r="A555" s="9"/>
      <c r="B555" s="9"/>
      <c r="C555" s="9"/>
      <c r="D555" s="9"/>
      <c r="E555" s="9"/>
      <c r="F555" s="9"/>
      <c r="G555" s="59"/>
      <c r="H555" s="9"/>
      <c r="I555" s="9"/>
      <c r="J555" s="9"/>
      <c r="K555" s="9"/>
      <c r="L555" s="9"/>
      <c r="M555" s="9"/>
      <c r="N555" s="9"/>
      <c r="O555" s="9"/>
    </row>
    <row r="556">
      <c r="A556" s="9"/>
      <c r="B556" s="9"/>
      <c r="C556" s="9"/>
      <c r="D556" s="9"/>
      <c r="E556" s="9"/>
      <c r="F556" s="9"/>
      <c r="G556" s="59"/>
      <c r="H556" s="9"/>
      <c r="I556" s="9"/>
      <c r="J556" s="9"/>
      <c r="K556" s="9"/>
      <c r="L556" s="9"/>
      <c r="M556" s="9"/>
      <c r="N556" s="9"/>
      <c r="O556" s="9"/>
    </row>
    <row r="557">
      <c r="A557" s="9"/>
      <c r="B557" s="9"/>
      <c r="C557" s="9"/>
      <c r="D557" s="9"/>
      <c r="E557" s="9"/>
      <c r="F557" s="9"/>
      <c r="G557" s="59"/>
      <c r="H557" s="9"/>
      <c r="I557" s="9"/>
      <c r="J557" s="9"/>
      <c r="K557" s="9"/>
      <c r="L557" s="9"/>
      <c r="M557" s="9"/>
      <c r="N557" s="9"/>
      <c r="O557" s="9"/>
    </row>
    <row r="558">
      <c r="A558" s="9"/>
      <c r="B558" s="9"/>
      <c r="C558" s="9"/>
      <c r="D558" s="9"/>
      <c r="E558" s="9"/>
      <c r="F558" s="9"/>
      <c r="G558" s="59"/>
      <c r="H558" s="9"/>
      <c r="I558" s="9"/>
      <c r="J558" s="9"/>
      <c r="K558" s="9"/>
      <c r="L558" s="9"/>
      <c r="M558" s="9"/>
      <c r="N558" s="9"/>
      <c r="O558" s="9"/>
    </row>
    <row r="559">
      <c r="A559" s="9"/>
      <c r="B559" s="9"/>
      <c r="C559" s="9"/>
      <c r="D559" s="9"/>
      <c r="E559" s="9"/>
      <c r="F559" s="9"/>
      <c r="G559" s="59"/>
      <c r="H559" s="9"/>
      <c r="I559" s="9"/>
      <c r="J559" s="9"/>
      <c r="K559" s="9"/>
      <c r="L559" s="9"/>
      <c r="M559" s="9"/>
      <c r="N559" s="9"/>
      <c r="O559" s="9"/>
    </row>
    <row r="560">
      <c r="A560" s="9"/>
      <c r="B560" s="9"/>
      <c r="C560" s="9"/>
      <c r="D560" s="9"/>
      <c r="E560" s="9"/>
      <c r="F560" s="9"/>
      <c r="G560" s="59"/>
      <c r="H560" s="9"/>
      <c r="I560" s="9"/>
      <c r="J560" s="9"/>
      <c r="K560" s="9"/>
      <c r="L560" s="9"/>
      <c r="M560" s="9"/>
      <c r="N560" s="9"/>
      <c r="O560" s="9"/>
    </row>
    <row r="561">
      <c r="A561" s="9"/>
      <c r="B561" s="9"/>
      <c r="C561" s="9"/>
      <c r="D561" s="9"/>
      <c r="E561" s="9"/>
      <c r="F561" s="9"/>
      <c r="G561" s="59"/>
      <c r="H561" s="9"/>
      <c r="I561" s="9"/>
      <c r="J561" s="9"/>
      <c r="K561" s="9"/>
      <c r="L561" s="9"/>
      <c r="M561" s="9"/>
      <c r="N561" s="9"/>
      <c r="O561" s="9"/>
    </row>
    <row r="562">
      <c r="A562" s="9"/>
      <c r="B562" s="9"/>
      <c r="C562" s="9"/>
      <c r="D562" s="9"/>
      <c r="E562" s="9"/>
      <c r="F562" s="9"/>
      <c r="G562" s="59"/>
      <c r="H562" s="9"/>
      <c r="I562" s="9"/>
      <c r="J562" s="9"/>
      <c r="K562" s="9"/>
      <c r="L562" s="9"/>
      <c r="M562" s="9"/>
      <c r="N562" s="9"/>
      <c r="O562" s="9"/>
    </row>
    <row r="563">
      <c r="A563" s="9"/>
      <c r="B563" s="9"/>
      <c r="C563" s="9"/>
      <c r="D563" s="9"/>
      <c r="E563" s="9"/>
      <c r="F563" s="9"/>
      <c r="G563" s="59"/>
      <c r="H563" s="9"/>
      <c r="I563" s="9"/>
      <c r="J563" s="9"/>
      <c r="K563" s="9"/>
      <c r="L563" s="9"/>
      <c r="M563" s="9"/>
      <c r="N563" s="9"/>
      <c r="O563" s="9"/>
    </row>
    <row r="564">
      <c r="A564" s="9"/>
      <c r="B564" s="9"/>
      <c r="C564" s="9"/>
      <c r="D564" s="9"/>
      <c r="E564" s="9"/>
      <c r="F564" s="9"/>
      <c r="G564" s="59"/>
      <c r="H564" s="9"/>
      <c r="I564" s="9"/>
      <c r="J564" s="9"/>
      <c r="K564" s="9"/>
      <c r="L564" s="9"/>
      <c r="M564" s="9"/>
      <c r="N564" s="9"/>
      <c r="O564" s="9"/>
    </row>
    <row r="565">
      <c r="A565" s="9"/>
      <c r="B565" s="9"/>
      <c r="C565" s="9"/>
      <c r="D565" s="9"/>
      <c r="E565" s="9"/>
      <c r="F565" s="9"/>
      <c r="G565" s="59"/>
      <c r="H565" s="9"/>
      <c r="I565" s="9"/>
      <c r="J565" s="9"/>
      <c r="K565" s="9"/>
      <c r="L565" s="9"/>
      <c r="M565" s="9"/>
      <c r="N565" s="9"/>
      <c r="O565" s="9"/>
    </row>
    <row r="566">
      <c r="A566" s="9"/>
      <c r="B566" s="9"/>
      <c r="C566" s="9"/>
      <c r="D566" s="9"/>
      <c r="E566" s="9"/>
      <c r="F566" s="9"/>
      <c r="G566" s="59"/>
      <c r="H566" s="9"/>
      <c r="I566" s="9"/>
      <c r="J566" s="9"/>
      <c r="K566" s="9"/>
      <c r="L566" s="9"/>
      <c r="M566" s="9"/>
      <c r="N566" s="9"/>
      <c r="O566" s="9"/>
    </row>
    <row r="567">
      <c r="A567" s="9"/>
      <c r="B567" s="9"/>
      <c r="C567" s="9"/>
      <c r="D567" s="9"/>
      <c r="E567" s="9"/>
      <c r="F567" s="9"/>
      <c r="G567" s="59"/>
      <c r="H567" s="9"/>
      <c r="I567" s="9"/>
      <c r="J567" s="9"/>
      <c r="K567" s="9"/>
      <c r="L567" s="9"/>
      <c r="M567" s="9"/>
      <c r="N567" s="9"/>
      <c r="O567" s="9"/>
    </row>
    <row r="568">
      <c r="A568" s="9"/>
      <c r="B568" s="9"/>
      <c r="C568" s="9"/>
      <c r="D568" s="9"/>
      <c r="E568" s="9"/>
      <c r="F568" s="9"/>
      <c r="G568" s="59"/>
      <c r="H568" s="9"/>
      <c r="I568" s="9"/>
      <c r="J568" s="9"/>
      <c r="K568" s="9"/>
      <c r="L568" s="9"/>
      <c r="M568" s="9"/>
      <c r="N568" s="9"/>
      <c r="O568" s="9"/>
    </row>
    <row r="569">
      <c r="A569" s="9"/>
      <c r="B569" s="9"/>
      <c r="C569" s="9"/>
      <c r="D569" s="9"/>
      <c r="E569" s="9"/>
      <c r="F569" s="9"/>
      <c r="G569" s="59"/>
      <c r="H569" s="9"/>
      <c r="I569" s="9"/>
      <c r="J569" s="9"/>
      <c r="K569" s="9"/>
      <c r="L569" s="9"/>
      <c r="M569" s="9"/>
      <c r="N569" s="9"/>
      <c r="O569" s="9"/>
    </row>
    <row r="570">
      <c r="A570" s="9"/>
      <c r="B570" s="9"/>
      <c r="C570" s="9"/>
      <c r="D570" s="9"/>
      <c r="E570" s="9"/>
      <c r="F570" s="9"/>
      <c r="G570" s="59"/>
      <c r="H570" s="9"/>
      <c r="I570" s="9"/>
      <c r="J570" s="9"/>
      <c r="K570" s="9"/>
      <c r="L570" s="9"/>
      <c r="M570" s="9"/>
      <c r="N570" s="9"/>
      <c r="O570" s="9"/>
    </row>
    <row r="571">
      <c r="A571" s="9"/>
      <c r="B571" s="9"/>
      <c r="C571" s="9"/>
      <c r="D571" s="9"/>
      <c r="E571" s="9"/>
      <c r="F571" s="9"/>
      <c r="G571" s="59"/>
      <c r="H571" s="9"/>
      <c r="I571" s="9"/>
      <c r="J571" s="9"/>
      <c r="K571" s="9"/>
      <c r="L571" s="9"/>
      <c r="M571" s="9"/>
      <c r="N571" s="9"/>
      <c r="O571" s="9"/>
    </row>
    <row r="572">
      <c r="A572" s="9"/>
      <c r="B572" s="9"/>
      <c r="C572" s="9"/>
      <c r="D572" s="9"/>
      <c r="E572" s="9"/>
      <c r="F572" s="9"/>
      <c r="G572" s="59"/>
      <c r="H572" s="9"/>
      <c r="I572" s="9"/>
      <c r="J572" s="9"/>
      <c r="K572" s="9"/>
      <c r="L572" s="9"/>
      <c r="M572" s="9"/>
      <c r="N572" s="9"/>
      <c r="O572" s="9"/>
    </row>
    <row r="573">
      <c r="A573" s="9"/>
      <c r="B573" s="9"/>
      <c r="C573" s="9"/>
      <c r="D573" s="9"/>
      <c r="E573" s="9"/>
      <c r="F573" s="9"/>
      <c r="G573" s="59"/>
      <c r="H573" s="9"/>
      <c r="I573" s="9"/>
      <c r="J573" s="9"/>
      <c r="K573" s="9"/>
      <c r="L573" s="9"/>
      <c r="M573" s="9"/>
      <c r="N573" s="9"/>
      <c r="O573" s="9"/>
    </row>
    <row r="574">
      <c r="A574" s="9"/>
      <c r="B574" s="9"/>
      <c r="C574" s="9"/>
      <c r="D574" s="9"/>
      <c r="E574" s="9"/>
      <c r="F574" s="9"/>
      <c r="G574" s="59"/>
      <c r="H574" s="9"/>
      <c r="I574" s="9"/>
      <c r="J574" s="9"/>
      <c r="K574" s="9"/>
      <c r="L574" s="9"/>
      <c r="M574" s="9"/>
      <c r="N574" s="9"/>
      <c r="O574" s="9"/>
    </row>
    <row r="575">
      <c r="A575" s="9"/>
      <c r="B575" s="9"/>
      <c r="C575" s="9"/>
      <c r="D575" s="9"/>
      <c r="E575" s="9"/>
      <c r="F575" s="9"/>
      <c r="G575" s="59"/>
      <c r="H575" s="9"/>
      <c r="I575" s="9"/>
      <c r="J575" s="9"/>
      <c r="K575" s="9"/>
      <c r="L575" s="9"/>
      <c r="M575" s="9"/>
      <c r="N575" s="9"/>
      <c r="O575" s="9"/>
    </row>
    <row r="576">
      <c r="A576" s="9"/>
      <c r="B576" s="9"/>
      <c r="C576" s="9"/>
      <c r="D576" s="9"/>
      <c r="E576" s="9"/>
      <c r="F576" s="9"/>
      <c r="G576" s="59"/>
      <c r="H576" s="9"/>
      <c r="I576" s="9"/>
      <c r="J576" s="9"/>
      <c r="K576" s="9"/>
      <c r="L576" s="9"/>
      <c r="M576" s="9"/>
      <c r="N576" s="9"/>
      <c r="O576" s="9"/>
    </row>
    <row r="577">
      <c r="A577" s="9"/>
      <c r="B577" s="9"/>
      <c r="C577" s="9"/>
      <c r="D577" s="9"/>
      <c r="E577" s="9"/>
      <c r="F577" s="9"/>
      <c r="G577" s="59"/>
      <c r="H577" s="9"/>
      <c r="I577" s="9"/>
      <c r="J577" s="9"/>
      <c r="K577" s="9"/>
      <c r="L577" s="9"/>
      <c r="M577" s="9"/>
      <c r="N577" s="9"/>
      <c r="O577" s="9"/>
    </row>
    <row r="578">
      <c r="A578" s="9"/>
      <c r="B578" s="9"/>
      <c r="C578" s="9"/>
      <c r="D578" s="9"/>
      <c r="E578" s="9"/>
      <c r="F578" s="9"/>
      <c r="G578" s="59"/>
      <c r="H578" s="9"/>
      <c r="I578" s="9"/>
      <c r="J578" s="9"/>
      <c r="K578" s="9"/>
      <c r="L578" s="9"/>
      <c r="M578" s="9"/>
      <c r="N578" s="9"/>
      <c r="O578" s="9"/>
    </row>
    <row r="579">
      <c r="A579" s="9"/>
      <c r="B579" s="9"/>
      <c r="C579" s="9"/>
      <c r="D579" s="9"/>
      <c r="E579" s="9"/>
      <c r="F579" s="9"/>
      <c r="G579" s="59"/>
      <c r="H579" s="9"/>
      <c r="I579" s="9"/>
      <c r="J579" s="9"/>
      <c r="K579" s="9"/>
      <c r="L579" s="9"/>
      <c r="M579" s="9"/>
      <c r="N579" s="9"/>
      <c r="O579" s="9"/>
    </row>
    <row r="580">
      <c r="A580" s="9"/>
      <c r="B580" s="9"/>
      <c r="C580" s="9"/>
      <c r="D580" s="9"/>
      <c r="E580" s="9"/>
      <c r="F580" s="9"/>
      <c r="G580" s="59"/>
      <c r="H580" s="9"/>
      <c r="I580" s="9"/>
      <c r="J580" s="9"/>
      <c r="K580" s="9"/>
      <c r="L580" s="9"/>
      <c r="M580" s="9"/>
      <c r="N580" s="9"/>
      <c r="O580" s="9"/>
    </row>
    <row r="581">
      <c r="A581" s="9"/>
      <c r="B581" s="9"/>
      <c r="C581" s="9"/>
      <c r="D581" s="9"/>
      <c r="E581" s="9"/>
      <c r="F581" s="9"/>
      <c r="G581" s="59"/>
      <c r="H581" s="9"/>
      <c r="I581" s="9"/>
      <c r="J581" s="9"/>
      <c r="K581" s="9"/>
      <c r="L581" s="9"/>
      <c r="M581" s="9"/>
      <c r="N581" s="9"/>
      <c r="O581" s="9"/>
    </row>
    <row r="582">
      <c r="A582" s="9"/>
      <c r="B582" s="9"/>
      <c r="C582" s="9"/>
      <c r="D582" s="9"/>
      <c r="E582" s="9"/>
      <c r="F582" s="9"/>
      <c r="G582" s="59"/>
      <c r="H582" s="9"/>
      <c r="I582" s="9"/>
      <c r="J582" s="9"/>
      <c r="K582" s="9"/>
      <c r="L582" s="9"/>
      <c r="M582" s="9"/>
      <c r="N582" s="9"/>
      <c r="O582" s="9"/>
    </row>
    <row r="583">
      <c r="A583" s="9"/>
      <c r="B583" s="9"/>
      <c r="C583" s="9"/>
      <c r="D583" s="9"/>
      <c r="E583" s="9"/>
      <c r="F583" s="9"/>
      <c r="G583" s="59"/>
      <c r="H583" s="9"/>
      <c r="I583" s="9"/>
      <c r="J583" s="9"/>
      <c r="K583" s="9"/>
      <c r="L583" s="9"/>
      <c r="M583" s="9"/>
      <c r="N583" s="9"/>
      <c r="O583" s="9"/>
    </row>
    <row r="584">
      <c r="A584" s="9"/>
      <c r="B584" s="9"/>
      <c r="C584" s="9"/>
      <c r="D584" s="9"/>
      <c r="E584" s="9"/>
      <c r="F584" s="9"/>
      <c r="G584" s="59"/>
      <c r="H584" s="9"/>
      <c r="I584" s="9"/>
      <c r="J584" s="9"/>
      <c r="K584" s="9"/>
      <c r="L584" s="9"/>
      <c r="M584" s="9"/>
      <c r="N584" s="9"/>
      <c r="O584" s="9"/>
    </row>
    <row r="585">
      <c r="A585" s="9"/>
      <c r="B585" s="9"/>
      <c r="C585" s="9"/>
      <c r="D585" s="9"/>
      <c r="E585" s="9"/>
      <c r="F585" s="9"/>
      <c r="G585" s="59"/>
      <c r="H585" s="9"/>
      <c r="I585" s="9"/>
      <c r="J585" s="9"/>
      <c r="K585" s="9"/>
      <c r="L585" s="9"/>
      <c r="M585" s="9"/>
      <c r="N585" s="9"/>
      <c r="O585" s="9"/>
    </row>
    <row r="586">
      <c r="A586" s="9"/>
      <c r="B586" s="9"/>
      <c r="C586" s="9"/>
      <c r="D586" s="9"/>
      <c r="E586" s="9"/>
      <c r="F586" s="9"/>
      <c r="G586" s="59"/>
      <c r="H586" s="9"/>
      <c r="I586" s="9"/>
      <c r="J586" s="9"/>
      <c r="K586" s="9"/>
      <c r="L586" s="9"/>
      <c r="M586" s="9"/>
      <c r="N586" s="9"/>
      <c r="O586" s="9"/>
    </row>
    <row r="587">
      <c r="A587" s="9"/>
      <c r="B587" s="9"/>
      <c r="C587" s="9"/>
      <c r="D587" s="9"/>
      <c r="E587" s="9"/>
      <c r="F587" s="9"/>
      <c r="G587" s="59"/>
      <c r="H587" s="9"/>
      <c r="I587" s="9"/>
      <c r="J587" s="9"/>
      <c r="K587" s="9"/>
      <c r="L587" s="9"/>
      <c r="M587" s="9"/>
      <c r="N587" s="9"/>
      <c r="O587" s="9"/>
    </row>
    <row r="588">
      <c r="A588" s="9"/>
      <c r="B588" s="9"/>
      <c r="C588" s="9"/>
      <c r="D588" s="9"/>
      <c r="E588" s="9"/>
      <c r="F588" s="9"/>
      <c r="G588" s="59"/>
      <c r="H588" s="9"/>
      <c r="I588" s="9"/>
      <c r="J588" s="9"/>
      <c r="K588" s="9"/>
      <c r="L588" s="9"/>
      <c r="M588" s="9"/>
      <c r="N588" s="9"/>
      <c r="O588" s="9"/>
    </row>
    <row r="589">
      <c r="A589" s="9"/>
      <c r="B589" s="9"/>
      <c r="C589" s="9"/>
      <c r="D589" s="9"/>
      <c r="E589" s="9"/>
      <c r="F589" s="9"/>
      <c r="G589" s="59"/>
      <c r="H589" s="9"/>
      <c r="I589" s="9"/>
      <c r="J589" s="9"/>
      <c r="K589" s="9"/>
      <c r="L589" s="9"/>
      <c r="M589" s="9"/>
      <c r="N589" s="9"/>
      <c r="O589" s="9"/>
    </row>
    <row r="590">
      <c r="A590" s="9"/>
      <c r="B590" s="9"/>
      <c r="C590" s="9"/>
      <c r="D590" s="9"/>
      <c r="E590" s="9"/>
      <c r="F590" s="9"/>
      <c r="G590" s="59"/>
      <c r="H590" s="9"/>
      <c r="I590" s="9"/>
      <c r="J590" s="9"/>
      <c r="K590" s="9"/>
      <c r="L590" s="9"/>
      <c r="M590" s="9"/>
      <c r="N590" s="9"/>
      <c r="O590" s="9"/>
    </row>
    <row r="591">
      <c r="A591" s="9"/>
      <c r="B591" s="9"/>
      <c r="C591" s="9"/>
      <c r="D591" s="9"/>
      <c r="E591" s="9"/>
      <c r="F591" s="9"/>
      <c r="G591" s="59"/>
      <c r="H591" s="9"/>
      <c r="I591" s="9"/>
      <c r="J591" s="9"/>
      <c r="K591" s="9"/>
      <c r="L591" s="9"/>
      <c r="M591" s="9"/>
      <c r="N591" s="9"/>
      <c r="O591" s="9"/>
    </row>
    <row r="592">
      <c r="A592" s="9"/>
      <c r="B592" s="9"/>
      <c r="C592" s="9"/>
      <c r="D592" s="9"/>
      <c r="E592" s="9"/>
      <c r="F592" s="9"/>
      <c r="G592" s="59"/>
      <c r="H592" s="9"/>
      <c r="I592" s="9"/>
      <c r="J592" s="9"/>
      <c r="K592" s="9"/>
      <c r="L592" s="9"/>
      <c r="M592" s="9"/>
      <c r="N592" s="9"/>
      <c r="O592" s="9"/>
    </row>
    <row r="593">
      <c r="A593" s="9"/>
      <c r="B593" s="9"/>
      <c r="C593" s="9"/>
      <c r="D593" s="9"/>
      <c r="E593" s="9"/>
      <c r="F593" s="9"/>
      <c r="G593" s="59"/>
      <c r="H593" s="9"/>
      <c r="I593" s="9"/>
      <c r="J593" s="9"/>
      <c r="K593" s="9"/>
      <c r="L593" s="9"/>
      <c r="M593" s="9"/>
      <c r="N593" s="9"/>
      <c r="O593" s="9"/>
    </row>
    <row r="594">
      <c r="A594" s="9"/>
      <c r="B594" s="9"/>
      <c r="C594" s="9"/>
      <c r="D594" s="9"/>
      <c r="E594" s="9"/>
      <c r="F594" s="9"/>
      <c r="G594" s="59"/>
      <c r="H594" s="9"/>
      <c r="I594" s="9"/>
      <c r="J594" s="9"/>
      <c r="K594" s="9"/>
      <c r="L594" s="9"/>
      <c r="M594" s="9"/>
      <c r="N594" s="9"/>
      <c r="O594" s="9"/>
    </row>
    <row r="595">
      <c r="A595" s="9"/>
      <c r="B595" s="9"/>
      <c r="C595" s="9"/>
      <c r="D595" s="9"/>
      <c r="E595" s="9"/>
      <c r="F595" s="9"/>
      <c r="G595" s="59"/>
      <c r="H595" s="9"/>
      <c r="I595" s="9"/>
      <c r="J595" s="9"/>
      <c r="K595" s="9"/>
      <c r="L595" s="9"/>
      <c r="M595" s="9"/>
      <c r="N595" s="9"/>
      <c r="O595" s="9"/>
    </row>
    <row r="596">
      <c r="A596" s="9"/>
      <c r="B596" s="9"/>
      <c r="C596" s="9"/>
      <c r="D596" s="9"/>
      <c r="E596" s="9"/>
      <c r="F596" s="9"/>
      <c r="G596" s="59"/>
      <c r="H596" s="9"/>
      <c r="I596" s="9"/>
      <c r="J596" s="9"/>
      <c r="K596" s="9"/>
      <c r="L596" s="9"/>
      <c r="M596" s="9"/>
      <c r="N596" s="9"/>
      <c r="O596" s="9"/>
    </row>
    <row r="597">
      <c r="A597" s="9"/>
      <c r="B597" s="9"/>
      <c r="C597" s="9"/>
      <c r="D597" s="9"/>
      <c r="E597" s="9"/>
      <c r="F597" s="9"/>
      <c r="G597" s="59"/>
      <c r="H597" s="9"/>
      <c r="I597" s="9"/>
      <c r="J597" s="9"/>
      <c r="K597" s="9"/>
      <c r="L597" s="9"/>
      <c r="M597" s="9"/>
      <c r="N597" s="9"/>
      <c r="O597" s="9"/>
    </row>
    <row r="598">
      <c r="A598" s="9"/>
      <c r="B598" s="9"/>
      <c r="C598" s="9"/>
      <c r="D598" s="9"/>
      <c r="E598" s="9"/>
      <c r="F598" s="9"/>
      <c r="G598" s="59"/>
      <c r="H598" s="9"/>
      <c r="I598" s="9"/>
      <c r="J598" s="9"/>
      <c r="K598" s="9"/>
      <c r="L598" s="9"/>
      <c r="M598" s="9"/>
      <c r="N598" s="9"/>
      <c r="O598" s="9"/>
    </row>
    <row r="599">
      <c r="A599" s="9"/>
      <c r="B599" s="9"/>
      <c r="C599" s="9"/>
      <c r="D599" s="9"/>
      <c r="E599" s="9"/>
      <c r="F599" s="9"/>
      <c r="G599" s="59"/>
      <c r="H599" s="9"/>
      <c r="I599" s="9"/>
      <c r="J599" s="9"/>
      <c r="K599" s="9"/>
      <c r="L599" s="9"/>
      <c r="M599" s="9"/>
      <c r="N599" s="9"/>
      <c r="O599" s="9"/>
    </row>
    <row r="600">
      <c r="A600" s="9"/>
      <c r="B600" s="9"/>
      <c r="C600" s="9"/>
      <c r="D600" s="9"/>
      <c r="E600" s="9"/>
      <c r="F600" s="9"/>
      <c r="G600" s="59"/>
      <c r="H600" s="9"/>
      <c r="I600" s="9"/>
      <c r="J600" s="9"/>
      <c r="K600" s="9"/>
      <c r="L600" s="9"/>
      <c r="M600" s="9"/>
      <c r="N600" s="9"/>
      <c r="O600" s="9"/>
    </row>
    <row r="601">
      <c r="A601" s="9"/>
      <c r="B601" s="9"/>
      <c r="C601" s="9"/>
      <c r="D601" s="9"/>
      <c r="E601" s="9"/>
      <c r="F601" s="9"/>
      <c r="G601" s="59"/>
      <c r="H601" s="9"/>
      <c r="I601" s="9"/>
      <c r="J601" s="9"/>
      <c r="K601" s="9"/>
      <c r="L601" s="9"/>
      <c r="M601" s="9"/>
      <c r="N601" s="9"/>
      <c r="O601" s="9"/>
    </row>
    <row r="602">
      <c r="A602" s="9"/>
      <c r="B602" s="9"/>
      <c r="C602" s="9"/>
      <c r="D602" s="9"/>
      <c r="E602" s="9"/>
      <c r="F602" s="9"/>
      <c r="G602" s="59"/>
      <c r="H602" s="9"/>
      <c r="I602" s="9"/>
      <c r="J602" s="9"/>
      <c r="K602" s="9"/>
      <c r="L602" s="9"/>
      <c r="M602" s="9"/>
      <c r="N602" s="9"/>
      <c r="O602" s="9"/>
    </row>
    <row r="603">
      <c r="A603" s="9"/>
      <c r="B603" s="9"/>
      <c r="C603" s="9"/>
      <c r="D603" s="9"/>
      <c r="E603" s="9"/>
      <c r="F603" s="9"/>
      <c r="G603" s="59"/>
      <c r="H603" s="9"/>
      <c r="I603" s="9"/>
      <c r="J603" s="9"/>
      <c r="K603" s="9"/>
      <c r="L603" s="9"/>
      <c r="M603" s="9"/>
      <c r="N603" s="9"/>
      <c r="O603" s="9"/>
    </row>
    <row r="604">
      <c r="A604" s="9"/>
      <c r="B604" s="9"/>
      <c r="C604" s="9"/>
      <c r="D604" s="9"/>
      <c r="E604" s="9"/>
      <c r="F604" s="9"/>
      <c r="G604" s="59"/>
      <c r="H604" s="9"/>
      <c r="I604" s="9"/>
      <c r="J604" s="9"/>
      <c r="K604" s="9"/>
      <c r="L604" s="9"/>
      <c r="M604" s="9"/>
      <c r="N604" s="9"/>
      <c r="O604" s="9"/>
    </row>
    <row r="605">
      <c r="A605" s="9"/>
      <c r="B605" s="9"/>
      <c r="C605" s="9"/>
      <c r="D605" s="9"/>
      <c r="E605" s="9"/>
      <c r="F605" s="9"/>
      <c r="G605" s="59"/>
      <c r="H605" s="9"/>
      <c r="I605" s="9"/>
      <c r="J605" s="9"/>
      <c r="K605" s="9"/>
      <c r="L605" s="9"/>
      <c r="M605" s="9"/>
      <c r="N605" s="9"/>
      <c r="O605" s="9"/>
    </row>
    <row r="606">
      <c r="A606" s="9"/>
      <c r="B606" s="9"/>
      <c r="C606" s="9"/>
      <c r="D606" s="9"/>
      <c r="E606" s="9"/>
      <c r="F606" s="9"/>
      <c r="G606" s="59"/>
      <c r="H606" s="9"/>
      <c r="I606" s="9"/>
      <c r="J606" s="9"/>
      <c r="K606" s="9"/>
      <c r="L606" s="9"/>
      <c r="M606" s="9"/>
      <c r="N606" s="9"/>
      <c r="O606" s="9"/>
    </row>
    <row r="607">
      <c r="A607" s="9"/>
      <c r="B607" s="9"/>
      <c r="C607" s="9"/>
      <c r="D607" s="9"/>
      <c r="E607" s="9"/>
      <c r="F607" s="9"/>
      <c r="G607" s="59"/>
      <c r="H607" s="9"/>
      <c r="I607" s="9"/>
      <c r="J607" s="9"/>
      <c r="K607" s="9"/>
      <c r="L607" s="9"/>
      <c r="M607" s="9"/>
      <c r="N607" s="9"/>
      <c r="O607" s="9"/>
    </row>
    <row r="608">
      <c r="A608" s="9"/>
      <c r="B608" s="9"/>
      <c r="C608" s="9"/>
      <c r="D608" s="9"/>
      <c r="E608" s="9"/>
      <c r="F608" s="9"/>
      <c r="G608" s="59"/>
      <c r="H608" s="9"/>
      <c r="I608" s="9"/>
      <c r="J608" s="9"/>
      <c r="K608" s="9"/>
      <c r="L608" s="9"/>
      <c r="M608" s="9"/>
      <c r="N608" s="9"/>
      <c r="O608" s="9"/>
    </row>
    <row r="609">
      <c r="A609" s="9"/>
      <c r="B609" s="9"/>
      <c r="C609" s="9"/>
      <c r="D609" s="9"/>
      <c r="E609" s="9"/>
      <c r="F609" s="9"/>
      <c r="G609" s="59"/>
      <c r="H609" s="9"/>
      <c r="I609" s="9"/>
      <c r="J609" s="9"/>
      <c r="K609" s="9"/>
      <c r="L609" s="9"/>
      <c r="M609" s="9"/>
      <c r="N609" s="9"/>
      <c r="O609" s="9"/>
    </row>
    <row r="610">
      <c r="A610" s="9"/>
      <c r="B610" s="9"/>
      <c r="C610" s="9"/>
      <c r="D610" s="9"/>
      <c r="E610" s="9"/>
      <c r="F610" s="9"/>
      <c r="G610" s="59"/>
      <c r="H610" s="9"/>
      <c r="I610" s="9"/>
      <c r="J610" s="9"/>
      <c r="K610" s="9"/>
      <c r="L610" s="9"/>
      <c r="M610" s="9"/>
      <c r="N610" s="9"/>
      <c r="O610" s="9"/>
    </row>
    <row r="611">
      <c r="A611" s="9"/>
      <c r="B611" s="9"/>
      <c r="C611" s="9"/>
      <c r="D611" s="9"/>
      <c r="E611" s="9"/>
      <c r="F611" s="9"/>
      <c r="G611" s="59"/>
      <c r="H611" s="9"/>
      <c r="I611" s="9"/>
      <c r="J611" s="9"/>
      <c r="K611" s="9"/>
      <c r="L611" s="9"/>
      <c r="M611" s="9"/>
      <c r="N611" s="9"/>
      <c r="O611" s="9"/>
    </row>
    <row r="612">
      <c r="A612" s="9"/>
      <c r="B612" s="9"/>
      <c r="C612" s="9"/>
      <c r="D612" s="9"/>
      <c r="E612" s="9"/>
      <c r="F612" s="9"/>
      <c r="G612" s="59"/>
      <c r="H612" s="9"/>
      <c r="I612" s="9"/>
      <c r="J612" s="9"/>
      <c r="K612" s="9"/>
      <c r="L612" s="9"/>
      <c r="M612" s="9"/>
      <c r="N612" s="9"/>
      <c r="O612" s="9"/>
    </row>
    <row r="613">
      <c r="A613" s="9"/>
      <c r="B613" s="9"/>
      <c r="C613" s="9"/>
      <c r="D613" s="9"/>
      <c r="E613" s="9"/>
      <c r="F613" s="9"/>
      <c r="G613" s="59"/>
      <c r="H613" s="9"/>
      <c r="I613" s="9"/>
      <c r="J613" s="9"/>
      <c r="K613" s="9"/>
      <c r="L613" s="9"/>
      <c r="M613" s="9"/>
      <c r="N613" s="9"/>
      <c r="O613" s="9"/>
    </row>
    <row r="614">
      <c r="A614" s="9"/>
      <c r="B614" s="9"/>
      <c r="C614" s="9"/>
      <c r="D614" s="9"/>
      <c r="E614" s="9"/>
      <c r="F614" s="9"/>
      <c r="G614" s="59"/>
      <c r="H614" s="9"/>
      <c r="I614" s="9"/>
      <c r="J614" s="9"/>
      <c r="K614" s="9"/>
      <c r="L614" s="9"/>
      <c r="M614" s="9"/>
      <c r="N614" s="9"/>
      <c r="O614" s="9"/>
    </row>
    <row r="615">
      <c r="A615" s="9"/>
      <c r="B615" s="9"/>
      <c r="C615" s="9"/>
      <c r="D615" s="9"/>
      <c r="E615" s="9"/>
      <c r="F615" s="9"/>
      <c r="G615" s="59"/>
      <c r="H615" s="9"/>
      <c r="I615" s="9"/>
      <c r="J615" s="9"/>
      <c r="K615" s="9"/>
      <c r="L615" s="9"/>
      <c r="M615" s="9"/>
      <c r="N615" s="9"/>
      <c r="O615" s="9"/>
    </row>
    <row r="616">
      <c r="A616" s="9"/>
      <c r="B616" s="9"/>
      <c r="C616" s="9"/>
      <c r="D616" s="9"/>
      <c r="E616" s="9"/>
      <c r="F616" s="9"/>
      <c r="G616" s="59"/>
      <c r="H616" s="9"/>
      <c r="I616" s="9"/>
      <c r="J616" s="9"/>
      <c r="K616" s="9"/>
      <c r="L616" s="9"/>
      <c r="M616" s="9"/>
      <c r="N616" s="9"/>
      <c r="O616" s="9"/>
    </row>
    <row r="617">
      <c r="A617" s="9"/>
      <c r="B617" s="9"/>
      <c r="C617" s="9"/>
      <c r="D617" s="9"/>
      <c r="E617" s="9"/>
      <c r="F617" s="9"/>
      <c r="G617" s="59"/>
      <c r="H617" s="9"/>
      <c r="I617" s="9"/>
      <c r="J617" s="9"/>
      <c r="K617" s="9"/>
      <c r="L617" s="9"/>
      <c r="M617" s="9"/>
      <c r="N617" s="9"/>
      <c r="O617" s="9"/>
    </row>
    <row r="618">
      <c r="A618" s="9"/>
      <c r="B618" s="9"/>
      <c r="C618" s="9"/>
      <c r="D618" s="9"/>
      <c r="E618" s="9"/>
      <c r="F618" s="9"/>
      <c r="G618" s="59"/>
      <c r="H618" s="9"/>
      <c r="I618" s="9"/>
      <c r="J618" s="9"/>
      <c r="K618" s="9"/>
      <c r="L618" s="9"/>
      <c r="M618" s="9"/>
      <c r="N618" s="9"/>
      <c r="O618" s="9"/>
    </row>
    <row r="619">
      <c r="A619" s="9"/>
      <c r="B619" s="9"/>
      <c r="C619" s="9"/>
      <c r="D619" s="9"/>
      <c r="E619" s="9"/>
      <c r="F619" s="9"/>
      <c r="G619" s="59"/>
      <c r="H619" s="9"/>
      <c r="I619" s="9"/>
      <c r="J619" s="9"/>
      <c r="K619" s="9"/>
      <c r="L619" s="9"/>
      <c r="M619" s="9"/>
      <c r="N619" s="9"/>
      <c r="O619" s="9"/>
    </row>
    <row r="620">
      <c r="A620" s="9"/>
      <c r="B620" s="9"/>
      <c r="C620" s="9"/>
      <c r="D620" s="9"/>
      <c r="E620" s="9"/>
      <c r="F620" s="9"/>
      <c r="G620" s="59"/>
      <c r="H620" s="9"/>
      <c r="I620" s="9"/>
      <c r="J620" s="9"/>
      <c r="K620" s="9"/>
      <c r="L620" s="9"/>
      <c r="M620" s="9"/>
      <c r="N620" s="9"/>
      <c r="O620" s="9"/>
    </row>
    <row r="621">
      <c r="A621" s="9"/>
      <c r="B621" s="9"/>
      <c r="C621" s="9"/>
      <c r="D621" s="9"/>
      <c r="E621" s="9"/>
      <c r="F621" s="9"/>
      <c r="G621" s="59"/>
      <c r="H621" s="9"/>
      <c r="I621" s="9"/>
      <c r="J621" s="9"/>
      <c r="K621" s="9"/>
      <c r="L621" s="9"/>
      <c r="M621" s="9"/>
      <c r="N621" s="9"/>
      <c r="O621" s="9"/>
    </row>
    <row r="622">
      <c r="A622" s="9"/>
      <c r="B622" s="9"/>
      <c r="C622" s="9"/>
      <c r="D622" s="9"/>
      <c r="E622" s="9"/>
      <c r="F622" s="9"/>
      <c r="G622" s="59"/>
      <c r="H622" s="9"/>
      <c r="I622" s="9"/>
      <c r="J622" s="9"/>
      <c r="K622" s="9"/>
      <c r="L622" s="9"/>
      <c r="M622" s="9"/>
      <c r="N622" s="9"/>
      <c r="O622" s="9"/>
    </row>
    <row r="623">
      <c r="A623" s="9"/>
      <c r="B623" s="9"/>
      <c r="C623" s="9"/>
      <c r="D623" s="9"/>
      <c r="E623" s="9"/>
      <c r="F623" s="9"/>
      <c r="G623" s="59"/>
      <c r="H623" s="9"/>
      <c r="I623" s="9"/>
      <c r="J623" s="9"/>
      <c r="K623" s="9"/>
      <c r="L623" s="9"/>
      <c r="M623" s="9"/>
      <c r="N623" s="9"/>
      <c r="O623" s="9"/>
    </row>
    <row r="624">
      <c r="A624" s="9"/>
      <c r="B624" s="9"/>
      <c r="C624" s="9"/>
      <c r="D624" s="9"/>
      <c r="E624" s="9"/>
      <c r="F624" s="9"/>
      <c r="G624" s="59"/>
      <c r="H624" s="9"/>
      <c r="I624" s="9"/>
      <c r="J624" s="9"/>
      <c r="K624" s="9"/>
      <c r="L624" s="9"/>
      <c r="M624" s="9"/>
      <c r="N624" s="9"/>
      <c r="O624" s="9"/>
    </row>
    <row r="625">
      <c r="A625" s="9"/>
      <c r="B625" s="9"/>
      <c r="C625" s="9"/>
      <c r="D625" s="9"/>
      <c r="E625" s="9"/>
      <c r="F625" s="9"/>
      <c r="G625" s="59"/>
      <c r="H625" s="9"/>
      <c r="I625" s="9"/>
      <c r="J625" s="9"/>
      <c r="K625" s="9"/>
      <c r="L625" s="9"/>
      <c r="M625" s="9"/>
      <c r="N625" s="9"/>
      <c r="O625" s="9"/>
    </row>
    <row r="626">
      <c r="A626" s="9"/>
      <c r="B626" s="9"/>
      <c r="C626" s="9"/>
      <c r="D626" s="9"/>
      <c r="E626" s="9"/>
      <c r="F626" s="9"/>
      <c r="G626" s="59"/>
      <c r="H626" s="9"/>
      <c r="I626" s="9"/>
      <c r="J626" s="9"/>
      <c r="K626" s="9"/>
      <c r="L626" s="9"/>
      <c r="M626" s="9"/>
      <c r="N626" s="9"/>
      <c r="O626" s="9"/>
    </row>
    <row r="627">
      <c r="A627" s="9"/>
      <c r="B627" s="9"/>
      <c r="C627" s="9"/>
      <c r="D627" s="9"/>
      <c r="E627" s="9"/>
      <c r="F627" s="9"/>
      <c r="G627" s="59"/>
      <c r="H627" s="9"/>
      <c r="I627" s="9"/>
      <c r="J627" s="9"/>
      <c r="K627" s="9"/>
      <c r="L627" s="9"/>
      <c r="M627" s="9"/>
      <c r="N627" s="9"/>
      <c r="O627" s="9"/>
    </row>
    <row r="628">
      <c r="A628" s="9"/>
      <c r="B628" s="9"/>
      <c r="C628" s="9"/>
      <c r="D628" s="9"/>
      <c r="E628" s="9"/>
      <c r="F628" s="9"/>
      <c r="G628" s="59"/>
      <c r="H628" s="9"/>
      <c r="I628" s="9"/>
      <c r="J628" s="9"/>
      <c r="K628" s="9"/>
      <c r="L628" s="9"/>
      <c r="M628" s="9"/>
      <c r="N628" s="9"/>
      <c r="O628" s="9"/>
    </row>
    <row r="629">
      <c r="A629" s="9"/>
      <c r="B629" s="9"/>
      <c r="C629" s="9"/>
      <c r="D629" s="9"/>
      <c r="E629" s="9"/>
      <c r="F629" s="9"/>
      <c r="G629" s="59"/>
      <c r="H629" s="9"/>
      <c r="I629" s="9"/>
      <c r="J629" s="9"/>
      <c r="K629" s="9"/>
      <c r="L629" s="9"/>
      <c r="M629" s="9"/>
      <c r="N629" s="9"/>
      <c r="O629" s="9"/>
    </row>
    <row r="630">
      <c r="A630" s="9"/>
      <c r="B630" s="9"/>
      <c r="C630" s="9"/>
      <c r="D630" s="9"/>
      <c r="E630" s="9"/>
      <c r="F630" s="9"/>
      <c r="G630" s="59"/>
      <c r="H630" s="9"/>
      <c r="I630" s="9"/>
      <c r="J630" s="9"/>
      <c r="K630" s="9"/>
      <c r="L630" s="9"/>
      <c r="M630" s="9"/>
      <c r="N630" s="9"/>
      <c r="O630" s="9"/>
    </row>
    <row r="631">
      <c r="A631" s="9"/>
      <c r="B631" s="9"/>
      <c r="C631" s="9"/>
      <c r="D631" s="9"/>
      <c r="E631" s="9"/>
      <c r="F631" s="9"/>
      <c r="G631" s="59"/>
      <c r="H631" s="9"/>
      <c r="I631" s="9"/>
      <c r="J631" s="9"/>
      <c r="K631" s="9"/>
      <c r="L631" s="9"/>
      <c r="M631" s="9"/>
      <c r="N631" s="9"/>
      <c r="O631" s="9"/>
    </row>
    <row r="632">
      <c r="A632" s="9"/>
      <c r="B632" s="9"/>
      <c r="C632" s="9"/>
      <c r="D632" s="9"/>
      <c r="E632" s="9"/>
      <c r="F632" s="9"/>
      <c r="G632" s="59"/>
      <c r="H632" s="9"/>
      <c r="I632" s="9"/>
      <c r="J632" s="9"/>
      <c r="K632" s="9"/>
      <c r="L632" s="9"/>
      <c r="M632" s="9"/>
      <c r="N632" s="9"/>
      <c r="O632" s="9"/>
    </row>
    <row r="633">
      <c r="A633" s="9"/>
      <c r="B633" s="9"/>
      <c r="C633" s="9"/>
      <c r="D633" s="9"/>
      <c r="E633" s="9"/>
      <c r="F633" s="9"/>
      <c r="G633" s="59"/>
      <c r="H633" s="9"/>
      <c r="I633" s="9"/>
      <c r="J633" s="9"/>
      <c r="K633" s="9"/>
      <c r="L633" s="9"/>
      <c r="M633" s="9"/>
      <c r="N633" s="9"/>
      <c r="O633" s="9"/>
    </row>
    <row r="634">
      <c r="A634" s="9"/>
      <c r="B634" s="9"/>
      <c r="C634" s="9"/>
      <c r="D634" s="9"/>
      <c r="E634" s="9"/>
      <c r="F634" s="9"/>
      <c r="G634" s="59"/>
      <c r="H634" s="9"/>
      <c r="I634" s="9"/>
      <c r="J634" s="9"/>
      <c r="K634" s="9"/>
      <c r="L634" s="9"/>
      <c r="M634" s="9"/>
      <c r="N634" s="9"/>
      <c r="O634" s="9"/>
    </row>
    <row r="635">
      <c r="A635" s="9"/>
      <c r="B635" s="9"/>
      <c r="C635" s="9"/>
      <c r="D635" s="9"/>
      <c r="E635" s="9"/>
      <c r="F635" s="9"/>
      <c r="G635" s="59"/>
      <c r="H635" s="9"/>
      <c r="I635" s="9"/>
      <c r="J635" s="9"/>
      <c r="K635" s="9"/>
      <c r="L635" s="9"/>
      <c r="M635" s="9"/>
      <c r="N635" s="9"/>
      <c r="O635" s="9"/>
    </row>
    <row r="636">
      <c r="A636" s="9"/>
      <c r="B636" s="9"/>
      <c r="C636" s="9"/>
      <c r="D636" s="9"/>
      <c r="E636" s="9"/>
      <c r="F636" s="9"/>
      <c r="G636" s="59"/>
      <c r="H636" s="9"/>
      <c r="I636" s="9"/>
      <c r="J636" s="9"/>
      <c r="K636" s="9"/>
      <c r="L636" s="9"/>
      <c r="M636" s="9"/>
      <c r="N636" s="9"/>
      <c r="O636" s="9"/>
    </row>
    <row r="637">
      <c r="A637" s="9"/>
      <c r="B637" s="9"/>
      <c r="C637" s="9"/>
      <c r="D637" s="9"/>
      <c r="E637" s="9"/>
      <c r="F637" s="9"/>
      <c r="G637" s="59"/>
      <c r="H637" s="9"/>
      <c r="I637" s="9"/>
      <c r="J637" s="9"/>
      <c r="K637" s="9"/>
      <c r="L637" s="9"/>
      <c r="M637" s="9"/>
      <c r="N637" s="9"/>
      <c r="O637" s="9"/>
    </row>
    <row r="638">
      <c r="A638" s="9"/>
      <c r="B638" s="9"/>
      <c r="C638" s="9"/>
      <c r="D638" s="9"/>
      <c r="E638" s="9"/>
      <c r="F638" s="9"/>
      <c r="G638" s="59"/>
      <c r="H638" s="9"/>
      <c r="I638" s="9"/>
      <c r="J638" s="9"/>
      <c r="K638" s="9"/>
      <c r="L638" s="9"/>
      <c r="M638" s="9"/>
      <c r="N638" s="9"/>
      <c r="O638" s="9"/>
    </row>
    <row r="639">
      <c r="A639" s="9"/>
      <c r="B639" s="9"/>
      <c r="C639" s="9"/>
      <c r="D639" s="9"/>
      <c r="E639" s="9"/>
      <c r="F639" s="9"/>
      <c r="G639" s="59"/>
      <c r="H639" s="9"/>
      <c r="I639" s="9"/>
      <c r="J639" s="9"/>
      <c r="K639" s="9"/>
      <c r="L639" s="9"/>
      <c r="M639" s="9"/>
      <c r="N639" s="9"/>
      <c r="O639" s="9"/>
    </row>
    <row r="640">
      <c r="A640" s="9"/>
      <c r="B640" s="9"/>
      <c r="C640" s="9"/>
      <c r="D640" s="9"/>
      <c r="E640" s="9"/>
      <c r="F640" s="9"/>
      <c r="G640" s="59"/>
      <c r="H640" s="9"/>
      <c r="I640" s="9"/>
      <c r="J640" s="9"/>
      <c r="K640" s="9"/>
      <c r="L640" s="9"/>
      <c r="M640" s="9"/>
      <c r="N640" s="9"/>
      <c r="O640" s="9"/>
    </row>
    <row r="641">
      <c r="A641" s="9"/>
      <c r="B641" s="9"/>
      <c r="C641" s="9"/>
      <c r="D641" s="9"/>
      <c r="E641" s="9"/>
      <c r="F641" s="9"/>
      <c r="G641" s="59"/>
      <c r="H641" s="9"/>
      <c r="I641" s="9"/>
      <c r="J641" s="9"/>
      <c r="K641" s="9"/>
      <c r="L641" s="9"/>
      <c r="M641" s="9"/>
      <c r="N641" s="9"/>
      <c r="O641" s="9"/>
    </row>
    <row r="642">
      <c r="A642" s="9"/>
      <c r="B642" s="9"/>
      <c r="C642" s="9"/>
      <c r="D642" s="9"/>
      <c r="E642" s="9"/>
      <c r="F642" s="9"/>
      <c r="G642" s="59"/>
      <c r="H642" s="9"/>
      <c r="I642" s="9"/>
      <c r="J642" s="9"/>
      <c r="K642" s="9"/>
      <c r="L642" s="9"/>
      <c r="M642" s="9"/>
      <c r="N642" s="9"/>
      <c r="O642" s="9"/>
    </row>
    <row r="643">
      <c r="A643" s="9"/>
      <c r="B643" s="9"/>
      <c r="C643" s="9"/>
      <c r="D643" s="9"/>
      <c r="E643" s="9"/>
      <c r="F643" s="9"/>
      <c r="G643" s="59"/>
      <c r="H643" s="9"/>
      <c r="I643" s="9"/>
      <c r="J643" s="9"/>
      <c r="K643" s="9"/>
      <c r="L643" s="9"/>
      <c r="M643" s="9"/>
      <c r="N643" s="9"/>
      <c r="O643" s="9"/>
    </row>
    <row r="644">
      <c r="A644" s="9"/>
      <c r="B644" s="9"/>
      <c r="C644" s="9"/>
      <c r="D644" s="9"/>
      <c r="E644" s="9"/>
      <c r="F644" s="9"/>
      <c r="G644" s="59"/>
      <c r="H644" s="9"/>
      <c r="I644" s="9"/>
      <c r="J644" s="9"/>
      <c r="K644" s="9"/>
      <c r="L644" s="9"/>
      <c r="M644" s="9"/>
      <c r="N644" s="9"/>
      <c r="O644" s="9"/>
    </row>
    <row r="645">
      <c r="A645" s="9"/>
      <c r="B645" s="9"/>
      <c r="C645" s="9"/>
      <c r="D645" s="9"/>
      <c r="E645" s="9"/>
      <c r="F645" s="9"/>
      <c r="G645" s="59"/>
      <c r="H645" s="9"/>
      <c r="I645" s="9"/>
      <c r="J645" s="9"/>
      <c r="K645" s="9"/>
      <c r="L645" s="9"/>
      <c r="M645" s="9"/>
      <c r="N645" s="9"/>
      <c r="O645" s="9"/>
    </row>
    <row r="646">
      <c r="A646" s="9"/>
      <c r="B646" s="9"/>
      <c r="C646" s="9"/>
      <c r="D646" s="9"/>
      <c r="E646" s="9"/>
      <c r="F646" s="9"/>
      <c r="G646" s="59"/>
      <c r="H646" s="9"/>
      <c r="I646" s="9"/>
      <c r="J646" s="9"/>
      <c r="K646" s="9"/>
      <c r="L646" s="9"/>
      <c r="M646" s="9"/>
      <c r="N646" s="9"/>
      <c r="O646" s="9"/>
    </row>
    <row r="647">
      <c r="A647" s="9"/>
      <c r="B647" s="9"/>
      <c r="C647" s="9"/>
      <c r="D647" s="9"/>
      <c r="E647" s="9"/>
      <c r="F647" s="9"/>
      <c r="G647" s="59"/>
      <c r="H647" s="9"/>
      <c r="I647" s="9"/>
      <c r="J647" s="9"/>
      <c r="K647" s="9"/>
      <c r="L647" s="9"/>
      <c r="M647" s="9"/>
      <c r="N647" s="9"/>
      <c r="O647" s="9"/>
    </row>
    <row r="648">
      <c r="A648" s="9"/>
      <c r="B648" s="9"/>
      <c r="C648" s="9"/>
      <c r="D648" s="9"/>
      <c r="E648" s="9"/>
      <c r="F648" s="9"/>
      <c r="G648" s="59"/>
      <c r="H648" s="9"/>
      <c r="I648" s="9"/>
      <c r="J648" s="9"/>
      <c r="K648" s="9"/>
      <c r="L648" s="9"/>
      <c r="M648" s="9"/>
      <c r="N648" s="9"/>
      <c r="O648" s="9"/>
    </row>
    <row r="649">
      <c r="A649" s="9"/>
      <c r="B649" s="9"/>
      <c r="C649" s="9"/>
      <c r="D649" s="9"/>
      <c r="E649" s="9"/>
      <c r="F649" s="9"/>
      <c r="G649" s="59"/>
      <c r="H649" s="9"/>
      <c r="I649" s="9"/>
      <c r="J649" s="9"/>
      <c r="K649" s="9"/>
      <c r="L649" s="9"/>
      <c r="M649" s="9"/>
      <c r="N649" s="9"/>
      <c r="O649" s="9"/>
    </row>
    <row r="650">
      <c r="A650" s="9"/>
      <c r="B650" s="9"/>
      <c r="C650" s="9"/>
      <c r="D650" s="9"/>
      <c r="E650" s="9"/>
      <c r="F650" s="9"/>
      <c r="G650" s="59"/>
      <c r="H650" s="9"/>
      <c r="I650" s="9"/>
      <c r="J650" s="9"/>
      <c r="K650" s="9"/>
      <c r="L650" s="9"/>
      <c r="M650" s="9"/>
      <c r="N650" s="9"/>
      <c r="O650" s="9"/>
    </row>
    <row r="651">
      <c r="A651" s="9"/>
      <c r="B651" s="9"/>
      <c r="C651" s="9"/>
      <c r="D651" s="9"/>
      <c r="E651" s="9"/>
      <c r="F651" s="9"/>
      <c r="G651" s="59"/>
      <c r="H651" s="9"/>
      <c r="I651" s="9"/>
      <c r="J651" s="9"/>
      <c r="K651" s="9"/>
      <c r="L651" s="9"/>
      <c r="M651" s="9"/>
      <c r="N651" s="9"/>
      <c r="O651" s="9"/>
    </row>
    <row r="652">
      <c r="A652" s="9"/>
      <c r="B652" s="9"/>
      <c r="C652" s="9"/>
      <c r="D652" s="9"/>
      <c r="E652" s="9"/>
      <c r="F652" s="9"/>
      <c r="G652" s="59"/>
      <c r="H652" s="9"/>
      <c r="I652" s="9"/>
      <c r="J652" s="9"/>
      <c r="K652" s="9"/>
      <c r="L652" s="9"/>
      <c r="M652" s="9"/>
      <c r="N652" s="9"/>
      <c r="O652" s="9"/>
    </row>
    <row r="653">
      <c r="A653" s="9"/>
      <c r="B653" s="9"/>
      <c r="C653" s="9"/>
      <c r="D653" s="9"/>
      <c r="E653" s="9"/>
      <c r="F653" s="9"/>
      <c r="G653" s="59"/>
      <c r="H653" s="9"/>
      <c r="I653" s="9"/>
      <c r="J653" s="9"/>
      <c r="K653" s="9"/>
      <c r="L653" s="9"/>
      <c r="M653" s="9"/>
      <c r="N653" s="9"/>
      <c r="O653" s="9"/>
    </row>
    <row r="654">
      <c r="A654" s="9"/>
      <c r="B654" s="9"/>
      <c r="C654" s="9"/>
      <c r="D654" s="9"/>
      <c r="E654" s="9"/>
      <c r="F654" s="9"/>
      <c r="G654" s="59"/>
      <c r="H654" s="9"/>
      <c r="I654" s="9"/>
      <c r="J654" s="9"/>
      <c r="K654" s="9"/>
      <c r="L654" s="9"/>
      <c r="M654" s="9"/>
      <c r="N654" s="9"/>
      <c r="O654" s="9"/>
    </row>
    <row r="655">
      <c r="A655" s="9"/>
      <c r="B655" s="9"/>
      <c r="C655" s="9"/>
      <c r="D655" s="9"/>
      <c r="E655" s="9"/>
      <c r="F655" s="9"/>
      <c r="G655" s="59"/>
      <c r="H655" s="9"/>
      <c r="I655" s="9"/>
      <c r="J655" s="9"/>
      <c r="K655" s="9"/>
      <c r="L655" s="9"/>
      <c r="M655" s="9"/>
      <c r="N655" s="9"/>
      <c r="O655" s="9"/>
    </row>
    <row r="656">
      <c r="A656" s="9"/>
      <c r="B656" s="9"/>
      <c r="C656" s="9"/>
      <c r="D656" s="9"/>
      <c r="E656" s="9"/>
      <c r="F656" s="9"/>
      <c r="G656" s="59"/>
      <c r="H656" s="9"/>
      <c r="I656" s="9"/>
      <c r="J656" s="9"/>
      <c r="K656" s="9"/>
      <c r="L656" s="9"/>
      <c r="M656" s="9"/>
      <c r="N656" s="9"/>
      <c r="O656" s="9"/>
    </row>
    <row r="657">
      <c r="A657" s="9"/>
      <c r="B657" s="9"/>
      <c r="C657" s="9"/>
      <c r="D657" s="9"/>
      <c r="E657" s="9"/>
      <c r="F657" s="9"/>
      <c r="G657" s="59"/>
      <c r="H657" s="9"/>
      <c r="I657" s="9"/>
      <c r="J657" s="9"/>
      <c r="K657" s="9"/>
      <c r="L657" s="9"/>
      <c r="M657" s="9"/>
      <c r="N657" s="9"/>
      <c r="O657" s="9"/>
    </row>
    <row r="658">
      <c r="A658" s="9"/>
      <c r="B658" s="9"/>
      <c r="C658" s="9"/>
      <c r="D658" s="9"/>
      <c r="E658" s="9"/>
      <c r="F658" s="9"/>
      <c r="G658" s="59"/>
      <c r="H658" s="9"/>
      <c r="I658" s="9"/>
      <c r="J658" s="9"/>
      <c r="K658" s="9"/>
      <c r="L658" s="9"/>
      <c r="M658" s="9"/>
      <c r="N658" s="9"/>
      <c r="O658" s="9"/>
    </row>
    <row r="659">
      <c r="A659" s="9"/>
      <c r="B659" s="9"/>
      <c r="C659" s="9"/>
      <c r="D659" s="9"/>
      <c r="E659" s="9"/>
      <c r="F659" s="9"/>
      <c r="G659" s="59"/>
      <c r="H659" s="9"/>
      <c r="I659" s="9"/>
      <c r="J659" s="9"/>
      <c r="K659" s="9"/>
      <c r="L659" s="9"/>
      <c r="M659" s="9"/>
      <c r="N659" s="9"/>
      <c r="O659" s="9"/>
    </row>
    <row r="660">
      <c r="A660" s="9"/>
      <c r="B660" s="9"/>
      <c r="C660" s="9"/>
      <c r="D660" s="9"/>
      <c r="E660" s="9"/>
      <c r="F660" s="9"/>
      <c r="G660" s="59"/>
      <c r="H660" s="9"/>
      <c r="I660" s="9"/>
      <c r="J660" s="9"/>
      <c r="K660" s="9"/>
      <c r="L660" s="9"/>
      <c r="M660" s="9"/>
      <c r="N660" s="9"/>
      <c r="O660" s="9"/>
    </row>
    <row r="661">
      <c r="A661" s="9"/>
      <c r="B661" s="9"/>
      <c r="C661" s="9"/>
      <c r="D661" s="9"/>
      <c r="E661" s="9"/>
      <c r="F661" s="9"/>
      <c r="G661" s="59"/>
      <c r="H661" s="9"/>
      <c r="I661" s="9"/>
      <c r="J661" s="9"/>
      <c r="K661" s="9"/>
      <c r="L661" s="9"/>
      <c r="M661" s="9"/>
      <c r="N661" s="9"/>
      <c r="O661" s="9"/>
    </row>
    <row r="662">
      <c r="A662" s="9"/>
      <c r="B662" s="9"/>
      <c r="C662" s="9"/>
      <c r="D662" s="9"/>
      <c r="E662" s="9"/>
      <c r="F662" s="9"/>
      <c r="G662" s="59"/>
      <c r="H662" s="9"/>
      <c r="I662" s="9"/>
      <c r="J662" s="9"/>
      <c r="K662" s="9"/>
      <c r="L662" s="9"/>
      <c r="M662" s="9"/>
      <c r="N662" s="9"/>
      <c r="O662" s="9"/>
    </row>
    <row r="663">
      <c r="A663" s="9"/>
      <c r="B663" s="9"/>
      <c r="C663" s="9"/>
      <c r="D663" s="9"/>
      <c r="E663" s="9"/>
      <c r="F663" s="9"/>
      <c r="G663" s="59"/>
      <c r="H663" s="9"/>
      <c r="I663" s="9"/>
      <c r="J663" s="9"/>
      <c r="K663" s="9"/>
      <c r="L663" s="9"/>
      <c r="M663" s="9"/>
      <c r="N663" s="9"/>
      <c r="O663" s="9"/>
    </row>
    <row r="664">
      <c r="A664" s="9"/>
      <c r="B664" s="9"/>
      <c r="C664" s="9"/>
      <c r="D664" s="9"/>
      <c r="E664" s="9"/>
      <c r="F664" s="9"/>
      <c r="G664" s="59"/>
      <c r="H664" s="9"/>
      <c r="I664" s="9"/>
      <c r="J664" s="9"/>
      <c r="K664" s="9"/>
      <c r="L664" s="9"/>
      <c r="M664" s="9"/>
      <c r="N664" s="9"/>
      <c r="O664" s="9"/>
    </row>
    <row r="665">
      <c r="A665" s="9"/>
      <c r="B665" s="9"/>
      <c r="C665" s="9"/>
      <c r="D665" s="9"/>
      <c r="E665" s="9"/>
      <c r="F665" s="9"/>
      <c r="G665" s="59"/>
      <c r="H665" s="9"/>
      <c r="I665" s="9"/>
      <c r="J665" s="9"/>
      <c r="K665" s="9"/>
      <c r="L665" s="9"/>
      <c r="M665" s="9"/>
      <c r="N665" s="9"/>
      <c r="O665" s="9"/>
    </row>
    <row r="666">
      <c r="A666" s="9"/>
      <c r="B666" s="9"/>
      <c r="C666" s="9"/>
      <c r="D666" s="9"/>
      <c r="E666" s="9"/>
      <c r="F666" s="9"/>
      <c r="G666" s="59"/>
      <c r="H666" s="9"/>
      <c r="I666" s="9"/>
      <c r="J666" s="9"/>
      <c r="K666" s="9"/>
      <c r="L666" s="9"/>
      <c r="M666" s="9"/>
      <c r="N666" s="9"/>
      <c r="O666" s="9"/>
    </row>
    <row r="667">
      <c r="A667" s="9"/>
      <c r="B667" s="9"/>
      <c r="C667" s="9"/>
      <c r="D667" s="9"/>
      <c r="E667" s="9"/>
      <c r="F667" s="9"/>
      <c r="G667" s="59"/>
      <c r="H667" s="9"/>
      <c r="I667" s="9"/>
      <c r="J667" s="9"/>
      <c r="K667" s="9"/>
      <c r="L667" s="9"/>
      <c r="M667" s="9"/>
      <c r="N667" s="9"/>
      <c r="O667" s="9"/>
    </row>
    <row r="668">
      <c r="A668" s="9"/>
      <c r="B668" s="9"/>
      <c r="C668" s="9"/>
      <c r="D668" s="9"/>
      <c r="E668" s="9"/>
      <c r="F668" s="9"/>
      <c r="G668" s="59"/>
      <c r="H668" s="9"/>
      <c r="I668" s="9"/>
      <c r="J668" s="9"/>
      <c r="K668" s="9"/>
      <c r="L668" s="9"/>
      <c r="M668" s="9"/>
      <c r="N668" s="9"/>
      <c r="O668" s="9"/>
    </row>
    <row r="669">
      <c r="A669" s="9"/>
      <c r="B669" s="9"/>
      <c r="C669" s="9"/>
      <c r="D669" s="9"/>
      <c r="E669" s="9"/>
      <c r="F669" s="9"/>
      <c r="G669" s="59"/>
      <c r="H669" s="9"/>
      <c r="I669" s="9"/>
      <c r="J669" s="9"/>
      <c r="K669" s="9"/>
      <c r="L669" s="9"/>
      <c r="M669" s="9"/>
      <c r="N669" s="9"/>
      <c r="O669" s="9"/>
    </row>
    <row r="670">
      <c r="A670" s="9"/>
      <c r="B670" s="9"/>
      <c r="C670" s="9"/>
      <c r="D670" s="9"/>
      <c r="E670" s="9"/>
      <c r="F670" s="9"/>
      <c r="G670" s="59"/>
      <c r="H670" s="9"/>
      <c r="I670" s="9"/>
      <c r="J670" s="9"/>
      <c r="K670" s="9"/>
      <c r="L670" s="9"/>
      <c r="M670" s="9"/>
      <c r="N670" s="9"/>
      <c r="O670" s="9"/>
    </row>
    <row r="671">
      <c r="A671" s="9"/>
      <c r="B671" s="9"/>
      <c r="C671" s="9"/>
      <c r="D671" s="9"/>
      <c r="E671" s="9"/>
      <c r="F671" s="9"/>
      <c r="G671" s="59"/>
      <c r="H671" s="9"/>
      <c r="I671" s="9"/>
      <c r="J671" s="9"/>
      <c r="K671" s="9"/>
      <c r="L671" s="9"/>
      <c r="M671" s="9"/>
      <c r="N671" s="9"/>
      <c r="O671" s="9"/>
    </row>
    <row r="672">
      <c r="A672" s="9"/>
      <c r="B672" s="9"/>
      <c r="C672" s="9"/>
      <c r="D672" s="9"/>
      <c r="E672" s="9"/>
      <c r="F672" s="9"/>
      <c r="G672" s="59"/>
      <c r="H672" s="9"/>
      <c r="I672" s="9"/>
      <c r="J672" s="9"/>
      <c r="K672" s="9"/>
      <c r="L672" s="9"/>
      <c r="M672" s="9"/>
      <c r="N672" s="9"/>
      <c r="O672" s="9"/>
    </row>
    <row r="673">
      <c r="A673" s="9"/>
      <c r="B673" s="9"/>
      <c r="C673" s="9"/>
      <c r="D673" s="9"/>
      <c r="E673" s="9"/>
      <c r="F673" s="9"/>
      <c r="G673" s="59"/>
      <c r="H673" s="9"/>
      <c r="I673" s="9"/>
      <c r="J673" s="9"/>
      <c r="K673" s="9"/>
      <c r="L673" s="9"/>
      <c r="M673" s="9"/>
      <c r="N673" s="9"/>
      <c r="O673" s="9"/>
    </row>
    <row r="674">
      <c r="A674" s="9"/>
      <c r="B674" s="9"/>
      <c r="C674" s="9"/>
      <c r="D674" s="9"/>
      <c r="E674" s="9"/>
      <c r="F674" s="9"/>
      <c r="G674" s="59"/>
      <c r="H674" s="9"/>
      <c r="I674" s="9"/>
      <c r="J674" s="9"/>
      <c r="K674" s="9"/>
      <c r="L674" s="9"/>
      <c r="M674" s="9"/>
      <c r="N674" s="9"/>
      <c r="O674" s="9"/>
    </row>
    <row r="675">
      <c r="A675" s="9"/>
      <c r="B675" s="9"/>
      <c r="C675" s="9"/>
      <c r="D675" s="9"/>
      <c r="E675" s="9"/>
      <c r="F675" s="9"/>
      <c r="G675" s="59"/>
      <c r="H675" s="9"/>
      <c r="I675" s="9"/>
      <c r="J675" s="9"/>
      <c r="K675" s="9"/>
      <c r="L675" s="9"/>
      <c r="M675" s="9"/>
      <c r="N675" s="9"/>
      <c r="O675" s="9"/>
    </row>
    <row r="676">
      <c r="A676" s="9"/>
      <c r="B676" s="9"/>
      <c r="C676" s="9"/>
      <c r="D676" s="9"/>
      <c r="E676" s="9"/>
      <c r="F676" s="9"/>
      <c r="G676" s="59"/>
      <c r="H676" s="9"/>
      <c r="I676" s="9"/>
      <c r="J676" s="9"/>
      <c r="K676" s="9"/>
      <c r="L676" s="9"/>
      <c r="M676" s="9"/>
      <c r="N676" s="9"/>
      <c r="O676" s="9"/>
    </row>
    <row r="677">
      <c r="A677" s="9"/>
      <c r="B677" s="9"/>
      <c r="C677" s="9"/>
      <c r="D677" s="9"/>
      <c r="E677" s="9"/>
      <c r="F677" s="9"/>
      <c r="G677" s="59"/>
      <c r="H677" s="9"/>
      <c r="I677" s="9"/>
      <c r="J677" s="9"/>
      <c r="K677" s="9"/>
      <c r="L677" s="9"/>
      <c r="M677" s="9"/>
      <c r="N677" s="9"/>
      <c r="O677" s="9"/>
    </row>
    <row r="678">
      <c r="A678" s="9"/>
      <c r="B678" s="9"/>
      <c r="C678" s="9"/>
      <c r="D678" s="9"/>
      <c r="E678" s="9"/>
      <c r="F678" s="9"/>
      <c r="G678" s="59"/>
      <c r="H678" s="9"/>
      <c r="I678" s="9"/>
      <c r="J678" s="9"/>
      <c r="K678" s="9"/>
      <c r="L678" s="9"/>
      <c r="M678" s="9"/>
      <c r="N678" s="9"/>
      <c r="O678" s="9"/>
    </row>
    <row r="679">
      <c r="A679" s="9"/>
      <c r="B679" s="9"/>
      <c r="C679" s="9"/>
      <c r="D679" s="9"/>
      <c r="E679" s="9"/>
      <c r="F679" s="9"/>
      <c r="G679" s="59"/>
      <c r="H679" s="9"/>
      <c r="I679" s="9"/>
      <c r="J679" s="9"/>
      <c r="K679" s="9"/>
      <c r="L679" s="9"/>
      <c r="M679" s="9"/>
      <c r="N679" s="9"/>
      <c r="O679" s="9"/>
    </row>
    <row r="680">
      <c r="A680" s="9"/>
      <c r="B680" s="9"/>
      <c r="C680" s="9"/>
      <c r="D680" s="9"/>
      <c r="E680" s="9"/>
      <c r="F680" s="9"/>
      <c r="G680" s="59"/>
      <c r="H680" s="9"/>
      <c r="I680" s="9"/>
      <c r="J680" s="9"/>
      <c r="K680" s="9"/>
      <c r="L680" s="9"/>
      <c r="M680" s="9"/>
      <c r="N680" s="9"/>
      <c r="O680" s="9"/>
    </row>
    <row r="681">
      <c r="A681" s="9"/>
      <c r="B681" s="9"/>
      <c r="C681" s="9"/>
      <c r="D681" s="9"/>
      <c r="E681" s="9"/>
      <c r="F681" s="9"/>
      <c r="G681" s="59"/>
      <c r="H681" s="9"/>
      <c r="I681" s="9"/>
      <c r="J681" s="9"/>
      <c r="K681" s="9"/>
      <c r="L681" s="9"/>
      <c r="M681" s="9"/>
      <c r="N681" s="9"/>
      <c r="O681" s="9"/>
    </row>
    <row r="682">
      <c r="A682" s="9"/>
      <c r="B682" s="9"/>
      <c r="C682" s="9"/>
      <c r="D682" s="9"/>
      <c r="E682" s="9"/>
      <c r="F682" s="9"/>
      <c r="G682" s="59"/>
      <c r="H682" s="9"/>
      <c r="I682" s="9"/>
      <c r="J682" s="9"/>
      <c r="K682" s="9"/>
      <c r="L682" s="9"/>
      <c r="M682" s="9"/>
      <c r="N682" s="9"/>
      <c r="O682" s="9"/>
    </row>
    <row r="683">
      <c r="A683" s="9"/>
      <c r="B683" s="9"/>
      <c r="C683" s="9"/>
      <c r="D683" s="9"/>
      <c r="E683" s="9"/>
      <c r="F683" s="9"/>
      <c r="G683" s="59"/>
      <c r="H683" s="9"/>
      <c r="I683" s="9"/>
      <c r="J683" s="9"/>
      <c r="K683" s="9"/>
      <c r="L683" s="9"/>
      <c r="M683" s="9"/>
      <c r="N683" s="9"/>
      <c r="O683" s="9"/>
    </row>
    <row r="684">
      <c r="A684" s="9"/>
      <c r="B684" s="9"/>
      <c r="C684" s="9"/>
      <c r="D684" s="9"/>
      <c r="E684" s="9"/>
      <c r="F684" s="9"/>
      <c r="G684" s="59"/>
      <c r="H684" s="9"/>
      <c r="I684" s="9"/>
      <c r="J684" s="9"/>
      <c r="K684" s="9"/>
      <c r="L684" s="9"/>
      <c r="M684" s="9"/>
      <c r="N684" s="9"/>
      <c r="O684" s="9"/>
    </row>
    <row r="685">
      <c r="A685" s="9"/>
      <c r="B685" s="9"/>
      <c r="C685" s="9"/>
      <c r="D685" s="9"/>
      <c r="E685" s="9"/>
      <c r="F685" s="9"/>
      <c r="G685" s="59"/>
      <c r="H685" s="9"/>
      <c r="I685" s="9"/>
      <c r="J685" s="9"/>
      <c r="K685" s="9"/>
      <c r="L685" s="9"/>
      <c r="M685" s="9"/>
      <c r="N685" s="9"/>
      <c r="O685" s="9"/>
    </row>
    <row r="686">
      <c r="A686" s="9"/>
      <c r="B686" s="9"/>
      <c r="C686" s="9"/>
      <c r="D686" s="9"/>
      <c r="E686" s="9"/>
      <c r="F686" s="9"/>
      <c r="G686" s="59"/>
      <c r="H686" s="9"/>
      <c r="I686" s="9"/>
      <c r="J686" s="9"/>
      <c r="K686" s="9"/>
      <c r="L686" s="9"/>
      <c r="M686" s="9"/>
      <c r="N686" s="9"/>
      <c r="O686" s="9"/>
    </row>
    <row r="687">
      <c r="A687" s="9"/>
      <c r="B687" s="9"/>
      <c r="C687" s="9"/>
      <c r="D687" s="9"/>
      <c r="E687" s="9"/>
      <c r="F687" s="9"/>
      <c r="G687" s="59"/>
      <c r="H687" s="9"/>
      <c r="I687" s="9"/>
      <c r="J687" s="9"/>
      <c r="K687" s="9"/>
      <c r="L687" s="9"/>
      <c r="M687" s="9"/>
      <c r="N687" s="9"/>
      <c r="O687" s="9"/>
    </row>
    <row r="688">
      <c r="A688" s="9"/>
      <c r="B688" s="9"/>
      <c r="C688" s="9"/>
      <c r="D688" s="9"/>
      <c r="E688" s="9"/>
      <c r="F688" s="9"/>
      <c r="G688" s="59"/>
      <c r="H688" s="9"/>
      <c r="I688" s="9"/>
      <c r="J688" s="9"/>
      <c r="K688" s="9"/>
      <c r="L688" s="9"/>
      <c r="M688" s="9"/>
      <c r="N688" s="9"/>
      <c r="O688" s="9"/>
    </row>
    <row r="689">
      <c r="A689" s="9"/>
      <c r="B689" s="9"/>
      <c r="C689" s="9"/>
      <c r="D689" s="9"/>
      <c r="E689" s="9"/>
      <c r="F689" s="9"/>
      <c r="G689" s="59"/>
      <c r="H689" s="9"/>
      <c r="I689" s="9"/>
      <c r="J689" s="9"/>
      <c r="K689" s="9"/>
      <c r="L689" s="9"/>
      <c r="M689" s="9"/>
      <c r="N689" s="9"/>
      <c r="O689" s="9"/>
    </row>
    <row r="690">
      <c r="A690" s="9"/>
      <c r="B690" s="9"/>
      <c r="C690" s="9"/>
      <c r="D690" s="9"/>
      <c r="E690" s="9"/>
      <c r="F690" s="9"/>
      <c r="G690" s="59"/>
      <c r="H690" s="9"/>
      <c r="I690" s="9"/>
      <c r="J690" s="9"/>
      <c r="K690" s="9"/>
      <c r="L690" s="9"/>
      <c r="M690" s="9"/>
      <c r="N690" s="9"/>
      <c r="O690" s="9"/>
    </row>
    <row r="691">
      <c r="A691" s="9"/>
      <c r="B691" s="9"/>
      <c r="C691" s="9"/>
      <c r="D691" s="9"/>
      <c r="E691" s="9"/>
      <c r="F691" s="9"/>
      <c r="G691" s="59"/>
      <c r="H691" s="9"/>
      <c r="I691" s="9"/>
      <c r="J691" s="9"/>
      <c r="K691" s="9"/>
      <c r="L691" s="9"/>
      <c r="M691" s="9"/>
      <c r="N691" s="9"/>
      <c r="O691" s="9"/>
    </row>
    <row r="692">
      <c r="A692" s="9"/>
      <c r="B692" s="9"/>
      <c r="C692" s="9"/>
      <c r="D692" s="9"/>
      <c r="E692" s="9"/>
      <c r="F692" s="9"/>
      <c r="G692" s="59"/>
      <c r="H692" s="9"/>
      <c r="I692" s="9"/>
      <c r="J692" s="9"/>
      <c r="K692" s="9"/>
      <c r="L692" s="9"/>
      <c r="M692" s="9"/>
      <c r="N692" s="9"/>
      <c r="O692" s="9"/>
    </row>
    <row r="693">
      <c r="A693" s="9"/>
      <c r="B693" s="9"/>
      <c r="C693" s="9"/>
      <c r="D693" s="9"/>
      <c r="E693" s="9"/>
      <c r="F693" s="9"/>
      <c r="G693" s="59"/>
      <c r="H693" s="9"/>
      <c r="I693" s="9"/>
      <c r="J693" s="9"/>
      <c r="K693" s="9"/>
      <c r="L693" s="9"/>
      <c r="M693" s="9"/>
      <c r="N693" s="9"/>
      <c r="O693" s="9"/>
    </row>
    <row r="694">
      <c r="A694" s="9"/>
      <c r="B694" s="9"/>
      <c r="C694" s="9"/>
      <c r="D694" s="9"/>
      <c r="E694" s="9"/>
      <c r="F694" s="9"/>
      <c r="G694" s="59"/>
      <c r="H694" s="9"/>
      <c r="I694" s="9"/>
      <c r="J694" s="9"/>
      <c r="K694" s="9"/>
      <c r="L694" s="9"/>
      <c r="M694" s="9"/>
      <c r="N694" s="9"/>
      <c r="O694" s="9"/>
    </row>
    <row r="695">
      <c r="A695" s="9"/>
      <c r="B695" s="9"/>
      <c r="C695" s="9"/>
      <c r="D695" s="9"/>
      <c r="E695" s="9"/>
      <c r="F695" s="9"/>
      <c r="G695" s="59"/>
      <c r="H695" s="9"/>
      <c r="I695" s="9"/>
      <c r="J695" s="9"/>
      <c r="K695" s="9"/>
      <c r="L695" s="9"/>
      <c r="M695" s="9"/>
      <c r="N695" s="9"/>
      <c r="O695" s="9"/>
    </row>
    <row r="696">
      <c r="A696" s="9"/>
      <c r="B696" s="9"/>
      <c r="C696" s="9"/>
      <c r="D696" s="9"/>
      <c r="E696" s="9"/>
      <c r="F696" s="9"/>
      <c r="G696" s="59"/>
      <c r="H696" s="9"/>
      <c r="I696" s="9"/>
      <c r="J696" s="9"/>
      <c r="K696" s="9"/>
      <c r="L696" s="9"/>
      <c r="M696" s="9"/>
      <c r="N696" s="9"/>
      <c r="O696" s="9"/>
    </row>
    <row r="697">
      <c r="A697" s="9"/>
      <c r="B697" s="9"/>
      <c r="C697" s="9"/>
      <c r="D697" s="9"/>
      <c r="E697" s="9"/>
      <c r="F697" s="9"/>
      <c r="G697" s="59"/>
      <c r="H697" s="9"/>
      <c r="I697" s="9"/>
      <c r="J697" s="9"/>
      <c r="K697" s="9"/>
      <c r="L697" s="9"/>
      <c r="M697" s="9"/>
      <c r="N697" s="9"/>
      <c r="O697" s="9"/>
    </row>
    <row r="698">
      <c r="A698" s="9"/>
      <c r="B698" s="9"/>
      <c r="C698" s="9"/>
      <c r="D698" s="9"/>
      <c r="E698" s="9"/>
      <c r="F698" s="9"/>
      <c r="G698" s="59"/>
      <c r="H698" s="9"/>
      <c r="I698" s="9"/>
      <c r="J698" s="9"/>
      <c r="K698" s="9"/>
      <c r="L698" s="9"/>
      <c r="M698" s="9"/>
      <c r="N698" s="9"/>
      <c r="O698" s="9"/>
    </row>
    <row r="699">
      <c r="A699" s="9"/>
      <c r="B699" s="9"/>
      <c r="C699" s="9"/>
      <c r="D699" s="9"/>
      <c r="E699" s="9"/>
      <c r="F699" s="9"/>
      <c r="G699" s="59"/>
      <c r="H699" s="9"/>
      <c r="I699" s="9"/>
      <c r="J699" s="9"/>
      <c r="K699" s="9"/>
      <c r="L699" s="9"/>
      <c r="M699" s="9"/>
      <c r="N699" s="9"/>
      <c r="O699" s="9"/>
    </row>
    <row r="700">
      <c r="A700" s="9"/>
      <c r="B700" s="9"/>
      <c r="C700" s="9"/>
      <c r="D700" s="9"/>
      <c r="E700" s="9"/>
      <c r="F700" s="9"/>
      <c r="G700" s="59"/>
      <c r="H700" s="9"/>
      <c r="I700" s="9"/>
      <c r="J700" s="9"/>
      <c r="K700" s="9"/>
      <c r="L700" s="9"/>
      <c r="M700" s="9"/>
      <c r="N700" s="9"/>
      <c r="O700" s="9"/>
    </row>
    <row r="701">
      <c r="A701" s="9"/>
      <c r="B701" s="9"/>
      <c r="C701" s="9"/>
      <c r="D701" s="9"/>
      <c r="E701" s="9"/>
      <c r="F701" s="9"/>
      <c r="G701" s="59"/>
      <c r="H701" s="9"/>
      <c r="I701" s="9"/>
      <c r="J701" s="9"/>
      <c r="K701" s="9"/>
      <c r="L701" s="9"/>
      <c r="M701" s="9"/>
      <c r="N701" s="9"/>
      <c r="O701" s="9"/>
    </row>
    <row r="702">
      <c r="A702" s="9"/>
      <c r="B702" s="9"/>
      <c r="C702" s="9"/>
      <c r="D702" s="9"/>
      <c r="E702" s="9"/>
      <c r="F702" s="9"/>
      <c r="G702" s="59"/>
      <c r="H702" s="9"/>
      <c r="I702" s="9"/>
      <c r="J702" s="9"/>
      <c r="K702" s="9"/>
      <c r="L702" s="9"/>
      <c r="M702" s="9"/>
      <c r="N702" s="9"/>
      <c r="O702" s="9"/>
    </row>
    <row r="703">
      <c r="A703" s="9"/>
      <c r="B703" s="9"/>
      <c r="C703" s="9"/>
      <c r="D703" s="9"/>
      <c r="E703" s="9"/>
      <c r="F703" s="9"/>
      <c r="G703" s="59"/>
      <c r="H703" s="9"/>
      <c r="I703" s="9"/>
      <c r="J703" s="9"/>
      <c r="K703" s="9"/>
      <c r="L703" s="9"/>
      <c r="M703" s="9"/>
      <c r="N703" s="9"/>
      <c r="O703" s="9"/>
    </row>
    <row r="704">
      <c r="A704" s="9"/>
      <c r="B704" s="9"/>
      <c r="C704" s="9"/>
      <c r="D704" s="9"/>
      <c r="E704" s="9"/>
      <c r="F704" s="9"/>
      <c r="G704" s="59"/>
      <c r="H704" s="9"/>
      <c r="I704" s="9"/>
      <c r="J704" s="9"/>
      <c r="K704" s="9"/>
      <c r="L704" s="9"/>
      <c r="M704" s="9"/>
      <c r="N704" s="9"/>
      <c r="O704" s="9"/>
    </row>
    <row r="705">
      <c r="A705" s="9"/>
      <c r="B705" s="9"/>
      <c r="C705" s="9"/>
      <c r="D705" s="9"/>
      <c r="E705" s="9"/>
      <c r="F705" s="9"/>
      <c r="G705" s="59"/>
      <c r="H705" s="9"/>
      <c r="I705" s="9"/>
      <c r="J705" s="9"/>
      <c r="K705" s="9"/>
      <c r="L705" s="9"/>
      <c r="M705" s="9"/>
      <c r="N705" s="9"/>
      <c r="O705" s="9"/>
    </row>
    <row r="706">
      <c r="A706" s="9"/>
      <c r="B706" s="9"/>
      <c r="C706" s="9"/>
      <c r="D706" s="9"/>
      <c r="E706" s="9"/>
      <c r="F706" s="9"/>
      <c r="G706" s="59"/>
      <c r="H706" s="9"/>
      <c r="I706" s="9"/>
      <c r="J706" s="9"/>
      <c r="K706" s="9"/>
      <c r="L706" s="9"/>
      <c r="M706" s="9"/>
      <c r="N706" s="9"/>
      <c r="O706" s="9"/>
    </row>
    <row r="707">
      <c r="A707" s="9"/>
      <c r="B707" s="9"/>
      <c r="C707" s="9"/>
      <c r="D707" s="9"/>
      <c r="E707" s="9"/>
      <c r="F707" s="9"/>
      <c r="G707" s="59"/>
      <c r="H707" s="9"/>
      <c r="I707" s="9"/>
      <c r="J707" s="9"/>
      <c r="K707" s="9"/>
      <c r="L707" s="9"/>
      <c r="M707" s="9"/>
      <c r="N707" s="9"/>
      <c r="O707" s="9"/>
    </row>
    <row r="708">
      <c r="A708" s="9"/>
      <c r="B708" s="9"/>
      <c r="C708" s="9"/>
      <c r="D708" s="9"/>
      <c r="E708" s="9"/>
      <c r="F708" s="9"/>
      <c r="G708" s="59"/>
      <c r="H708" s="9"/>
      <c r="I708" s="9"/>
      <c r="J708" s="9"/>
      <c r="K708" s="9"/>
      <c r="L708" s="9"/>
      <c r="M708" s="9"/>
      <c r="N708" s="9"/>
      <c r="O708" s="9"/>
    </row>
    <row r="709">
      <c r="A709" s="9"/>
      <c r="B709" s="9"/>
      <c r="C709" s="9"/>
      <c r="D709" s="9"/>
      <c r="E709" s="9"/>
      <c r="F709" s="9"/>
      <c r="G709" s="59"/>
      <c r="H709" s="9"/>
      <c r="I709" s="9"/>
      <c r="J709" s="9"/>
      <c r="K709" s="9"/>
      <c r="L709" s="9"/>
      <c r="M709" s="9"/>
      <c r="N709" s="9"/>
      <c r="O709" s="9"/>
    </row>
    <row r="710">
      <c r="A710" s="9"/>
      <c r="B710" s="9"/>
      <c r="C710" s="9"/>
      <c r="D710" s="9"/>
      <c r="E710" s="9"/>
      <c r="F710" s="9"/>
      <c r="G710" s="59"/>
      <c r="H710" s="9"/>
      <c r="I710" s="9"/>
      <c r="J710" s="9"/>
      <c r="K710" s="9"/>
      <c r="L710" s="9"/>
      <c r="M710" s="9"/>
      <c r="N710" s="9"/>
      <c r="O710" s="9"/>
    </row>
    <row r="711">
      <c r="A711" s="9"/>
      <c r="B711" s="9"/>
      <c r="C711" s="9"/>
      <c r="D711" s="9"/>
      <c r="E711" s="9"/>
      <c r="F711" s="9"/>
      <c r="G711" s="59"/>
      <c r="H711" s="9"/>
      <c r="I711" s="9"/>
      <c r="J711" s="9"/>
      <c r="K711" s="9"/>
      <c r="L711" s="9"/>
      <c r="M711" s="9"/>
      <c r="N711" s="9"/>
      <c r="O711" s="9"/>
    </row>
    <row r="712">
      <c r="A712" s="9"/>
      <c r="B712" s="9"/>
      <c r="C712" s="9"/>
      <c r="D712" s="9"/>
      <c r="E712" s="9"/>
      <c r="F712" s="9"/>
      <c r="G712" s="59"/>
      <c r="H712" s="9"/>
      <c r="I712" s="9"/>
      <c r="J712" s="9"/>
      <c r="K712" s="9"/>
      <c r="L712" s="9"/>
      <c r="M712" s="9"/>
      <c r="N712" s="9"/>
      <c r="O712" s="9"/>
    </row>
    <row r="713">
      <c r="A713" s="9"/>
      <c r="B713" s="9"/>
      <c r="C713" s="9"/>
      <c r="D713" s="9"/>
      <c r="E713" s="9"/>
      <c r="F713" s="9"/>
      <c r="G713" s="59"/>
      <c r="H713" s="9"/>
      <c r="I713" s="9"/>
      <c r="J713" s="9"/>
      <c r="K713" s="9"/>
      <c r="L713" s="9"/>
      <c r="M713" s="9"/>
      <c r="N713" s="9"/>
      <c r="O713" s="9"/>
    </row>
    <row r="714">
      <c r="A714" s="9"/>
      <c r="B714" s="9"/>
      <c r="C714" s="9"/>
      <c r="D714" s="9"/>
      <c r="E714" s="9"/>
      <c r="F714" s="9"/>
      <c r="G714" s="59"/>
      <c r="H714" s="9"/>
      <c r="I714" s="9"/>
      <c r="J714" s="9"/>
      <c r="K714" s="9"/>
      <c r="L714" s="9"/>
      <c r="M714" s="9"/>
      <c r="N714" s="9"/>
      <c r="O714" s="9"/>
    </row>
    <row r="715">
      <c r="A715" s="9"/>
      <c r="B715" s="9"/>
      <c r="C715" s="9"/>
      <c r="D715" s="9"/>
      <c r="E715" s="9"/>
      <c r="F715" s="9"/>
      <c r="G715" s="59"/>
      <c r="H715" s="9"/>
      <c r="I715" s="9"/>
      <c r="J715" s="9"/>
      <c r="K715" s="9"/>
      <c r="L715" s="9"/>
      <c r="M715" s="9"/>
      <c r="N715" s="9"/>
      <c r="O715" s="9"/>
    </row>
    <row r="716">
      <c r="A716" s="9"/>
      <c r="B716" s="9"/>
      <c r="C716" s="9"/>
      <c r="D716" s="9"/>
      <c r="E716" s="9"/>
      <c r="F716" s="9"/>
      <c r="G716" s="59"/>
      <c r="H716" s="9"/>
      <c r="I716" s="9"/>
      <c r="J716" s="9"/>
      <c r="K716" s="9"/>
      <c r="L716" s="9"/>
      <c r="M716" s="9"/>
      <c r="N716" s="9"/>
      <c r="O716" s="9"/>
    </row>
    <row r="717">
      <c r="A717" s="9"/>
      <c r="B717" s="9"/>
      <c r="C717" s="9"/>
      <c r="D717" s="9"/>
      <c r="E717" s="9"/>
      <c r="F717" s="9"/>
      <c r="G717" s="59"/>
      <c r="H717" s="9"/>
      <c r="I717" s="9"/>
      <c r="J717" s="9"/>
      <c r="K717" s="9"/>
      <c r="L717" s="9"/>
      <c r="M717" s="9"/>
      <c r="N717" s="9"/>
      <c r="O717" s="9"/>
    </row>
    <row r="718">
      <c r="A718" s="9"/>
      <c r="B718" s="9"/>
      <c r="C718" s="9"/>
      <c r="D718" s="9"/>
      <c r="E718" s="9"/>
      <c r="F718" s="9"/>
      <c r="G718" s="59"/>
      <c r="H718" s="9"/>
      <c r="I718" s="9"/>
      <c r="J718" s="9"/>
      <c r="K718" s="9"/>
      <c r="L718" s="9"/>
      <c r="M718" s="9"/>
      <c r="N718" s="9"/>
      <c r="O718" s="9"/>
    </row>
    <row r="719">
      <c r="A719" s="9"/>
      <c r="B719" s="9"/>
      <c r="C719" s="9"/>
      <c r="D719" s="9"/>
      <c r="E719" s="9"/>
      <c r="F719" s="9"/>
      <c r="G719" s="59"/>
      <c r="H719" s="9"/>
      <c r="I719" s="9"/>
      <c r="J719" s="9"/>
      <c r="K719" s="9"/>
      <c r="L719" s="9"/>
      <c r="M719" s="9"/>
      <c r="N719" s="9"/>
      <c r="O719" s="9"/>
    </row>
    <row r="720">
      <c r="A720" s="9"/>
      <c r="B720" s="9"/>
      <c r="C720" s="9"/>
      <c r="D720" s="9"/>
      <c r="E720" s="9"/>
      <c r="F720" s="9"/>
      <c r="G720" s="59"/>
      <c r="H720" s="9"/>
      <c r="I720" s="9"/>
      <c r="J720" s="9"/>
      <c r="K720" s="9"/>
      <c r="L720" s="9"/>
      <c r="M720" s="9"/>
      <c r="N720" s="9"/>
      <c r="O720" s="9"/>
    </row>
    <row r="721">
      <c r="A721" s="9"/>
      <c r="B721" s="9"/>
      <c r="C721" s="9"/>
      <c r="D721" s="9"/>
      <c r="E721" s="9"/>
      <c r="F721" s="9"/>
      <c r="G721" s="59"/>
      <c r="H721" s="9"/>
      <c r="I721" s="9"/>
      <c r="J721" s="9"/>
      <c r="K721" s="9"/>
      <c r="L721" s="9"/>
      <c r="M721" s="9"/>
      <c r="N721" s="9"/>
      <c r="O721" s="9"/>
    </row>
    <row r="722">
      <c r="A722" s="9"/>
      <c r="B722" s="9"/>
      <c r="C722" s="9"/>
      <c r="D722" s="9"/>
      <c r="E722" s="9"/>
      <c r="F722" s="9"/>
      <c r="G722" s="59"/>
      <c r="H722" s="9"/>
      <c r="I722" s="9"/>
      <c r="J722" s="9"/>
      <c r="K722" s="9"/>
      <c r="L722" s="9"/>
      <c r="M722" s="9"/>
      <c r="N722" s="9"/>
      <c r="O722" s="9"/>
    </row>
    <row r="723">
      <c r="A723" s="9"/>
      <c r="B723" s="9"/>
      <c r="C723" s="9"/>
      <c r="D723" s="9"/>
      <c r="E723" s="9"/>
      <c r="F723" s="9"/>
      <c r="G723" s="59"/>
      <c r="H723" s="9"/>
      <c r="I723" s="9"/>
      <c r="J723" s="9"/>
      <c r="K723" s="9"/>
      <c r="L723" s="9"/>
      <c r="M723" s="9"/>
      <c r="N723" s="9"/>
      <c r="O723" s="9"/>
    </row>
    <row r="724">
      <c r="A724" s="9"/>
      <c r="B724" s="9"/>
      <c r="C724" s="9"/>
      <c r="D724" s="9"/>
      <c r="E724" s="9"/>
      <c r="F724" s="9"/>
      <c r="G724" s="59"/>
      <c r="H724" s="9"/>
      <c r="I724" s="9"/>
      <c r="J724" s="9"/>
      <c r="K724" s="9"/>
      <c r="L724" s="9"/>
      <c r="M724" s="9"/>
      <c r="N724" s="9"/>
      <c r="O724" s="9"/>
    </row>
    <row r="725">
      <c r="A725" s="9"/>
      <c r="B725" s="9"/>
      <c r="C725" s="9"/>
      <c r="D725" s="9"/>
      <c r="E725" s="9"/>
      <c r="F725" s="9"/>
      <c r="G725" s="59"/>
      <c r="H725" s="9"/>
      <c r="I725" s="9"/>
      <c r="J725" s="9"/>
      <c r="K725" s="9"/>
      <c r="L725" s="9"/>
      <c r="M725" s="9"/>
      <c r="N725" s="9"/>
      <c r="O725" s="9"/>
    </row>
    <row r="726">
      <c r="A726" s="9"/>
      <c r="B726" s="9"/>
      <c r="C726" s="9"/>
      <c r="D726" s="9"/>
      <c r="E726" s="9"/>
      <c r="F726" s="9"/>
      <c r="G726" s="59"/>
      <c r="H726" s="9"/>
      <c r="I726" s="9"/>
      <c r="J726" s="9"/>
      <c r="K726" s="9"/>
      <c r="L726" s="9"/>
      <c r="M726" s="9"/>
      <c r="N726" s="9"/>
      <c r="O726" s="9"/>
    </row>
    <row r="727">
      <c r="A727" s="9"/>
      <c r="B727" s="9"/>
      <c r="C727" s="9"/>
      <c r="D727" s="9"/>
      <c r="E727" s="9"/>
      <c r="F727" s="9"/>
      <c r="G727" s="59"/>
      <c r="H727" s="9"/>
      <c r="I727" s="9"/>
      <c r="J727" s="9"/>
      <c r="K727" s="9"/>
      <c r="L727" s="9"/>
      <c r="M727" s="9"/>
      <c r="N727" s="9"/>
      <c r="O727" s="9"/>
    </row>
    <row r="728">
      <c r="A728" s="9"/>
      <c r="B728" s="9"/>
      <c r="C728" s="9"/>
      <c r="D728" s="9"/>
      <c r="E728" s="9"/>
      <c r="F728" s="9"/>
      <c r="G728" s="59"/>
      <c r="H728" s="9"/>
      <c r="I728" s="9"/>
      <c r="J728" s="9"/>
      <c r="K728" s="9"/>
      <c r="L728" s="9"/>
      <c r="M728" s="9"/>
      <c r="N728" s="9"/>
      <c r="O728" s="9"/>
    </row>
    <row r="729">
      <c r="A729" s="9"/>
      <c r="B729" s="9"/>
      <c r="C729" s="9"/>
      <c r="D729" s="9"/>
      <c r="E729" s="9"/>
      <c r="F729" s="9"/>
      <c r="G729" s="59"/>
      <c r="H729" s="9"/>
      <c r="I729" s="9"/>
      <c r="J729" s="9"/>
      <c r="K729" s="9"/>
      <c r="L729" s="9"/>
      <c r="M729" s="9"/>
      <c r="N729" s="9"/>
      <c r="O729" s="9"/>
    </row>
    <row r="730">
      <c r="A730" s="9"/>
      <c r="B730" s="9"/>
      <c r="C730" s="9"/>
      <c r="D730" s="9"/>
      <c r="E730" s="9"/>
      <c r="F730" s="9"/>
      <c r="G730" s="59"/>
      <c r="H730" s="9"/>
      <c r="I730" s="9"/>
      <c r="J730" s="9"/>
      <c r="K730" s="9"/>
      <c r="L730" s="9"/>
      <c r="M730" s="9"/>
      <c r="N730" s="9"/>
      <c r="O730" s="9"/>
    </row>
    <row r="731">
      <c r="A731" s="9"/>
      <c r="B731" s="9"/>
      <c r="C731" s="9"/>
      <c r="D731" s="9"/>
      <c r="E731" s="9"/>
      <c r="F731" s="9"/>
      <c r="G731" s="59"/>
      <c r="H731" s="9"/>
      <c r="I731" s="9"/>
      <c r="J731" s="9"/>
      <c r="K731" s="9"/>
      <c r="L731" s="9"/>
      <c r="M731" s="9"/>
      <c r="N731" s="9"/>
      <c r="O731" s="9"/>
    </row>
    <row r="732">
      <c r="A732" s="9"/>
      <c r="B732" s="9"/>
      <c r="C732" s="9"/>
      <c r="D732" s="9"/>
      <c r="E732" s="9"/>
      <c r="F732" s="9"/>
      <c r="G732" s="59"/>
      <c r="H732" s="9"/>
      <c r="I732" s="9"/>
      <c r="J732" s="9"/>
      <c r="K732" s="9"/>
      <c r="L732" s="9"/>
      <c r="M732" s="9"/>
      <c r="N732" s="9"/>
      <c r="O732" s="9"/>
    </row>
    <row r="733">
      <c r="A733" s="9"/>
      <c r="B733" s="9"/>
      <c r="C733" s="9"/>
      <c r="D733" s="9"/>
      <c r="E733" s="9"/>
      <c r="F733" s="9"/>
      <c r="G733" s="59"/>
      <c r="H733" s="9"/>
      <c r="I733" s="9"/>
      <c r="J733" s="9"/>
      <c r="K733" s="9"/>
      <c r="L733" s="9"/>
      <c r="M733" s="9"/>
      <c r="N733" s="9"/>
      <c r="O733" s="9"/>
    </row>
    <row r="734">
      <c r="A734" s="9"/>
      <c r="B734" s="9"/>
      <c r="C734" s="9"/>
      <c r="D734" s="9"/>
      <c r="E734" s="9"/>
      <c r="F734" s="9"/>
      <c r="G734" s="59"/>
      <c r="H734" s="9"/>
      <c r="I734" s="9"/>
      <c r="J734" s="9"/>
      <c r="K734" s="9"/>
      <c r="L734" s="9"/>
      <c r="M734" s="9"/>
      <c r="N734" s="9"/>
      <c r="O734" s="9"/>
    </row>
    <row r="735">
      <c r="A735" s="9"/>
      <c r="B735" s="9"/>
      <c r="C735" s="9"/>
      <c r="D735" s="9"/>
      <c r="E735" s="9"/>
      <c r="F735" s="9"/>
      <c r="G735" s="59"/>
      <c r="H735" s="9"/>
      <c r="I735" s="9"/>
      <c r="J735" s="9"/>
      <c r="K735" s="9"/>
      <c r="L735" s="9"/>
      <c r="M735" s="9"/>
      <c r="N735" s="9"/>
      <c r="O735" s="9"/>
    </row>
    <row r="736">
      <c r="A736" s="9"/>
      <c r="B736" s="9"/>
      <c r="C736" s="9"/>
      <c r="D736" s="9"/>
      <c r="E736" s="9"/>
      <c r="F736" s="9"/>
      <c r="G736" s="59"/>
      <c r="H736" s="9"/>
      <c r="I736" s="9"/>
      <c r="J736" s="9"/>
      <c r="K736" s="9"/>
      <c r="L736" s="9"/>
      <c r="M736" s="9"/>
      <c r="N736" s="9"/>
      <c r="O736" s="9"/>
    </row>
    <row r="737">
      <c r="A737" s="9"/>
      <c r="B737" s="9"/>
      <c r="C737" s="9"/>
      <c r="D737" s="9"/>
      <c r="E737" s="9"/>
      <c r="F737" s="9"/>
      <c r="G737" s="59"/>
      <c r="H737" s="9"/>
      <c r="I737" s="9"/>
      <c r="J737" s="9"/>
      <c r="K737" s="9"/>
      <c r="L737" s="9"/>
      <c r="M737" s="9"/>
      <c r="N737" s="9"/>
      <c r="O737" s="9"/>
    </row>
    <row r="738">
      <c r="A738" s="9"/>
      <c r="B738" s="9"/>
      <c r="C738" s="9"/>
      <c r="D738" s="9"/>
      <c r="E738" s="9"/>
      <c r="F738" s="9"/>
      <c r="G738" s="59"/>
      <c r="H738" s="9"/>
      <c r="I738" s="9"/>
      <c r="J738" s="9"/>
      <c r="K738" s="9"/>
      <c r="L738" s="9"/>
      <c r="M738" s="9"/>
      <c r="N738" s="9"/>
      <c r="O738" s="9"/>
    </row>
    <row r="739">
      <c r="A739" s="9"/>
      <c r="B739" s="9"/>
      <c r="C739" s="9"/>
      <c r="D739" s="9"/>
      <c r="E739" s="9"/>
      <c r="F739" s="9"/>
      <c r="G739" s="59"/>
      <c r="H739" s="9"/>
      <c r="I739" s="9"/>
      <c r="J739" s="9"/>
      <c r="K739" s="9"/>
      <c r="L739" s="9"/>
      <c r="M739" s="9"/>
      <c r="N739" s="9"/>
      <c r="O739" s="9"/>
    </row>
    <row r="740">
      <c r="A740" s="9"/>
      <c r="B740" s="9"/>
      <c r="C740" s="9"/>
      <c r="D740" s="9"/>
      <c r="E740" s="9"/>
      <c r="F740" s="9"/>
      <c r="G740" s="59"/>
      <c r="H740" s="9"/>
      <c r="I740" s="9"/>
      <c r="J740" s="9"/>
      <c r="K740" s="9"/>
      <c r="L740" s="9"/>
      <c r="M740" s="9"/>
      <c r="N740" s="9"/>
      <c r="O740" s="9"/>
    </row>
    <row r="741">
      <c r="A741" s="9"/>
      <c r="B741" s="9"/>
      <c r="C741" s="9"/>
      <c r="D741" s="9"/>
      <c r="E741" s="9"/>
      <c r="F741" s="9"/>
      <c r="G741" s="59"/>
      <c r="H741" s="9"/>
      <c r="I741" s="9"/>
      <c r="J741" s="9"/>
      <c r="K741" s="9"/>
      <c r="L741" s="9"/>
      <c r="M741" s="9"/>
      <c r="N741" s="9"/>
      <c r="O741" s="9"/>
    </row>
    <row r="742">
      <c r="A742" s="9"/>
      <c r="B742" s="9"/>
      <c r="C742" s="9"/>
      <c r="D742" s="9"/>
      <c r="E742" s="9"/>
      <c r="F742" s="9"/>
      <c r="G742" s="59"/>
      <c r="H742" s="9"/>
      <c r="I742" s="9"/>
      <c r="J742" s="9"/>
      <c r="K742" s="9"/>
      <c r="L742" s="9"/>
      <c r="M742" s="9"/>
      <c r="N742" s="9"/>
      <c r="O742" s="9"/>
    </row>
    <row r="743">
      <c r="A743" s="9"/>
      <c r="B743" s="9"/>
      <c r="C743" s="9"/>
      <c r="D743" s="9"/>
      <c r="E743" s="9"/>
      <c r="F743" s="9"/>
      <c r="G743" s="59"/>
      <c r="H743" s="9"/>
      <c r="I743" s="9"/>
      <c r="J743" s="9"/>
      <c r="K743" s="9"/>
      <c r="L743" s="9"/>
      <c r="M743" s="9"/>
      <c r="N743" s="9"/>
      <c r="O743" s="9"/>
    </row>
    <row r="744">
      <c r="A744" s="9"/>
      <c r="B744" s="9"/>
      <c r="C744" s="9"/>
      <c r="D744" s="9"/>
      <c r="E744" s="9"/>
      <c r="F744" s="9"/>
      <c r="G744" s="59"/>
      <c r="H744" s="9"/>
      <c r="I744" s="9"/>
      <c r="J744" s="9"/>
      <c r="K744" s="9"/>
      <c r="L744" s="9"/>
      <c r="M744" s="9"/>
      <c r="N744" s="9"/>
      <c r="O744" s="9"/>
    </row>
    <row r="745">
      <c r="A745" s="9"/>
      <c r="B745" s="9"/>
      <c r="C745" s="9"/>
      <c r="D745" s="9"/>
      <c r="E745" s="9"/>
      <c r="F745" s="9"/>
      <c r="G745" s="59"/>
      <c r="H745" s="9"/>
      <c r="I745" s="9"/>
      <c r="J745" s="9"/>
      <c r="K745" s="9"/>
      <c r="L745" s="9"/>
      <c r="M745" s="9"/>
      <c r="N745" s="9"/>
      <c r="O745" s="9"/>
    </row>
    <row r="746">
      <c r="A746" s="9"/>
      <c r="B746" s="9"/>
      <c r="C746" s="9"/>
      <c r="D746" s="9"/>
      <c r="E746" s="9"/>
      <c r="F746" s="9"/>
      <c r="G746" s="59"/>
      <c r="H746" s="9"/>
      <c r="I746" s="9"/>
      <c r="J746" s="9"/>
      <c r="K746" s="9"/>
      <c r="L746" s="9"/>
      <c r="M746" s="9"/>
      <c r="N746" s="9"/>
      <c r="O746" s="9"/>
    </row>
    <row r="747">
      <c r="A747" s="9"/>
      <c r="B747" s="9"/>
      <c r="C747" s="9"/>
      <c r="D747" s="9"/>
      <c r="E747" s="9"/>
      <c r="F747" s="9"/>
      <c r="G747" s="59"/>
      <c r="H747" s="9"/>
      <c r="I747" s="9"/>
      <c r="J747" s="9"/>
      <c r="K747" s="9"/>
      <c r="L747" s="9"/>
      <c r="M747" s="9"/>
      <c r="N747" s="9"/>
      <c r="O747" s="9"/>
    </row>
    <row r="748">
      <c r="A748" s="9"/>
      <c r="B748" s="9"/>
      <c r="C748" s="9"/>
      <c r="D748" s="9"/>
      <c r="E748" s="9"/>
      <c r="F748" s="9"/>
      <c r="G748" s="59"/>
      <c r="H748" s="9"/>
      <c r="I748" s="9"/>
      <c r="J748" s="9"/>
      <c r="K748" s="9"/>
      <c r="L748" s="9"/>
      <c r="M748" s="9"/>
      <c r="N748" s="9"/>
      <c r="O748" s="9"/>
    </row>
    <row r="749">
      <c r="A749" s="9"/>
      <c r="B749" s="9"/>
      <c r="C749" s="9"/>
      <c r="D749" s="9"/>
      <c r="E749" s="9"/>
      <c r="F749" s="9"/>
      <c r="G749" s="59"/>
      <c r="H749" s="9"/>
      <c r="I749" s="9"/>
      <c r="J749" s="9"/>
      <c r="K749" s="9"/>
      <c r="L749" s="9"/>
      <c r="M749" s="9"/>
      <c r="N749" s="9"/>
      <c r="O749" s="9"/>
    </row>
    <row r="750">
      <c r="A750" s="9"/>
      <c r="B750" s="9"/>
      <c r="C750" s="9"/>
      <c r="D750" s="9"/>
      <c r="E750" s="9"/>
      <c r="F750" s="9"/>
      <c r="G750" s="59"/>
      <c r="H750" s="9"/>
      <c r="I750" s="9"/>
      <c r="J750" s="9"/>
      <c r="K750" s="9"/>
      <c r="L750" s="9"/>
      <c r="M750" s="9"/>
      <c r="N750" s="9"/>
      <c r="O750" s="9"/>
    </row>
    <row r="751">
      <c r="A751" s="9"/>
      <c r="B751" s="9"/>
      <c r="C751" s="9"/>
      <c r="D751" s="9"/>
      <c r="E751" s="9"/>
      <c r="F751" s="9"/>
      <c r="G751" s="59"/>
      <c r="H751" s="9"/>
      <c r="I751" s="9"/>
      <c r="J751" s="9"/>
      <c r="K751" s="9"/>
      <c r="L751" s="9"/>
      <c r="M751" s="9"/>
      <c r="N751" s="9"/>
      <c r="O751" s="9"/>
    </row>
    <row r="752">
      <c r="A752" s="9"/>
      <c r="B752" s="9"/>
      <c r="C752" s="9"/>
      <c r="D752" s="9"/>
      <c r="E752" s="9"/>
      <c r="F752" s="9"/>
      <c r="G752" s="59"/>
      <c r="H752" s="9"/>
      <c r="I752" s="9"/>
      <c r="J752" s="9"/>
      <c r="K752" s="9"/>
      <c r="L752" s="9"/>
      <c r="M752" s="9"/>
      <c r="N752" s="9"/>
      <c r="O752" s="9"/>
    </row>
    <row r="753">
      <c r="A753" s="9"/>
      <c r="B753" s="9"/>
      <c r="C753" s="9"/>
      <c r="D753" s="9"/>
      <c r="E753" s="9"/>
      <c r="F753" s="9"/>
      <c r="G753" s="59"/>
      <c r="H753" s="9"/>
      <c r="I753" s="9"/>
      <c r="J753" s="9"/>
      <c r="K753" s="9"/>
      <c r="L753" s="9"/>
      <c r="M753" s="9"/>
      <c r="N753" s="9"/>
      <c r="O753" s="9"/>
    </row>
    <row r="754">
      <c r="A754" s="9"/>
      <c r="B754" s="9"/>
      <c r="C754" s="9"/>
      <c r="D754" s="9"/>
      <c r="E754" s="9"/>
      <c r="F754" s="9"/>
      <c r="G754" s="59"/>
      <c r="H754" s="9"/>
      <c r="I754" s="9"/>
      <c r="J754" s="9"/>
      <c r="K754" s="9"/>
      <c r="L754" s="9"/>
      <c r="M754" s="9"/>
      <c r="N754" s="9"/>
      <c r="O754" s="9"/>
    </row>
    <row r="755">
      <c r="A755" s="9"/>
      <c r="B755" s="9"/>
      <c r="C755" s="9"/>
      <c r="D755" s="9"/>
      <c r="E755" s="9"/>
      <c r="F755" s="9"/>
      <c r="G755" s="59"/>
      <c r="H755" s="9"/>
      <c r="I755" s="9"/>
      <c r="J755" s="9"/>
      <c r="K755" s="9"/>
      <c r="L755" s="9"/>
      <c r="M755" s="9"/>
      <c r="N755" s="9"/>
      <c r="O755" s="9"/>
    </row>
    <row r="756">
      <c r="A756" s="9"/>
      <c r="B756" s="9"/>
      <c r="C756" s="9"/>
      <c r="D756" s="9"/>
      <c r="E756" s="9"/>
      <c r="F756" s="9"/>
      <c r="G756" s="59"/>
      <c r="H756" s="9"/>
      <c r="I756" s="9"/>
      <c r="J756" s="9"/>
      <c r="K756" s="9"/>
      <c r="L756" s="9"/>
      <c r="M756" s="9"/>
      <c r="N756" s="9"/>
      <c r="O756" s="9"/>
    </row>
    <row r="757">
      <c r="A757" s="9"/>
      <c r="B757" s="9"/>
      <c r="C757" s="9"/>
      <c r="D757" s="9"/>
      <c r="E757" s="9"/>
      <c r="F757" s="9"/>
      <c r="G757" s="59"/>
      <c r="H757" s="9"/>
      <c r="I757" s="9"/>
      <c r="J757" s="9"/>
      <c r="K757" s="9"/>
      <c r="L757" s="9"/>
      <c r="M757" s="9"/>
      <c r="N757" s="9"/>
      <c r="O757" s="9"/>
    </row>
    <row r="758">
      <c r="A758" s="9"/>
      <c r="B758" s="9"/>
      <c r="C758" s="9"/>
      <c r="D758" s="9"/>
      <c r="E758" s="9"/>
      <c r="F758" s="9"/>
      <c r="G758" s="59"/>
      <c r="H758" s="9"/>
      <c r="I758" s="9"/>
      <c r="J758" s="9"/>
      <c r="K758" s="9"/>
      <c r="L758" s="9"/>
      <c r="M758" s="9"/>
      <c r="N758" s="9"/>
      <c r="O758" s="9"/>
    </row>
    <row r="759">
      <c r="A759" s="9"/>
      <c r="B759" s="9"/>
      <c r="C759" s="9"/>
      <c r="D759" s="9"/>
      <c r="E759" s="9"/>
      <c r="F759" s="9"/>
      <c r="G759" s="59"/>
      <c r="H759" s="9"/>
      <c r="I759" s="9"/>
      <c r="J759" s="9"/>
      <c r="K759" s="9"/>
      <c r="L759" s="9"/>
      <c r="M759" s="9"/>
      <c r="N759" s="9"/>
      <c r="O759" s="9"/>
    </row>
    <row r="760">
      <c r="A760" s="9"/>
      <c r="B760" s="9"/>
      <c r="C760" s="9"/>
      <c r="D760" s="9"/>
      <c r="E760" s="9"/>
      <c r="F760" s="9"/>
      <c r="G760" s="59"/>
      <c r="H760" s="9"/>
      <c r="I760" s="9"/>
      <c r="J760" s="9"/>
      <c r="K760" s="9"/>
      <c r="L760" s="9"/>
      <c r="M760" s="9"/>
      <c r="N760" s="9"/>
      <c r="O760" s="9"/>
    </row>
    <row r="761">
      <c r="A761" s="9"/>
      <c r="B761" s="9"/>
      <c r="C761" s="9"/>
      <c r="D761" s="9"/>
      <c r="E761" s="9"/>
      <c r="F761" s="9"/>
      <c r="G761" s="59"/>
      <c r="H761" s="9"/>
      <c r="I761" s="9"/>
      <c r="J761" s="9"/>
      <c r="K761" s="9"/>
      <c r="L761" s="9"/>
      <c r="M761" s="9"/>
      <c r="N761" s="9"/>
      <c r="O761" s="9"/>
    </row>
    <row r="762">
      <c r="A762" s="9"/>
      <c r="B762" s="9"/>
      <c r="C762" s="9"/>
      <c r="D762" s="9"/>
      <c r="E762" s="9"/>
      <c r="F762" s="9"/>
      <c r="G762" s="59"/>
      <c r="H762" s="9"/>
      <c r="I762" s="9"/>
      <c r="J762" s="9"/>
      <c r="K762" s="9"/>
      <c r="L762" s="9"/>
      <c r="M762" s="9"/>
      <c r="N762" s="9"/>
      <c r="O762" s="9"/>
    </row>
    <row r="763">
      <c r="A763" s="9"/>
      <c r="B763" s="9"/>
      <c r="C763" s="9"/>
      <c r="D763" s="9"/>
      <c r="E763" s="9"/>
      <c r="F763" s="9"/>
      <c r="G763" s="59"/>
      <c r="H763" s="9"/>
      <c r="I763" s="9"/>
      <c r="J763" s="9"/>
      <c r="K763" s="9"/>
      <c r="L763" s="9"/>
      <c r="M763" s="9"/>
      <c r="N763" s="9"/>
      <c r="O763" s="9"/>
    </row>
    <row r="764">
      <c r="A764" s="9"/>
      <c r="B764" s="9"/>
      <c r="C764" s="9"/>
      <c r="D764" s="9"/>
      <c r="E764" s="9"/>
      <c r="F764" s="9"/>
      <c r="G764" s="59"/>
      <c r="H764" s="9"/>
      <c r="I764" s="9"/>
      <c r="J764" s="9"/>
      <c r="K764" s="9"/>
      <c r="L764" s="9"/>
      <c r="M764" s="9"/>
      <c r="N764" s="9"/>
      <c r="O764" s="9"/>
    </row>
    <row r="765">
      <c r="A765" s="9"/>
      <c r="B765" s="9"/>
      <c r="C765" s="9"/>
      <c r="D765" s="9"/>
      <c r="E765" s="9"/>
      <c r="F765" s="9"/>
      <c r="G765" s="59"/>
      <c r="H765" s="9"/>
      <c r="I765" s="9"/>
      <c r="J765" s="9"/>
      <c r="K765" s="9"/>
      <c r="L765" s="9"/>
      <c r="M765" s="9"/>
      <c r="N765" s="9"/>
      <c r="O765" s="9"/>
    </row>
    <row r="766">
      <c r="A766" s="9"/>
      <c r="B766" s="9"/>
      <c r="C766" s="9"/>
      <c r="D766" s="9"/>
      <c r="E766" s="9"/>
      <c r="F766" s="9"/>
      <c r="G766" s="59"/>
      <c r="H766" s="9"/>
      <c r="I766" s="9"/>
      <c r="J766" s="9"/>
      <c r="K766" s="9"/>
      <c r="L766" s="9"/>
      <c r="M766" s="9"/>
      <c r="N766" s="9"/>
      <c r="O766" s="9"/>
    </row>
    <row r="767">
      <c r="A767" s="9"/>
      <c r="B767" s="9"/>
      <c r="C767" s="9"/>
      <c r="D767" s="9"/>
      <c r="E767" s="9"/>
      <c r="F767" s="9"/>
      <c r="G767" s="59"/>
      <c r="H767" s="9"/>
      <c r="I767" s="9"/>
      <c r="J767" s="9"/>
      <c r="K767" s="9"/>
      <c r="L767" s="9"/>
      <c r="M767" s="9"/>
      <c r="N767" s="9"/>
      <c r="O767" s="9"/>
    </row>
    <row r="768">
      <c r="A768" s="9"/>
      <c r="B768" s="9"/>
      <c r="C768" s="9"/>
      <c r="D768" s="9"/>
      <c r="E768" s="9"/>
      <c r="F768" s="9"/>
      <c r="G768" s="59"/>
      <c r="H768" s="9"/>
      <c r="I768" s="9"/>
      <c r="J768" s="9"/>
      <c r="K768" s="9"/>
      <c r="L768" s="9"/>
      <c r="M768" s="9"/>
      <c r="N768" s="9"/>
      <c r="O768" s="9"/>
    </row>
    <row r="769">
      <c r="A769" s="9"/>
      <c r="B769" s="9"/>
      <c r="C769" s="9"/>
      <c r="D769" s="9"/>
      <c r="E769" s="9"/>
      <c r="F769" s="9"/>
      <c r="G769" s="59"/>
      <c r="H769" s="9"/>
      <c r="I769" s="9"/>
      <c r="J769" s="9"/>
      <c r="K769" s="9"/>
      <c r="L769" s="9"/>
      <c r="M769" s="9"/>
      <c r="N769" s="9"/>
      <c r="O769" s="9"/>
    </row>
    <row r="770">
      <c r="A770" s="9"/>
      <c r="B770" s="9"/>
      <c r="C770" s="9"/>
      <c r="D770" s="9"/>
      <c r="E770" s="9"/>
      <c r="F770" s="9"/>
      <c r="G770" s="59"/>
      <c r="H770" s="9"/>
      <c r="I770" s="9"/>
      <c r="J770" s="9"/>
      <c r="K770" s="9"/>
      <c r="L770" s="9"/>
      <c r="M770" s="9"/>
      <c r="N770" s="9"/>
      <c r="O770" s="9"/>
    </row>
    <row r="771">
      <c r="A771" s="9"/>
      <c r="B771" s="9"/>
      <c r="C771" s="9"/>
      <c r="D771" s="9"/>
      <c r="E771" s="9"/>
      <c r="F771" s="9"/>
      <c r="G771" s="59"/>
      <c r="H771" s="9"/>
      <c r="I771" s="9"/>
      <c r="J771" s="9"/>
      <c r="K771" s="9"/>
      <c r="L771" s="9"/>
      <c r="M771" s="9"/>
      <c r="N771" s="9"/>
      <c r="O771" s="9"/>
    </row>
    <row r="772">
      <c r="A772" s="9"/>
      <c r="B772" s="9"/>
      <c r="C772" s="9"/>
      <c r="D772" s="9"/>
      <c r="E772" s="9"/>
      <c r="F772" s="9"/>
      <c r="G772" s="59"/>
      <c r="H772" s="9"/>
      <c r="I772" s="9"/>
      <c r="J772" s="9"/>
      <c r="K772" s="9"/>
      <c r="L772" s="9"/>
      <c r="M772" s="9"/>
      <c r="N772" s="9"/>
      <c r="O772" s="9"/>
    </row>
    <row r="773">
      <c r="A773" s="9"/>
      <c r="B773" s="9"/>
      <c r="C773" s="9"/>
      <c r="D773" s="9"/>
      <c r="E773" s="9"/>
      <c r="F773" s="9"/>
      <c r="G773" s="59"/>
      <c r="H773" s="9"/>
      <c r="I773" s="9"/>
      <c r="J773" s="9"/>
      <c r="K773" s="9"/>
      <c r="L773" s="9"/>
      <c r="M773" s="9"/>
      <c r="N773" s="9"/>
      <c r="O773" s="9"/>
    </row>
    <row r="774">
      <c r="A774" s="9"/>
      <c r="B774" s="9"/>
      <c r="C774" s="9"/>
      <c r="D774" s="9"/>
      <c r="E774" s="9"/>
      <c r="F774" s="9"/>
      <c r="G774" s="59"/>
      <c r="H774" s="9"/>
      <c r="I774" s="9"/>
      <c r="J774" s="9"/>
      <c r="K774" s="9"/>
      <c r="L774" s="9"/>
      <c r="M774" s="9"/>
      <c r="N774" s="9"/>
      <c r="O774" s="9"/>
    </row>
    <row r="775">
      <c r="A775" s="9"/>
      <c r="B775" s="9"/>
      <c r="C775" s="9"/>
      <c r="D775" s="9"/>
      <c r="E775" s="9"/>
      <c r="F775" s="9"/>
      <c r="G775" s="59"/>
      <c r="H775" s="9"/>
      <c r="I775" s="9"/>
      <c r="J775" s="9"/>
      <c r="K775" s="9"/>
      <c r="L775" s="9"/>
      <c r="M775" s="9"/>
      <c r="N775" s="9"/>
      <c r="O775" s="9"/>
    </row>
    <row r="776">
      <c r="A776" s="9"/>
      <c r="B776" s="9"/>
      <c r="C776" s="9"/>
      <c r="D776" s="9"/>
      <c r="E776" s="9"/>
      <c r="F776" s="9"/>
      <c r="G776" s="59"/>
      <c r="H776" s="9"/>
      <c r="I776" s="9"/>
      <c r="J776" s="9"/>
      <c r="K776" s="9"/>
      <c r="L776" s="9"/>
      <c r="M776" s="9"/>
      <c r="N776" s="9"/>
      <c r="O776" s="9"/>
    </row>
    <row r="777">
      <c r="A777" s="9"/>
      <c r="B777" s="9"/>
      <c r="C777" s="9"/>
      <c r="D777" s="9"/>
      <c r="E777" s="9"/>
      <c r="F777" s="9"/>
      <c r="G777" s="59"/>
      <c r="H777" s="9"/>
      <c r="I777" s="9"/>
      <c r="J777" s="9"/>
      <c r="K777" s="9"/>
      <c r="L777" s="9"/>
      <c r="M777" s="9"/>
      <c r="N777" s="9"/>
      <c r="O777" s="9"/>
    </row>
    <row r="778">
      <c r="A778" s="9"/>
      <c r="B778" s="9"/>
      <c r="C778" s="9"/>
      <c r="D778" s="9"/>
      <c r="E778" s="9"/>
      <c r="F778" s="9"/>
      <c r="G778" s="59"/>
      <c r="H778" s="9"/>
      <c r="I778" s="9"/>
      <c r="J778" s="9"/>
      <c r="K778" s="9"/>
      <c r="L778" s="9"/>
      <c r="M778" s="9"/>
      <c r="N778" s="9"/>
      <c r="O778" s="9"/>
    </row>
    <row r="779">
      <c r="A779" s="9"/>
      <c r="B779" s="9"/>
      <c r="C779" s="9"/>
      <c r="D779" s="9"/>
      <c r="E779" s="9"/>
      <c r="F779" s="9"/>
      <c r="G779" s="59"/>
      <c r="H779" s="9"/>
      <c r="I779" s="9"/>
      <c r="J779" s="9"/>
      <c r="K779" s="9"/>
      <c r="L779" s="9"/>
      <c r="M779" s="9"/>
      <c r="N779" s="9"/>
      <c r="O779" s="9"/>
    </row>
    <row r="780">
      <c r="A780" s="9"/>
      <c r="B780" s="9"/>
      <c r="C780" s="9"/>
      <c r="D780" s="9"/>
      <c r="E780" s="9"/>
      <c r="F780" s="9"/>
      <c r="G780" s="59"/>
      <c r="H780" s="9"/>
      <c r="I780" s="9"/>
      <c r="J780" s="9"/>
      <c r="K780" s="9"/>
      <c r="L780" s="9"/>
      <c r="M780" s="9"/>
      <c r="N780" s="9"/>
      <c r="O780" s="9"/>
    </row>
    <row r="781">
      <c r="A781" s="9"/>
      <c r="B781" s="9"/>
      <c r="C781" s="9"/>
      <c r="D781" s="9"/>
      <c r="E781" s="9"/>
      <c r="F781" s="9"/>
      <c r="G781" s="59"/>
      <c r="H781" s="9"/>
      <c r="I781" s="9"/>
      <c r="J781" s="9"/>
      <c r="K781" s="9"/>
      <c r="L781" s="9"/>
      <c r="M781" s="9"/>
      <c r="N781" s="9"/>
      <c r="O781" s="9"/>
    </row>
    <row r="782">
      <c r="A782" s="9"/>
      <c r="B782" s="9"/>
      <c r="C782" s="9"/>
      <c r="D782" s="9"/>
      <c r="E782" s="9"/>
      <c r="F782" s="9"/>
      <c r="G782" s="59"/>
      <c r="H782" s="9"/>
      <c r="I782" s="9"/>
      <c r="J782" s="9"/>
      <c r="K782" s="9"/>
      <c r="L782" s="9"/>
      <c r="M782" s="9"/>
      <c r="N782" s="9"/>
      <c r="O782" s="9"/>
    </row>
    <row r="783">
      <c r="A783" s="9"/>
      <c r="B783" s="9"/>
      <c r="C783" s="9"/>
      <c r="D783" s="9"/>
      <c r="E783" s="9"/>
      <c r="F783" s="9"/>
      <c r="G783" s="59"/>
      <c r="H783" s="9"/>
      <c r="I783" s="9"/>
      <c r="J783" s="9"/>
      <c r="K783" s="9"/>
      <c r="L783" s="9"/>
      <c r="M783" s="9"/>
      <c r="N783" s="9"/>
      <c r="O783" s="9"/>
    </row>
    <row r="784">
      <c r="A784" s="9"/>
      <c r="B784" s="9"/>
      <c r="C784" s="9"/>
      <c r="D784" s="9"/>
      <c r="E784" s="9"/>
      <c r="F784" s="9"/>
      <c r="G784" s="59"/>
      <c r="H784" s="9"/>
      <c r="I784" s="9"/>
      <c r="J784" s="9"/>
      <c r="K784" s="9"/>
      <c r="L784" s="9"/>
      <c r="M784" s="9"/>
      <c r="N784" s="9"/>
      <c r="O784" s="9"/>
    </row>
    <row r="785">
      <c r="A785" s="9"/>
      <c r="B785" s="9"/>
      <c r="C785" s="9"/>
      <c r="D785" s="9"/>
      <c r="E785" s="9"/>
      <c r="F785" s="9"/>
      <c r="G785" s="59"/>
      <c r="H785" s="9"/>
      <c r="I785" s="9"/>
      <c r="J785" s="9"/>
      <c r="K785" s="9"/>
      <c r="L785" s="9"/>
      <c r="M785" s="9"/>
      <c r="N785" s="9"/>
      <c r="O785" s="9"/>
    </row>
    <row r="786">
      <c r="A786" s="9"/>
      <c r="B786" s="9"/>
      <c r="C786" s="9"/>
      <c r="D786" s="9"/>
      <c r="E786" s="9"/>
      <c r="F786" s="9"/>
      <c r="G786" s="59"/>
      <c r="H786" s="9"/>
      <c r="I786" s="9"/>
      <c r="J786" s="9"/>
      <c r="K786" s="9"/>
      <c r="L786" s="9"/>
      <c r="M786" s="9"/>
      <c r="N786" s="9"/>
      <c r="O786" s="9"/>
    </row>
    <row r="787">
      <c r="A787" s="9"/>
      <c r="B787" s="9"/>
      <c r="C787" s="9"/>
      <c r="D787" s="9"/>
      <c r="E787" s="9"/>
      <c r="F787" s="9"/>
      <c r="G787" s="59"/>
      <c r="H787" s="9"/>
      <c r="I787" s="9"/>
      <c r="J787" s="9"/>
      <c r="K787" s="9"/>
      <c r="L787" s="9"/>
      <c r="M787" s="9"/>
      <c r="N787" s="9"/>
      <c r="O787" s="9"/>
    </row>
    <row r="788">
      <c r="A788" s="9"/>
      <c r="B788" s="9"/>
      <c r="C788" s="9"/>
      <c r="D788" s="9"/>
      <c r="E788" s="9"/>
      <c r="F788" s="9"/>
      <c r="G788" s="59"/>
      <c r="H788" s="9"/>
      <c r="I788" s="9"/>
      <c r="J788" s="9"/>
      <c r="K788" s="9"/>
      <c r="L788" s="9"/>
      <c r="M788" s="9"/>
      <c r="N788" s="9"/>
      <c r="O788" s="9"/>
    </row>
    <row r="789">
      <c r="A789" s="9"/>
      <c r="B789" s="9"/>
      <c r="C789" s="9"/>
      <c r="D789" s="9"/>
      <c r="E789" s="9"/>
      <c r="F789" s="9"/>
      <c r="G789" s="59"/>
      <c r="H789" s="9"/>
      <c r="I789" s="9"/>
      <c r="J789" s="9"/>
      <c r="K789" s="9"/>
      <c r="L789" s="9"/>
      <c r="M789" s="9"/>
      <c r="N789" s="9"/>
      <c r="O789" s="9"/>
    </row>
    <row r="790">
      <c r="A790" s="9"/>
      <c r="B790" s="9"/>
      <c r="C790" s="9"/>
      <c r="D790" s="9"/>
      <c r="E790" s="9"/>
      <c r="F790" s="9"/>
      <c r="G790" s="59"/>
      <c r="H790" s="9"/>
      <c r="I790" s="9"/>
      <c r="J790" s="9"/>
      <c r="K790" s="9"/>
      <c r="L790" s="9"/>
      <c r="M790" s="9"/>
      <c r="N790" s="9"/>
      <c r="O790" s="9"/>
    </row>
    <row r="791">
      <c r="A791" s="9"/>
      <c r="B791" s="9"/>
      <c r="C791" s="9"/>
      <c r="D791" s="9"/>
      <c r="E791" s="9"/>
      <c r="F791" s="9"/>
      <c r="G791" s="59"/>
      <c r="H791" s="9"/>
      <c r="I791" s="9"/>
      <c r="J791" s="9"/>
      <c r="K791" s="9"/>
      <c r="L791" s="9"/>
      <c r="M791" s="9"/>
      <c r="N791" s="9"/>
      <c r="O791" s="9"/>
    </row>
    <row r="792">
      <c r="A792" s="9"/>
      <c r="B792" s="9"/>
      <c r="C792" s="9"/>
      <c r="D792" s="9"/>
      <c r="E792" s="9"/>
      <c r="F792" s="9"/>
      <c r="G792" s="59"/>
      <c r="H792" s="9"/>
      <c r="I792" s="9"/>
      <c r="J792" s="9"/>
      <c r="K792" s="9"/>
      <c r="L792" s="9"/>
      <c r="M792" s="9"/>
      <c r="N792" s="9"/>
      <c r="O792" s="9"/>
    </row>
    <row r="793">
      <c r="A793" s="9"/>
      <c r="B793" s="9"/>
      <c r="C793" s="9"/>
      <c r="D793" s="9"/>
      <c r="E793" s="9"/>
      <c r="F793" s="9"/>
      <c r="G793" s="59"/>
      <c r="H793" s="9"/>
      <c r="I793" s="9"/>
      <c r="J793" s="9"/>
      <c r="K793" s="9"/>
      <c r="L793" s="9"/>
      <c r="M793" s="9"/>
      <c r="N793" s="9"/>
      <c r="O793" s="9"/>
    </row>
    <row r="794">
      <c r="A794" s="9"/>
      <c r="B794" s="9"/>
      <c r="C794" s="9"/>
      <c r="D794" s="9"/>
      <c r="E794" s="9"/>
      <c r="F794" s="9"/>
      <c r="G794" s="59"/>
      <c r="H794" s="9"/>
      <c r="I794" s="9"/>
      <c r="J794" s="9"/>
      <c r="K794" s="9"/>
      <c r="L794" s="9"/>
      <c r="M794" s="9"/>
      <c r="N794" s="9"/>
      <c r="O794" s="9"/>
    </row>
    <row r="795">
      <c r="A795" s="9"/>
      <c r="B795" s="9"/>
      <c r="C795" s="9"/>
      <c r="D795" s="9"/>
      <c r="E795" s="9"/>
      <c r="F795" s="9"/>
      <c r="G795" s="59"/>
      <c r="H795" s="9"/>
      <c r="I795" s="9"/>
      <c r="J795" s="9"/>
      <c r="K795" s="9"/>
      <c r="L795" s="9"/>
      <c r="M795" s="9"/>
      <c r="N795" s="9"/>
      <c r="O795" s="9"/>
    </row>
    <row r="796">
      <c r="A796" s="9"/>
      <c r="B796" s="9"/>
      <c r="C796" s="9"/>
      <c r="D796" s="9"/>
      <c r="E796" s="9"/>
      <c r="F796" s="9"/>
      <c r="G796" s="59"/>
      <c r="H796" s="9"/>
      <c r="I796" s="9"/>
      <c r="J796" s="9"/>
      <c r="K796" s="9"/>
      <c r="L796" s="9"/>
      <c r="M796" s="9"/>
      <c r="N796" s="9"/>
      <c r="O796" s="9"/>
    </row>
    <row r="797">
      <c r="A797" s="9"/>
      <c r="B797" s="9"/>
      <c r="C797" s="9"/>
      <c r="D797" s="9"/>
      <c r="E797" s="9"/>
      <c r="F797" s="9"/>
      <c r="G797" s="59"/>
      <c r="H797" s="9"/>
      <c r="I797" s="9"/>
      <c r="J797" s="9"/>
      <c r="K797" s="9"/>
      <c r="L797" s="9"/>
      <c r="M797" s="9"/>
      <c r="N797" s="9"/>
      <c r="O797" s="9"/>
    </row>
    <row r="798">
      <c r="A798" s="9"/>
      <c r="B798" s="9"/>
      <c r="C798" s="9"/>
      <c r="D798" s="9"/>
      <c r="E798" s="9"/>
      <c r="F798" s="9"/>
      <c r="G798" s="59"/>
      <c r="H798" s="9"/>
      <c r="I798" s="9"/>
      <c r="J798" s="9"/>
      <c r="K798" s="9"/>
      <c r="L798" s="9"/>
      <c r="M798" s="9"/>
      <c r="N798" s="9"/>
      <c r="O798" s="9"/>
    </row>
    <row r="799">
      <c r="A799" s="9"/>
      <c r="B799" s="9"/>
      <c r="C799" s="9"/>
      <c r="D799" s="9"/>
      <c r="E799" s="9"/>
      <c r="F799" s="9"/>
      <c r="G799" s="59"/>
      <c r="H799" s="9"/>
      <c r="I799" s="9"/>
      <c r="J799" s="9"/>
      <c r="K799" s="9"/>
      <c r="L799" s="9"/>
      <c r="M799" s="9"/>
      <c r="N799" s="9"/>
      <c r="O799" s="9"/>
    </row>
    <row r="800">
      <c r="A800" s="9"/>
      <c r="B800" s="9"/>
      <c r="C800" s="9"/>
      <c r="D800" s="9"/>
      <c r="E800" s="9"/>
      <c r="F800" s="9"/>
      <c r="G800" s="59"/>
      <c r="H800" s="9"/>
      <c r="I800" s="9"/>
      <c r="J800" s="9"/>
      <c r="K800" s="9"/>
      <c r="L800" s="9"/>
      <c r="M800" s="9"/>
      <c r="N800" s="9"/>
      <c r="O800" s="9"/>
    </row>
    <row r="801">
      <c r="A801" s="9"/>
      <c r="B801" s="9"/>
      <c r="C801" s="9"/>
      <c r="D801" s="9"/>
      <c r="E801" s="9"/>
      <c r="F801" s="9"/>
      <c r="G801" s="59"/>
      <c r="H801" s="9"/>
      <c r="I801" s="9"/>
      <c r="J801" s="9"/>
      <c r="K801" s="9"/>
      <c r="L801" s="9"/>
      <c r="M801" s="9"/>
      <c r="N801" s="9"/>
      <c r="O801" s="9"/>
    </row>
    <row r="802">
      <c r="A802" s="9"/>
      <c r="B802" s="9"/>
      <c r="C802" s="9"/>
      <c r="D802" s="9"/>
      <c r="E802" s="9"/>
      <c r="F802" s="9"/>
      <c r="G802" s="59"/>
      <c r="H802" s="9"/>
      <c r="I802" s="9"/>
      <c r="J802" s="9"/>
      <c r="K802" s="9"/>
      <c r="L802" s="9"/>
      <c r="M802" s="9"/>
      <c r="N802" s="9"/>
      <c r="O802" s="9"/>
    </row>
    <row r="803">
      <c r="A803" s="9"/>
      <c r="B803" s="9"/>
      <c r="C803" s="9"/>
      <c r="D803" s="9"/>
      <c r="E803" s="9"/>
      <c r="F803" s="9"/>
      <c r="G803" s="59"/>
      <c r="H803" s="9"/>
      <c r="I803" s="9"/>
      <c r="J803" s="9"/>
      <c r="K803" s="9"/>
      <c r="L803" s="9"/>
      <c r="M803" s="9"/>
      <c r="N803" s="9"/>
      <c r="O803" s="9"/>
    </row>
    <row r="804">
      <c r="A804" s="9"/>
      <c r="B804" s="9"/>
      <c r="C804" s="9"/>
      <c r="D804" s="9"/>
      <c r="E804" s="9"/>
      <c r="F804" s="9"/>
      <c r="G804" s="59"/>
      <c r="H804" s="9"/>
      <c r="I804" s="9"/>
      <c r="J804" s="9"/>
      <c r="K804" s="9"/>
      <c r="L804" s="9"/>
      <c r="M804" s="9"/>
      <c r="N804" s="9"/>
      <c r="O804" s="9"/>
    </row>
    <row r="805">
      <c r="A805" s="9"/>
      <c r="B805" s="9"/>
      <c r="C805" s="9"/>
      <c r="D805" s="9"/>
      <c r="E805" s="9"/>
      <c r="F805" s="9"/>
      <c r="G805" s="59"/>
      <c r="H805" s="9"/>
      <c r="I805" s="9"/>
      <c r="J805" s="9"/>
      <c r="K805" s="9"/>
      <c r="L805" s="9"/>
      <c r="M805" s="9"/>
      <c r="N805" s="9"/>
      <c r="O805" s="9"/>
    </row>
    <row r="806">
      <c r="A806" s="9"/>
      <c r="B806" s="9"/>
      <c r="C806" s="9"/>
      <c r="D806" s="9"/>
      <c r="E806" s="9"/>
      <c r="F806" s="9"/>
      <c r="G806" s="59"/>
      <c r="H806" s="9"/>
      <c r="I806" s="9"/>
      <c r="J806" s="9"/>
      <c r="K806" s="9"/>
      <c r="L806" s="9"/>
      <c r="M806" s="9"/>
      <c r="N806" s="9"/>
      <c r="O806" s="9"/>
    </row>
    <row r="807">
      <c r="A807" s="9"/>
      <c r="B807" s="9"/>
      <c r="C807" s="9"/>
      <c r="D807" s="9"/>
      <c r="E807" s="9"/>
      <c r="F807" s="9"/>
      <c r="G807" s="59"/>
      <c r="H807" s="9"/>
      <c r="I807" s="9"/>
      <c r="J807" s="9"/>
      <c r="K807" s="9"/>
      <c r="L807" s="9"/>
      <c r="M807" s="9"/>
      <c r="N807" s="9"/>
      <c r="O807" s="9"/>
    </row>
    <row r="808">
      <c r="A808" s="9"/>
      <c r="B808" s="9"/>
      <c r="C808" s="9"/>
      <c r="D808" s="9"/>
      <c r="E808" s="9"/>
      <c r="F808" s="9"/>
      <c r="G808" s="59"/>
      <c r="H808" s="9"/>
      <c r="I808" s="9"/>
      <c r="J808" s="9"/>
      <c r="K808" s="9"/>
      <c r="L808" s="9"/>
      <c r="M808" s="9"/>
      <c r="N808" s="9"/>
      <c r="O808" s="9"/>
    </row>
    <row r="809">
      <c r="A809" s="9"/>
      <c r="B809" s="9"/>
      <c r="C809" s="9"/>
      <c r="D809" s="9"/>
      <c r="E809" s="9"/>
      <c r="F809" s="9"/>
      <c r="G809" s="59"/>
      <c r="H809" s="9"/>
      <c r="I809" s="9"/>
      <c r="J809" s="9"/>
      <c r="K809" s="9"/>
      <c r="L809" s="9"/>
      <c r="M809" s="9"/>
      <c r="N809" s="9"/>
      <c r="O809" s="9"/>
    </row>
    <row r="810">
      <c r="A810" s="9"/>
      <c r="B810" s="9"/>
      <c r="C810" s="9"/>
      <c r="D810" s="9"/>
      <c r="E810" s="9"/>
      <c r="F810" s="9"/>
      <c r="G810" s="59"/>
      <c r="H810" s="9"/>
      <c r="I810" s="9"/>
      <c r="J810" s="9"/>
      <c r="K810" s="9"/>
      <c r="L810" s="9"/>
      <c r="M810" s="9"/>
      <c r="N810" s="9"/>
      <c r="O810" s="9"/>
    </row>
    <row r="811">
      <c r="A811" s="9"/>
      <c r="B811" s="9"/>
      <c r="C811" s="9"/>
      <c r="D811" s="9"/>
      <c r="E811" s="9"/>
      <c r="F811" s="9"/>
      <c r="G811" s="59"/>
      <c r="H811" s="9"/>
      <c r="I811" s="9"/>
      <c r="J811" s="9"/>
      <c r="K811" s="9"/>
      <c r="L811" s="9"/>
      <c r="M811" s="9"/>
      <c r="N811" s="9"/>
      <c r="O811" s="9"/>
    </row>
    <row r="812">
      <c r="A812" s="9"/>
      <c r="B812" s="9"/>
      <c r="C812" s="9"/>
      <c r="D812" s="9"/>
      <c r="E812" s="9"/>
      <c r="F812" s="9"/>
      <c r="G812" s="59"/>
      <c r="H812" s="9"/>
      <c r="I812" s="9"/>
      <c r="J812" s="9"/>
      <c r="K812" s="9"/>
      <c r="L812" s="9"/>
      <c r="M812" s="9"/>
      <c r="N812" s="9"/>
      <c r="O812" s="9"/>
    </row>
    <row r="813">
      <c r="A813" s="9"/>
      <c r="B813" s="9"/>
      <c r="C813" s="9"/>
      <c r="D813" s="9"/>
      <c r="E813" s="9"/>
      <c r="F813" s="9"/>
      <c r="G813" s="59"/>
      <c r="H813" s="9"/>
      <c r="I813" s="9"/>
      <c r="J813" s="9"/>
      <c r="K813" s="9"/>
      <c r="L813" s="9"/>
      <c r="M813" s="9"/>
      <c r="N813" s="9"/>
      <c r="O813" s="9"/>
    </row>
    <row r="814">
      <c r="A814" s="9"/>
      <c r="B814" s="9"/>
      <c r="C814" s="9"/>
      <c r="D814" s="9"/>
      <c r="E814" s="9"/>
      <c r="F814" s="9"/>
      <c r="G814" s="59"/>
      <c r="H814" s="9"/>
      <c r="I814" s="9"/>
      <c r="J814" s="9"/>
      <c r="K814" s="9"/>
      <c r="L814" s="9"/>
      <c r="M814" s="9"/>
      <c r="N814" s="9"/>
      <c r="O814" s="9"/>
    </row>
    <row r="815">
      <c r="A815" s="9"/>
      <c r="B815" s="9"/>
      <c r="C815" s="9"/>
      <c r="D815" s="9"/>
      <c r="E815" s="9"/>
      <c r="F815" s="9"/>
      <c r="G815" s="59"/>
      <c r="H815" s="9"/>
      <c r="I815" s="9"/>
      <c r="J815" s="9"/>
      <c r="K815" s="9"/>
      <c r="L815" s="9"/>
      <c r="M815" s="9"/>
      <c r="N815" s="9"/>
      <c r="O815" s="9"/>
    </row>
    <row r="816">
      <c r="A816" s="9"/>
      <c r="B816" s="9"/>
      <c r="C816" s="9"/>
      <c r="D816" s="9"/>
      <c r="E816" s="9"/>
      <c r="F816" s="9"/>
      <c r="G816" s="59"/>
      <c r="H816" s="9"/>
      <c r="I816" s="9"/>
      <c r="J816" s="9"/>
      <c r="K816" s="9"/>
      <c r="L816" s="9"/>
      <c r="M816" s="9"/>
      <c r="N816" s="9"/>
      <c r="O816" s="9"/>
    </row>
    <row r="817">
      <c r="A817" s="9"/>
      <c r="B817" s="9"/>
      <c r="C817" s="9"/>
      <c r="D817" s="9"/>
      <c r="E817" s="9"/>
      <c r="F817" s="9"/>
      <c r="G817" s="59"/>
      <c r="H817" s="9"/>
      <c r="I817" s="9"/>
      <c r="J817" s="9"/>
      <c r="K817" s="9"/>
      <c r="L817" s="9"/>
      <c r="M817" s="9"/>
      <c r="N817" s="9"/>
      <c r="O817" s="9"/>
    </row>
    <row r="818">
      <c r="A818" s="9"/>
      <c r="B818" s="9"/>
      <c r="C818" s="9"/>
      <c r="D818" s="9"/>
      <c r="E818" s="9"/>
      <c r="F818" s="9"/>
      <c r="G818" s="59"/>
      <c r="H818" s="9"/>
      <c r="I818" s="9"/>
      <c r="J818" s="9"/>
      <c r="K818" s="9"/>
      <c r="L818" s="9"/>
      <c r="M818" s="9"/>
      <c r="N818" s="9"/>
      <c r="O818" s="9"/>
    </row>
    <row r="819">
      <c r="A819" s="9"/>
      <c r="B819" s="9"/>
      <c r="C819" s="9"/>
      <c r="D819" s="9"/>
      <c r="E819" s="9"/>
      <c r="F819" s="9"/>
      <c r="G819" s="59"/>
      <c r="H819" s="9"/>
      <c r="I819" s="9"/>
      <c r="J819" s="9"/>
      <c r="K819" s="9"/>
      <c r="L819" s="9"/>
      <c r="M819" s="9"/>
      <c r="N819" s="9"/>
      <c r="O819" s="9"/>
    </row>
    <row r="820">
      <c r="A820" s="9"/>
      <c r="B820" s="9"/>
      <c r="C820" s="9"/>
      <c r="D820" s="9"/>
      <c r="E820" s="9"/>
      <c r="F820" s="9"/>
      <c r="G820" s="59"/>
      <c r="H820" s="9"/>
      <c r="I820" s="9"/>
      <c r="J820" s="9"/>
      <c r="K820" s="9"/>
      <c r="L820" s="9"/>
      <c r="M820" s="9"/>
      <c r="N820" s="9"/>
      <c r="O820" s="9"/>
    </row>
    <row r="821">
      <c r="A821" s="9"/>
      <c r="B821" s="9"/>
      <c r="C821" s="9"/>
      <c r="D821" s="9"/>
      <c r="E821" s="9"/>
      <c r="F821" s="9"/>
      <c r="G821" s="59"/>
      <c r="H821" s="9"/>
      <c r="I821" s="9"/>
      <c r="J821" s="9"/>
      <c r="K821" s="9"/>
      <c r="L821" s="9"/>
      <c r="M821" s="9"/>
      <c r="N821" s="9"/>
      <c r="O821" s="9"/>
    </row>
    <row r="822">
      <c r="A822" s="9"/>
      <c r="B822" s="9"/>
      <c r="C822" s="9"/>
      <c r="D822" s="9"/>
      <c r="E822" s="9"/>
      <c r="F822" s="9"/>
      <c r="G822" s="59"/>
      <c r="H822" s="9"/>
      <c r="I822" s="9"/>
      <c r="J822" s="9"/>
      <c r="K822" s="9"/>
      <c r="L822" s="9"/>
      <c r="M822" s="9"/>
      <c r="N822" s="9"/>
      <c r="O822" s="9"/>
    </row>
    <row r="823">
      <c r="A823" s="9"/>
      <c r="B823" s="9"/>
      <c r="C823" s="9"/>
      <c r="D823" s="9"/>
      <c r="E823" s="9"/>
      <c r="F823" s="9"/>
      <c r="G823" s="59"/>
      <c r="H823" s="9"/>
      <c r="I823" s="9"/>
      <c r="J823" s="9"/>
      <c r="K823" s="9"/>
      <c r="L823" s="9"/>
      <c r="M823" s="9"/>
      <c r="N823" s="9"/>
      <c r="O823" s="9"/>
    </row>
    <row r="824">
      <c r="A824" s="9"/>
      <c r="B824" s="9"/>
      <c r="C824" s="9"/>
      <c r="D824" s="9"/>
      <c r="E824" s="9"/>
      <c r="F824" s="9"/>
      <c r="G824" s="59"/>
      <c r="H824" s="9"/>
      <c r="I824" s="9"/>
      <c r="J824" s="9"/>
      <c r="K824" s="9"/>
      <c r="L824" s="9"/>
      <c r="M824" s="9"/>
      <c r="N824" s="9"/>
      <c r="O824" s="9"/>
    </row>
    <row r="825">
      <c r="A825" s="9"/>
      <c r="B825" s="9"/>
      <c r="C825" s="9"/>
      <c r="D825" s="9"/>
      <c r="E825" s="9"/>
      <c r="F825" s="9"/>
      <c r="G825" s="59"/>
      <c r="H825" s="9"/>
      <c r="I825" s="9"/>
      <c r="J825" s="9"/>
      <c r="K825" s="9"/>
      <c r="L825" s="9"/>
      <c r="M825" s="9"/>
      <c r="N825" s="9"/>
      <c r="O825" s="9"/>
    </row>
    <row r="826">
      <c r="A826" s="9"/>
      <c r="B826" s="9"/>
      <c r="C826" s="9"/>
      <c r="D826" s="9"/>
      <c r="E826" s="9"/>
      <c r="F826" s="9"/>
      <c r="G826" s="59"/>
      <c r="H826" s="9"/>
      <c r="I826" s="9"/>
      <c r="J826" s="9"/>
      <c r="K826" s="9"/>
      <c r="L826" s="9"/>
      <c r="M826" s="9"/>
      <c r="N826" s="9"/>
      <c r="O826" s="9"/>
    </row>
    <row r="827">
      <c r="A827" s="9"/>
      <c r="B827" s="9"/>
      <c r="C827" s="9"/>
      <c r="D827" s="9"/>
      <c r="E827" s="9"/>
      <c r="F827" s="9"/>
      <c r="G827" s="59"/>
      <c r="H827" s="9"/>
      <c r="I827" s="9"/>
      <c r="J827" s="9"/>
      <c r="K827" s="9"/>
      <c r="L827" s="9"/>
      <c r="M827" s="9"/>
      <c r="N827" s="9"/>
      <c r="O827" s="9"/>
    </row>
    <row r="828">
      <c r="A828" s="9"/>
      <c r="B828" s="9"/>
      <c r="C828" s="9"/>
      <c r="D828" s="9"/>
      <c r="E828" s="9"/>
      <c r="F828" s="9"/>
      <c r="G828" s="59"/>
      <c r="H828" s="9"/>
      <c r="I828" s="9"/>
      <c r="J828" s="9"/>
      <c r="K828" s="9"/>
      <c r="L828" s="9"/>
      <c r="M828" s="9"/>
      <c r="N828" s="9"/>
      <c r="O828" s="9"/>
    </row>
    <row r="829">
      <c r="A829" s="9"/>
      <c r="B829" s="9"/>
      <c r="C829" s="9"/>
      <c r="D829" s="9"/>
      <c r="E829" s="9"/>
      <c r="F829" s="9"/>
      <c r="G829" s="59"/>
      <c r="H829" s="9"/>
      <c r="I829" s="9"/>
      <c r="J829" s="9"/>
      <c r="K829" s="9"/>
      <c r="L829" s="9"/>
      <c r="M829" s="9"/>
      <c r="N829" s="9"/>
      <c r="O829" s="9"/>
    </row>
    <row r="830">
      <c r="A830" s="9"/>
      <c r="B830" s="9"/>
      <c r="C830" s="9"/>
      <c r="D830" s="9"/>
      <c r="E830" s="9"/>
      <c r="F830" s="9"/>
      <c r="G830" s="59"/>
      <c r="H830" s="9"/>
      <c r="I830" s="9"/>
      <c r="J830" s="9"/>
      <c r="K830" s="9"/>
      <c r="L830" s="9"/>
      <c r="M830" s="9"/>
      <c r="N830" s="9"/>
      <c r="O830" s="9"/>
    </row>
    <row r="831">
      <c r="A831" s="9"/>
      <c r="B831" s="9"/>
      <c r="C831" s="9"/>
      <c r="D831" s="9"/>
      <c r="E831" s="9"/>
      <c r="F831" s="9"/>
      <c r="G831" s="59"/>
      <c r="H831" s="9"/>
      <c r="I831" s="9"/>
      <c r="J831" s="9"/>
      <c r="K831" s="9"/>
      <c r="L831" s="9"/>
      <c r="M831" s="9"/>
      <c r="N831" s="9"/>
      <c r="O831" s="9"/>
    </row>
    <row r="832">
      <c r="A832" s="9"/>
      <c r="B832" s="9"/>
      <c r="C832" s="9"/>
      <c r="D832" s="9"/>
      <c r="E832" s="9"/>
      <c r="F832" s="9"/>
      <c r="G832" s="59"/>
      <c r="H832" s="9"/>
      <c r="I832" s="9"/>
      <c r="J832" s="9"/>
      <c r="K832" s="9"/>
      <c r="L832" s="9"/>
      <c r="M832" s="9"/>
      <c r="N832" s="9"/>
      <c r="O832" s="9"/>
    </row>
    <row r="833">
      <c r="A833" s="9"/>
      <c r="B833" s="9"/>
      <c r="C833" s="9"/>
      <c r="D833" s="9"/>
      <c r="E833" s="9"/>
      <c r="F833" s="9"/>
      <c r="G833" s="59"/>
      <c r="H833" s="9"/>
      <c r="I833" s="9"/>
      <c r="J833" s="9"/>
      <c r="K833" s="9"/>
      <c r="L833" s="9"/>
      <c r="M833" s="9"/>
      <c r="N833" s="9"/>
      <c r="O833" s="9"/>
    </row>
    <row r="834">
      <c r="A834" s="9"/>
      <c r="B834" s="9"/>
      <c r="C834" s="9"/>
      <c r="D834" s="9"/>
      <c r="E834" s="9"/>
      <c r="F834" s="9"/>
      <c r="G834" s="59"/>
      <c r="H834" s="9"/>
      <c r="I834" s="9"/>
      <c r="J834" s="9"/>
      <c r="K834" s="9"/>
      <c r="L834" s="9"/>
      <c r="M834" s="9"/>
      <c r="N834" s="9"/>
      <c r="O834" s="9"/>
    </row>
    <row r="835">
      <c r="A835" s="9"/>
      <c r="B835" s="9"/>
      <c r="C835" s="9"/>
      <c r="D835" s="9"/>
      <c r="E835" s="9"/>
      <c r="F835" s="9"/>
      <c r="G835" s="59"/>
      <c r="H835" s="9"/>
      <c r="I835" s="9"/>
      <c r="J835" s="9"/>
      <c r="K835" s="9"/>
      <c r="L835" s="9"/>
      <c r="M835" s="9"/>
      <c r="N835" s="9"/>
      <c r="O835" s="9"/>
    </row>
    <row r="836">
      <c r="A836" s="9"/>
      <c r="B836" s="9"/>
      <c r="C836" s="9"/>
      <c r="D836" s="9"/>
      <c r="E836" s="9"/>
      <c r="F836" s="9"/>
      <c r="G836" s="59"/>
      <c r="H836" s="9"/>
      <c r="I836" s="9"/>
      <c r="J836" s="9"/>
      <c r="K836" s="9"/>
      <c r="L836" s="9"/>
      <c r="M836" s="9"/>
      <c r="N836" s="9"/>
      <c r="O836" s="9"/>
    </row>
    <row r="837">
      <c r="A837" s="9"/>
      <c r="B837" s="9"/>
      <c r="C837" s="9"/>
      <c r="D837" s="9"/>
      <c r="E837" s="9"/>
      <c r="F837" s="9"/>
      <c r="G837" s="59"/>
      <c r="H837" s="9"/>
      <c r="I837" s="9"/>
      <c r="J837" s="9"/>
      <c r="K837" s="9"/>
      <c r="L837" s="9"/>
      <c r="M837" s="9"/>
      <c r="N837" s="9"/>
      <c r="O837" s="9"/>
    </row>
    <row r="838">
      <c r="A838" s="9"/>
      <c r="B838" s="9"/>
      <c r="C838" s="9"/>
      <c r="D838" s="9"/>
      <c r="E838" s="9"/>
      <c r="F838" s="9"/>
      <c r="G838" s="59"/>
      <c r="H838" s="9"/>
      <c r="I838" s="9"/>
      <c r="J838" s="9"/>
      <c r="K838" s="9"/>
      <c r="L838" s="9"/>
      <c r="M838" s="9"/>
      <c r="N838" s="9"/>
      <c r="O838" s="9"/>
    </row>
    <row r="839">
      <c r="A839" s="9"/>
      <c r="B839" s="9"/>
      <c r="C839" s="9"/>
      <c r="D839" s="9"/>
      <c r="E839" s="9"/>
      <c r="F839" s="9"/>
      <c r="G839" s="59"/>
      <c r="H839" s="9"/>
      <c r="I839" s="9"/>
      <c r="J839" s="9"/>
      <c r="K839" s="9"/>
      <c r="L839" s="9"/>
      <c r="M839" s="9"/>
      <c r="N839" s="9"/>
      <c r="O839" s="9"/>
    </row>
    <row r="840">
      <c r="A840" s="9"/>
      <c r="B840" s="9"/>
      <c r="C840" s="9"/>
      <c r="D840" s="9"/>
      <c r="E840" s="9"/>
      <c r="F840" s="9"/>
      <c r="G840" s="59"/>
      <c r="H840" s="9"/>
      <c r="I840" s="9"/>
      <c r="J840" s="9"/>
      <c r="K840" s="9"/>
      <c r="L840" s="9"/>
      <c r="M840" s="9"/>
      <c r="N840" s="9"/>
      <c r="O840" s="9"/>
    </row>
    <row r="841">
      <c r="A841" s="9"/>
      <c r="B841" s="9"/>
      <c r="C841" s="9"/>
      <c r="D841" s="9"/>
      <c r="E841" s="9"/>
      <c r="F841" s="9"/>
      <c r="G841" s="59"/>
      <c r="H841" s="9"/>
      <c r="I841" s="9"/>
      <c r="J841" s="9"/>
      <c r="K841" s="9"/>
      <c r="L841" s="9"/>
      <c r="M841" s="9"/>
      <c r="N841" s="9"/>
      <c r="O841" s="9"/>
    </row>
    <row r="842">
      <c r="A842" s="9"/>
      <c r="B842" s="9"/>
      <c r="C842" s="9"/>
      <c r="D842" s="9"/>
      <c r="E842" s="9"/>
      <c r="F842" s="9"/>
      <c r="G842" s="59"/>
      <c r="H842" s="9"/>
      <c r="I842" s="9"/>
      <c r="J842" s="9"/>
      <c r="K842" s="9"/>
      <c r="L842" s="9"/>
      <c r="M842" s="9"/>
      <c r="N842" s="9"/>
      <c r="O842" s="9"/>
    </row>
    <row r="843">
      <c r="A843" s="9"/>
      <c r="B843" s="9"/>
      <c r="C843" s="9"/>
      <c r="D843" s="9"/>
      <c r="E843" s="9"/>
      <c r="F843" s="9"/>
      <c r="G843" s="59"/>
      <c r="H843" s="9"/>
      <c r="I843" s="9"/>
      <c r="J843" s="9"/>
      <c r="K843" s="9"/>
      <c r="L843" s="9"/>
      <c r="M843" s="9"/>
      <c r="N843" s="9"/>
      <c r="O843" s="9"/>
    </row>
    <row r="844">
      <c r="A844" s="9"/>
      <c r="B844" s="9"/>
      <c r="C844" s="9"/>
      <c r="D844" s="9"/>
      <c r="E844" s="9"/>
      <c r="F844" s="9"/>
      <c r="G844" s="59"/>
      <c r="H844" s="9"/>
      <c r="I844" s="9"/>
      <c r="J844" s="9"/>
      <c r="K844" s="9"/>
      <c r="L844" s="9"/>
      <c r="M844" s="9"/>
      <c r="N844" s="9"/>
      <c r="O844" s="9"/>
    </row>
    <row r="845">
      <c r="A845" s="9"/>
      <c r="B845" s="9"/>
      <c r="C845" s="9"/>
      <c r="D845" s="9"/>
      <c r="E845" s="9"/>
      <c r="F845" s="9"/>
      <c r="G845" s="59"/>
      <c r="H845" s="9"/>
      <c r="I845" s="9"/>
      <c r="J845" s="9"/>
      <c r="K845" s="9"/>
      <c r="L845" s="9"/>
      <c r="M845" s="9"/>
      <c r="N845" s="9"/>
      <c r="O845" s="9"/>
    </row>
    <row r="846">
      <c r="A846" s="9"/>
      <c r="B846" s="9"/>
      <c r="C846" s="9"/>
      <c r="D846" s="9"/>
      <c r="E846" s="9"/>
      <c r="F846" s="9"/>
      <c r="G846" s="59"/>
      <c r="H846" s="9"/>
      <c r="I846" s="9"/>
      <c r="J846" s="9"/>
      <c r="K846" s="9"/>
      <c r="L846" s="9"/>
      <c r="M846" s="9"/>
      <c r="N846" s="9"/>
      <c r="O846" s="9"/>
    </row>
    <row r="847">
      <c r="A847" s="9"/>
      <c r="B847" s="9"/>
      <c r="C847" s="9"/>
      <c r="D847" s="9"/>
      <c r="E847" s="9"/>
      <c r="F847" s="9"/>
      <c r="G847" s="59"/>
      <c r="H847" s="9"/>
      <c r="I847" s="9"/>
      <c r="J847" s="9"/>
      <c r="K847" s="9"/>
      <c r="L847" s="9"/>
      <c r="M847" s="9"/>
      <c r="N847" s="9"/>
      <c r="O847" s="9"/>
    </row>
    <row r="848">
      <c r="A848" s="9"/>
      <c r="B848" s="9"/>
      <c r="C848" s="9"/>
      <c r="D848" s="9"/>
      <c r="E848" s="9"/>
      <c r="F848" s="9"/>
      <c r="G848" s="59"/>
      <c r="H848" s="9"/>
      <c r="I848" s="9"/>
      <c r="J848" s="9"/>
      <c r="K848" s="9"/>
      <c r="L848" s="9"/>
      <c r="M848" s="9"/>
      <c r="N848" s="9"/>
      <c r="O848" s="9"/>
    </row>
    <row r="849">
      <c r="A849" s="9"/>
      <c r="B849" s="9"/>
      <c r="C849" s="9"/>
      <c r="D849" s="9"/>
      <c r="E849" s="9"/>
      <c r="F849" s="9"/>
      <c r="G849" s="59"/>
      <c r="H849" s="9"/>
      <c r="I849" s="9"/>
      <c r="J849" s="9"/>
      <c r="K849" s="9"/>
      <c r="L849" s="9"/>
      <c r="M849" s="9"/>
      <c r="N849" s="9"/>
      <c r="O849" s="9"/>
    </row>
    <row r="850">
      <c r="A850" s="9"/>
      <c r="B850" s="9"/>
      <c r="C850" s="9"/>
      <c r="D850" s="9"/>
      <c r="E850" s="9"/>
      <c r="F850" s="9"/>
      <c r="G850" s="59"/>
      <c r="H850" s="9"/>
      <c r="I850" s="9"/>
      <c r="J850" s="9"/>
      <c r="K850" s="9"/>
      <c r="L850" s="9"/>
      <c r="M850" s="9"/>
      <c r="N850" s="9"/>
      <c r="O850" s="9"/>
    </row>
    <row r="851">
      <c r="A851" s="9"/>
      <c r="B851" s="9"/>
      <c r="C851" s="9"/>
      <c r="D851" s="9"/>
      <c r="E851" s="9"/>
      <c r="F851" s="9"/>
      <c r="G851" s="59"/>
      <c r="H851" s="9"/>
      <c r="I851" s="9"/>
      <c r="J851" s="9"/>
      <c r="K851" s="9"/>
      <c r="L851" s="9"/>
      <c r="M851" s="9"/>
      <c r="N851" s="9"/>
      <c r="O851" s="9"/>
    </row>
    <row r="852">
      <c r="A852" s="9"/>
      <c r="B852" s="9"/>
      <c r="C852" s="9"/>
      <c r="D852" s="9"/>
      <c r="E852" s="9"/>
      <c r="F852" s="9"/>
      <c r="G852" s="59"/>
      <c r="H852" s="9"/>
      <c r="I852" s="9"/>
      <c r="J852" s="9"/>
      <c r="K852" s="9"/>
      <c r="L852" s="9"/>
      <c r="M852" s="9"/>
      <c r="N852" s="9"/>
      <c r="O852" s="9"/>
    </row>
    <row r="853">
      <c r="A853" s="9"/>
      <c r="B853" s="9"/>
      <c r="C853" s="9"/>
      <c r="D853" s="9"/>
      <c r="E853" s="9"/>
      <c r="F853" s="9"/>
      <c r="G853" s="59"/>
      <c r="H853" s="9"/>
      <c r="I853" s="9"/>
      <c r="J853" s="9"/>
      <c r="K853" s="9"/>
      <c r="L853" s="9"/>
      <c r="M853" s="9"/>
      <c r="N853" s="9"/>
      <c r="O853" s="9"/>
    </row>
    <row r="854">
      <c r="A854" s="9"/>
      <c r="B854" s="9"/>
      <c r="C854" s="9"/>
      <c r="D854" s="9"/>
      <c r="E854" s="9"/>
      <c r="F854" s="9"/>
      <c r="G854" s="59"/>
      <c r="H854" s="9"/>
      <c r="I854" s="9"/>
      <c r="J854" s="9"/>
      <c r="K854" s="9"/>
      <c r="L854" s="9"/>
      <c r="M854" s="9"/>
      <c r="N854" s="9"/>
      <c r="O854" s="9"/>
    </row>
    <row r="855">
      <c r="A855" s="9"/>
      <c r="B855" s="9"/>
      <c r="C855" s="9"/>
      <c r="D855" s="9"/>
      <c r="E855" s="9"/>
      <c r="F855" s="9"/>
      <c r="G855" s="59"/>
      <c r="H855" s="9"/>
      <c r="I855" s="9"/>
      <c r="J855" s="9"/>
      <c r="K855" s="9"/>
      <c r="L855" s="9"/>
      <c r="M855" s="9"/>
      <c r="N855" s="9"/>
      <c r="O855" s="9"/>
    </row>
    <row r="856">
      <c r="A856" s="9"/>
      <c r="B856" s="9"/>
      <c r="C856" s="9"/>
      <c r="D856" s="9"/>
      <c r="E856" s="9"/>
      <c r="F856" s="9"/>
      <c r="G856" s="59"/>
      <c r="H856" s="9"/>
      <c r="I856" s="9"/>
      <c r="J856" s="9"/>
      <c r="K856" s="9"/>
      <c r="L856" s="9"/>
      <c r="M856" s="9"/>
      <c r="N856" s="9"/>
      <c r="O856" s="9"/>
    </row>
    <row r="857">
      <c r="A857" s="9"/>
      <c r="B857" s="9"/>
      <c r="C857" s="9"/>
      <c r="D857" s="9"/>
      <c r="E857" s="9"/>
      <c r="F857" s="9"/>
      <c r="G857" s="59"/>
      <c r="H857" s="9"/>
      <c r="I857" s="9"/>
      <c r="J857" s="9"/>
      <c r="K857" s="9"/>
      <c r="L857" s="9"/>
      <c r="M857" s="9"/>
      <c r="N857" s="9"/>
      <c r="O857" s="9"/>
    </row>
    <row r="858">
      <c r="A858" s="9"/>
      <c r="B858" s="9"/>
      <c r="C858" s="9"/>
      <c r="D858" s="9"/>
      <c r="E858" s="9"/>
      <c r="F858" s="9"/>
      <c r="G858" s="59"/>
      <c r="H858" s="9"/>
      <c r="I858" s="9"/>
      <c r="J858" s="9"/>
      <c r="K858" s="9"/>
      <c r="L858" s="9"/>
      <c r="M858" s="9"/>
      <c r="N858" s="9"/>
      <c r="O858" s="9"/>
    </row>
    <row r="859">
      <c r="A859" s="9"/>
      <c r="B859" s="9"/>
      <c r="C859" s="9"/>
      <c r="D859" s="9"/>
      <c r="E859" s="9"/>
      <c r="F859" s="9"/>
      <c r="G859" s="59"/>
      <c r="H859" s="9"/>
      <c r="I859" s="9"/>
      <c r="J859" s="9"/>
      <c r="K859" s="9"/>
      <c r="L859" s="9"/>
      <c r="M859" s="9"/>
      <c r="N859" s="9"/>
      <c r="O859" s="9"/>
    </row>
    <row r="860">
      <c r="A860" s="9"/>
      <c r="B860" s="9"/>
      <c r="C860" s="9"/>
      <c r="D860" s="9"/>
      <c r="E860" s="9"/>
      <c r="F860" s="9"/>
      <c r="G860" s="59"/>
      <c r="H860" s="9"/>
      <c r="I860" s="9"/>
      <c r="J860" s="9"/>
      <c r="K860" s="9"/>
      <c r="L860" s="9"/>
      <c r="M860" s="9"/>
      <c r="N860" s="9"/>
      <c r="O860" s="9"/>
    </row>
    <row r="861">
      <c r="A861" s="9"/>
      <c r="B861" s="9"/>
      <c r="C861" s="9"/>
      <c r="D861" s="9"/>
      <c r="E861" s="9"/>
      <c r="F861" s="9"/>
      <c r="G861" s="59"/>
      <c r="H861" s="9"/>
      <c r="I861" s="9"/>
      <c r="J861" s="9"/>
      <c r="K861" s="9"/>
      <c r="L861" s="9"/>
      <c r="M861" s="9"/>
      <c r="N861" s="9"/>
      <c r="O861" s="9"/>
    </row>
    <row r="862">
      <c r="A862" s="9"/>
      <c r="B862" s="9"/>
      <c r="C862" s="9"/>
      <c r="D862" s="9"/>
      <c r="E862" s="9"/>
      <c r="F862" s="9"/>
      <c r="G862" s="59"/>
      <c r="H862" s="9"/>
      <c r="I862" s="9"/>
      <c r="J862" s="9"/>
      <c r="K862" s="9"/>
      <c r="L862" s="9"/>
      <c r="M862" s="9"/>
      <c r="N862" s="9"/>
      <c r="O862" s="9"/>
    </row>
    <row r="863">
      <c r="A863" s="9"/>
      <c r="B863" s="9"/>
      <c r="C863" s="9"/>
      <c r="D863" s="9"/>
      <c r="E863" s="9"/>
      <c r="F863" s="9"/>
      <c r="G863" s="59"/>
      <c r="H863" s="9"/>
      <c r="I863" s="9"/>
      <c r="J863" s="9"/>
      <c r="K863" s="9"/>
      <c r="L863" s="9"/>
      <c r="M863" s="9"/>
      <c r="N863" s="9"/>
      <c r="O863" s="9"/>
    </row>
    <row r="864">
      <c r="A864" s="9"/>
      <c r="B864" s="9"/>
      <c r="C864" s="9"/>
      <c r="D864" s="9"/>
      <c r="E864" s="9"/>
      <c r="F864" s="9"/>
      <c r="G864" s="59"/>
      <c r="H864" s="9"/>
      <c r="I864" s="9"/>
      <c r="J864" s="9"/>
      <c r="K864" s="9"/>
      <c r="L864" s="9"/>
      <c r="M864" s="9"/>
      <c r="N864" s="9"/>
      <c r="O864" s="9"/>
    </row>
    <row r="865">
      <c r="A865" s="9"/>
      <c r="B865" s="9"/>
      <c r="C865" s="9"/>
      <c r="D865" s="9"/>
      <c r="E865" s="9"/>
      <c r="F865" s="9"/>
      <c r="G865" s="59"/>
      <c r="H865" s="9"/>
      <c r="I865" s="9"/>
      <c r="J865" s="9"/>
      <c r="K865" s="9"/>
      <c r="L865" s="9"/>
      <c r="M865" s="9"/>
      <c r="N865" s="9"/>
      <c r="O865" s="9"/>
    </row>
    <row r="866">
      <c r="A866" s="9"/>
      <c r="B866" s="9"/>
      <c r="C866" s="9"/>
      <c r="D866" s="9"/>
      <c r="E866" s="9"/>
      <c r="F866" s="9"/>
      <c r="G866" s="59"/>
      <c r="H866" s="9"/>
      <c r="I866" s="9"/>
      <c r="J866" s="9"/>
      <c r="K866" s="9"/>
      <c r="L866" s="9"/>
      <c r="M866" s="9"/>
      <c r="N866" s="9"/>
      <c r="O866" s="9"/>
    </row>
    <row r="867">
      <c r="A867" s="9"/>
      <c r="B867" s="9"/>
      <c r="C867" s="9"/>
      <c r="D867" s="9"/>
      <c r="E867" s="9"/>
      <c r="F867" s="9"/>
      <c r="G867" s="59"/>
      <c r="H867" s="9"/>
      <c r="I867" s="9"/>
      <c r="J867" s="9"/>
      <c r="K867" s="9"/>
      <c r="L867" s="9"/>
      <c r="M867" s="9"/>
      <c r="N867" s="9"/>
      <c r="O867" s="9"/>
    </row>
    <row r="868">
      <c r="A868" s="9"/>
      <c r="B868" s="9"/>
      <c r="C868" s="9"/>
      <c r="D868" s="9"/>
      <c r="E868" s="9"/>
      <c r="F868" s="9"/>
      <c r="G868" s="59"/>
      <c r="H868" s="9"/>
      <c r="I868" s="9"/>
      <c r="J868" s="9"/>
      <c r="K868" s="9"/>
      <c r="L868" s="9"/>
      <c r="M868" s="9"/>
      <c r="N868" s="9"/>
      <c r="O868" s="9"/>
    </row>
    <row r="869">
      <c r="A869" s="9"/>
      <c r="B869" s="9"/>
      <c r="C869" s="9"/>
      <c r="D869" s="9"/>
      <c r="E869" s="9"/>
      <c r="F869" s="9"/>
      <c r="G869" s="59"/>
      <c r="H869" s="9"/>
      <c r="I869" s="9"/>
      <c r="J869" s="9"/>
      <c r="K869" s="9"/>
      <c r="L869" s="9"/>
      <c r="M869" s="9"/>
      <c r="N869" s="9"/>
      <c r="O869" s="9"/>
    </row>
    <row r="870">
      <c r="A870" s="9"/>
      <c r="B870" s="9"/>
      <c r="C870" s="9"/>
      <c r="D870" s="9"/>
      <c r="E870" s="9"/>
      <c r="F870" s="9"/>
      <c r="G870" s="59"/>
      <c r="H870" s="9"/>
      <c r="I870" s="9"/>
      <c r="J870" s="9"/>
      <c r="K870" s="9"/>
      <c r="L870" s="9"/>
      <c r="M870" s="9"/>
      <c r="N870" s="9"/>
      <c r="O870" s="9"/>
    </row>
    <row r="871">
      <c r="A871" s="9"/>
      <c r="B871" s="9"/>
      <c r="C871" s="9"/>
      <c r="D871" s="9"/>
      <c r="E871" s="9"/>
      <c r="F871" s="9"/>
      <c r="G871" s="59"/>
      <c r="H871" s="9"/>
      <c r="I871" s="9"/>
      <c r="J871" s="9"/>
      <c r="K871" s="9"/>
      <c r="L871" s="9"/>
      <c r="M871" s="9"/>
      <c r="N871" s="9"/>
      <c r="O871" s="9"/>
    </row>
    <row r="872">
      <c r="A872" s="9"/>
      <c r="B872" s="9"/>
      <c r="C872" s="9"/>
      <c r="D872" s="9"/>
      <c r="E872" s="9"/>
      <c r="F872" s="9"/>
      <c r="G872" s="59"/>
      <c r="H872" s="9"/>
      <c r="I872" s="9"/>
      <c r="J872" s="9"/>
      <c r="K872" s="9"/>
      <c r="L872" s="9"/>
      <c r="M872" s="9"/>
      <c r="N872" s="9"/>
      <c r="O872" s="9"/>
    </row>
    <row r="873">
      <c r="A873" s="9"/>
      <c r="B873" s="9"/>
      <c r="C873" s="9"/>
      <c r="D873" s="9"/>
      <c r="E873" s="9"/>
      <c r="F873" s="9"/>
      <c r="G873" s="59"/>
      <c r="H873" s="9"/>
      <c r="I873" s="9"/>
      <c r="J873" s="9"/>
      <c r="K873" s="9"/>
      <c r="L873" s="9"/>
      <c r="M873" s="9"/>
      <c r="N873" s="9"/>
      <c r="O873" s="9"/>
    </row>
    <row r="874">
      <c r="A874" s="9"/>
      <c r="B874" s="9"/>
      <c r="C874" s="9"/>
      <c r="D874" s="9"/>
      <c r="E874" s="9"/>
      <c r="F874" s="9"/>
      <c r="G874" s="59"/>
      <c r="H874" s="9"/>
      <c r="I874" s="9"/>
      <c r="J874" s="9"/>
      <c r="K874" s="9"/>
      <c r="L874" s="9"/>
      <c r="M874" s="9"/>
      <c r="N874" s="9"/>
      <c r="O874" s="9"/>
    </row>
    <row r="875">
      <c r="A875" s="9"/>
      <c r="B875" s="9"/>
      <c r="C875" s="9"/>
      <c r="D875" s="9"/>
      <c r="E875" s="9"/>
      <c r="F875" s="9"/>
      <c r="G875" s="59"/>
      <c r="H875" s="9"/>
      <c r="I875" s="9"/>
      <c r="J875" s="9"/>
      <c r="K875" s="9"/>
      <c r="L875" s="9"/>
      <c r="M875" s="9"/>
      <c r="N875" s="9"/>
      <c r="O875" s="9"/>
    </row>
    <row r="876">
      <c r="A876" s="9"/>
      <c r="B876" s="9"/>
      <c r="C876" s="9"/>
      <c r="D876" s="9"/>
      <c r="E876" s="9"/>
      <c r="F876" s="9"/>
      <c r="G876" s="59"/>
      <c r="H876" s="9"/>
      <c r="I876" s="9"/>
      <c r="J876" s="9"/>
      <c r="K876" s="9"/>
      <c r="L876" s="9"/>
      <c r="M876" s="9"/>
      <c r="N876" s="9"/>
      <c r="O876" s="9"/>
    </row>
    <row r="877">
      <c r="A877" s="9"/>
      <c r="B877" s="9"/>
      <c r="C877" s="9"/>
      <c r="D877" s="9"/>
      <c r="E877" s="9"/>
      <c r="F877" s="9"/>
      <c r="G877" s="59"/>
      <c r="H877" s="9"/>
      <c r="I877" s="9"/>
      <c r="J877" s="9"/>
      <c r="K877" s="9"/>
      <c r="L877" s="9"/>
      <c r="M877" s="9"/>
      <c r="N877" s="9"/>
      <c r="O877" s="9"/>
    </row>
    <row r="878">
      <c r="A878" s="9"/>
      <c r="B878" s="9"/>
      <c r="C878" s="9"/>
      <c r="D878" s="9"/>
      <c r="E878" s="9"/>
      <c r="F878" s="9"/>
      <c r="G878" s="59"/>
      <c r="H878" s="9"/>
      <c r="I878" s="9"/>
      <c r="J878" s="9"/>
      <c r="K878" s="9"/>
      <c r="L878" s="9"/>
      <c r="M878" s="9"/>
      <c r="N878" s="9"/>
      <c r="O878" s="9"/>
    </row>
    <row r="879">
      <c r="A879" s="9"/>
      <c r="B879" s="9"/>
      <c r="C879" s="9"/>
      <c r="D879" s="9"/>
      <c r="E879" s="9"/>
      <c r="F879" s="9"/>
      <c r="G879" s="59"/>
      <c r="H879" s="9"/>
      <c r="I879" s="9"/>
      <c r="J879" s="9"/>
      <c r="K879" s="9"/>
      <c r="L879" s="9"/>
      <c r="M879" s="9"/>
      <c r="N879" s="9"/>
      <c r="O879" s="9"/>
    </row>
    <row r="880">
      <c r="A880" s="9"/>
      <c r="B880" s="9"/>
      <c r="C880" s="9"/>
      <c r="D880" s="9"/>
      <c r="E880" s="9"/>
      <c r="F880" s="9"/>
      <c r="G880" s="59"/>
      <c r="H880" s="9"/>
      <c r="I880" s="9"/>
      <c r="J880" s="9"/>
      <c r="K880" s="9"/>
      <c r="L880" s="9"/>
      <c r="M880" s="9"/>
      <c r="N880" s="9"/>
      <c r="O880" s="9"/>
    </row>
    <row r="881">
      <c r="A881" s="9"/>
      <c r="B881" s="9"/>
      <c r="C881" s="9"/>
      <c r="D881" s="9"/>
      <c r="E881" s="9"/>
      <c r="F881" s="9"/>
      <c r="G881" s="59"/>
      <c r="H881" s="9"/>
      <c r="I881" s="9"/>
      <c r="J881" s="9"/>
      <c r="K881" s="9"/>
      <c r="L881" s="9"/>
      <c r="M881" s="9"/>
      <c r="N881" s="9"/>
      <c r="O881" s="9"/>
    </row>
    <row r="882">
      <c r="A882" s="9"/>
      <c r="B882" s="9"/>
      <c r="C882" s="9"/>
      <c r="D882" s="9"/>
      <c r="E882" s="9"/>
      <c r="F882" s="9"/>
      <c r="G882" s="59"/>
      <c r="H882" s="9"/>
      <c r="I882" s="9"/>
      <c r="J882" s="9"/>
      <c r="K882" s="9"/>
      <c r="L882" s="9"/>
      <c r="M882" s="9"/>
      <c r="N882" s="9"/>
      <c r="O882" s="9"/>
    </row>
    <row r="883">
      <c r="A883" s="9"/>
      <c r="B883" s="9"/>
      <c r="C883" s="9"/>
      <c r="D883" s="9"/>
      <c r="E883" s="9"/>
      <c r="F883" s="9"/>
      <c r="G883" s="59"/>
      <c r="H883" s="9"/>
      <c r="I883" s="9"/>
      <c r="J883" s="9"/>
      <c r="K883" s="9"/>
      <c r="L883" s="9"/>
      <c r="M883" s="9"/>
      <c r="N883" s="9"/>
      <c r="O883" s="9"/>
    </row>
    <row r="884">
      <c r="A884" s="9"/>
      <c r="B884" s="9"/>
      <c r="C884" s="9"/>
      <c r="D884" s="9"/>
      <c r="E884" s="9"/>
      <c r="F884" s="9"/>
      <c r="G884" s="59"/>
      <c r="H884" s="9"/>
      <c r="I884" s="9"/>
      <c r="J884" s="9"/>
      <c r="K884" s="9"/>
      <c r="L884" s="9"/>
      <c r="M884" s="9"/>
      <c r="N884" s="9"/>
      <c r="O884" s="9"/>
    </row>
    <row r="885">
      <c r="A885" s="9"/>
      <c r="B885" s="9"/>
      <c r="C885" s="9"/>
      <c r="D885" s="9"/>
      <c r="E885" s="9"/>
      <c r="F885" s="9"/>
      <c r="G885" s="59"/>
      <c r="H885" s="9"/>
      <c r="I885" s="9"/>
      <c r="J885" s="9"/>
      <c r="K885" s="9"/>
      <c r="L885" s="9"/>
      <c r="M885" s="9"/>
      <c r="N885" s="9"/>
      <c r="O885" s="9"/>
    </row>
    <row r="886">
      <c r="A886" s="9"/>
      <c r="B886" s="9"/>
      <c r="C886" s="9"/>
      <c r="D886" s="9"/>
      <c r="E886" s="9"/>
      <c r="F886" s="9"/>
      <c r="G886" s="59"/>
      <c r="H886" s="9"/>
      <c r="I886" s="9"/>
      <c r="J886" s="9"/>
      <c r="K886" s="9"/>
      <c r="L886" s="9"/>
      <c r="M886" s="9"/>
      <c r="N886" s="9"/>
      <c r="O886" s="9"/>
    </row>
    <row r="887">
      <c r="A887" s="9"/>
      <c r="B887" s="9"/>
      <c r="C887" s="9"/>
      <c r="D887" s="9"/>
      <c r="E887" s="9"/>
      <c r="F887" s="9"/>
      <c r="G887" s="59"/>
      <c r="H887" s="9"/>
      <c r="I887" s="9"/>
      <c r="J887" s="9"/>
      <c r="K887" s="9"/>
      <c r="L887" s="9"/>
      <c r="M887" s="9"/>
      <c r="N887" s="9"/>
      <c r="O887" s="9"/>
    </row>
    <row r="888">
      <c r="A888" s="9"/>
      <c r="B888" s="9"/>
      <c r="C888" s="9"/>
      <c r="D888" s="9"/>
      <c r="E888" s="9"/>
      <c r="F888" s="9"/>
      <c r="G888" s="59"/>
      <c r="H888" s="9"/>
      <c r="I888" s="9"/>
      <c r="J888" s="9"/>
      <c r="K888" s="9"/>
      <c r="L888" s="9"/>
      <c r="M888" s="9"/>
      <c r="N888" s="9"/>
      <c r="O888" s="9"/>
    </row>
    <row r="889">
      <c r="A889" s="9"/>
      <c r="B889" s="9"/>
      <c r="C889" s="9"/>
      <c r="D889" s="9"/>
      <c r="E889" s="9"/>
      <c r="F889" s="9"/>
      <c r="G889" s="59"/>
      <c r="H889" s="9"/>
      <c r="I889" s="9"/>
      <c r="J889" s="9"/>
      <c r="K889" s="9"/>
      <c r="L889" s="9"/>
      <c r="M889" s="9"/>
      <c r="N889" s="9"/>
      <c r="O889" s="9"/>
    </row>
    <row r="890">
      <c r="A890" s="9"/>
      <c r="B890" s="9"/>
      <c r="C890" s="9"/>
      <c r="D890" s="9"/>
      <c r="E890" s="9"/>
      <c r="F890" s="9"/>
      <c r="G890" s="59"/>
      <c r="H890" s="9"/>
      <c r="I890" s="9"/>
      <c r="J890" s="9"/>
      <c r="K890" s="9"/>
      <c r="L890" s="9"/>
      <c r="M890" s="9"/>
      <c r="N890" s="9"/>
      <c r="O890" s="9"/>
    </row>
    <row r="891">
      <c r="A891" s="9"/>
      <c r="B891" s="9"/>
      <c r="C891" s="9"/>
      <c r="D891" s="9"/>
      <c r="E891" s="9"/>
      <c r="F891" s="9"/>
      <c r="G891" s="59"/>
      <c r="H891" s="9"/>
      <c r="I891" s="9"/>
      <c r="J891" s="9"/>
      <c r="K891" s="9"/>
      <c r="L891" s="9"/>
      <c r="M891" s="9"/>
      <c r="N891" s="9"/>
      <c r="O891" s="9"/>
    </row>
    <row r="892">
      <c r="A892" s="9"/>
      <c r="B892" s="9"/>
      <c r="C892" s="9"/>
      <c r="D892" s="9"/>
      <c r="E892" s="9"/>
      <c r="F892" s="9"/>
      <c r="G892" s="59"/>
      <c r="H892" s="9"/>
      <c r="I892" s="9"/>
      <c r="J892" s="9"/>
      <c r="K892" s="9"/>
      <c r="L892" s="9"/>
      <c r="M892" s="9"/>
      <c r="N892" s="9"/>
      <c r="O892" s="9"/>
    </row>
    <row r="893">
      <c r="A893" s="9"/>
      <c r="B893" s="9"/>
      <c r="C893" s="9"/>
      <c r="D893" s="9"/>
      <c r="E893" s="9"/>
      <c r="F893" s="9"/>
      <c r="G893" s="59"/>
      <c r="H893" s="9"/>
      <c r="I893" s="9"/>
      <c r="J893" s="9"/>
      <c r="K893" s="9"/>
      <c r="L893" s="9"/>
      <c r="M893" s="9"/>
      <c r="N893" s="9"/>
      <c r="O893" s="9"/>
    </row>
    <row r="894">
      <c r="A894" s="9"/>
      <c r="B894" s="9"/>
      <c r="C894" s="9"/>
      <c r="D894" s="9"/>
      <c r="E894" s="9"/>
      <c r="F894" s="9"/>
      <c r="G894" s="59"/>
      <c r="H894" s="9"/>
      <c r="I894" s="9"/>
      <c r="J894" s="9"/>
      <c r="K894" s="9"/>
      <c r="L894" s="9"/>
      <c r="M894" s="9"/>
      <c r="N894" s="9"/>
      <c r="O894" s="9"/>
    </row>
    <row r="895">
      <c r="A895" s="9"/>
      <c r="B895" s="9"/>
      <c r="C895" s="9"/>
      <c r="D895" s="9"/>
      <c r="E895" s="9"/>
      <c r="F895" s="9"/>
      <c r="G895" s="59"/>
      <c r="H895" s="9"/>
      <c r="I895" s="9"/>
      <c r="J895" s="9"/>
      <c r="K895" s="9"/>
      <c r="L895" s="9"/>
      <c r="M895" s="9"/>
      <c r="N895" s="9"/>
      <c r="O895" s="9"/>
    </row>
    <row r="896">
      <c r="A896" s="9"/>
      <c r="B896" s="9"/>
      <c r="C896" s="9"/>
      <c r="D896" s="9"/>
      <c r="E896" s="9"/>
      <c r="F896" s="9"/>
      <c r="G896" s="59"/>
      <c r="H896" s="9"/>
      <c r="I896" s="9"/>
      <c r="J896" s="9"/>
      <c r="K896" s="9"/>
      <c r="L896" s="9"/>
      <c r="M896" s="9"/>
      <c r="N896" s="9"/>
      <c r="O896" s="9"/>
    </row>
    <row r="897">
      <c r="A897" s="9"/>
      <c r="B897" s="9"/>
      <c r="C897" s="9"/>
      <c r="D897" s="9"/>
      <c r="E897" s="9"/>
      <c r="F897" s="9"/>
      <c r="G897" s="59"/>
      <c r="H897" s="9"/>
      <c r="I897" s="9"/>
      <c r="J897" s="9"/>
      <c r="K897" s="9"/>
      <c r="L897" s="9"/>
      <c r="M897" s="9"/>
      <c r="N897" s="9"/>
      <c r="O897" s="9"/>
    </row>
    <row r="898">
      <c r="A898" s="9"/>
      <c r="B898" s="9"/>
      <c r="C898" s="9"/>
      <c r="D898" s="9"/>
      <c r="E898" s="9"/>
      <c r="F898" s="9"/>
      <c r="G898" s="59"/>
      <c r="H898" s="9"/>
      <c r="I898" s="9"/>
      <c r="J898" s="9"/>
      <c r="K898" s="9"/>
      <c r="L898" s="9"/>
      <c r="M898" s="9"/>
      <c r="N898" s="9"/>
      <c r="O898" s="9"/>
    </row>
    <row r="899">
      <c r="A899" s="9"/>
      <c r="B899" s="9"/>
      <c r="C899" s="9"/>
      <c r="D899" s="9"/>
      <c r="E899" s="9"/>
      <c r="F899" s="9"/>
      <c r="G899" s="59"/>
      <c r="H899" s="9"/>
      <c r="I899" s="9"/>
      <c r="J899" s="9"/>
      <c r="K899" s="9"/>
      <c r="L899" s="9"/>
      <c r="M899" s="9"/>
      <c r="N899" s="9"/>
      <c r="O899" s="9"/>
    </row>
    <row r="900">
      <c r="A900" s="9"/>
      <c r="B900" s="9"/>
      <c r="C900" s="9"/>
      <c r="D900" s="9"/>
      <c r="E900" s="9"/>
      <c r="F900" s="9"/>
      <c r="G900" s="59"/>
      <c r="H900" s="9"/>
      <c r="I900" s="9"/>
      <c r="J900" s="9"/>
      <c r="K900" s="9"/>
      <c r="L900" s="9"/>
      <c r="M900" s="9"/>
      <c r="N900" s="9"/>
      <c r="O900" s="9"/>
    </row>
    <row r="901">
      <c r="A901" s="9"/>
      <c r="B901" s="9"/>
      <c r="C901" s="9"/>
      <c r="D901" s="9"/>
      <c r="E901" s="9"/>
      <c r="F901" s="9"/>
      <c r="G901" s="59"/>
      <c r="H901" s="9"/>
      <c r="I901" s="9"/>
      <c r="J901" s="9"/>
      <c r="K901" s="9"/>
      <c r="L901" s="9"/>
      <c r="M901" s="9"/>
      <c r="N901" s="9"/>
      <c r="O901" s="9"/>
    </row>
    <row r="902">
      <c r="A902" s="9"/>
      <c r="B902" s="9"/>
      <c r="C902" s="9"/>
      <c r="D902" s="9"/>
      <c r="E902" s="9"/>
      <c r="F902" s="9"/>
      <c r="G902" s="59"/>
      <c r="H902" s="9"/>
      <c r="I902" s="9"/>
      <c r="J902" s="9"/>
      <c r="K902" s="9"/>
      <c r="L902" s="9"/>
      <c r="M902" s="9"/>
      <c r="N902" s="9"/>
      <c r="O902" s="9"/>
    </row>
    <row r="903">
      <c r="A903" s="9"/>
      <c r="B903" s="9"/>
      <c r="C903" s="9"/>
      <c r="D903" s="9"/>
      <c r="E903" s="9"/>
      <c r="F903" s="9"/>
      <c r="G903" s="59"/>
      <c r="H903" s="9"/>
      <c r="I903" s="9"/>
      <c r="J903" s="9"/>
      <c r="K903" s="9"/>
      <c r="L903" s="9"/>
      <c r="M903" s="9"/>
      <c r="N903" s="9"/>
      <c r="O903" s="9"/>
    </row>
    <row r="904">
      <c r="A904" s="9"/>
      <c r="B904" s="9"/>
      <c r="C904" s="9"/>
      <c r="D904" s="9"/>
      <c r="E904" s="9"/>
      <c r="F904" s="9"/>
      <c r="G904" s="59"/>
      <c r="H904" s="9"/>
      <c r="I904" s="9"/>
      <c r="J904" s="9"/>
      <c r="K904" s="9"/>
      <c r="L904" s="9"/>
      <c r="M904" s="9"/>
      <c r="N904" s="9"/>
      <c r="O904" s="9"/>
    </row>
    <row r="905">
      <c r="A905" s="9"/>
      <c r="B905" s="9"/>
      <c r="C905" s="9"/>
      <c r="D905" s="9"/>
      <c r="E905" s="9"/>
      <c r="F905" s="9"/>
      <c r="G905" s="59"/>
      <c r="H905" s="9"/>
      <c r="I905" s="9"/>
      <c r="J905" s="9"/>
      <c r="K905" s="9"/>
      <c r="L905" s="9"/>
      <c r="M905" s="9"/>
      <c r="N905" s="9"/>
      <c r="O905" s="9"/>
    </row>
    <row r="906">
      <c r="A906" s="9"/>
      <c r="B906" s="9"/>
      <c r="C906" s="9"/>
      <c r="D906" s="9"/>
      <c r="E906" s="9"/>
      <c r="F906" s="9"/>
      <c r="G906" s="59"/>
      <c r="H906" s="9"/>
      <c r="I906" s="9"/>
      <c r="J906" s="9"/>
      <c r="K906" s="9"/>
      <c r="L906" s="9"/>
      <c r="M906" s="9"/>
      <c r="N906" s="9"/>
      <c r="O906" s="9"/>
    </row>
    <row r="907">
      <c r="A907" s="9"/>
      <c r="B907" s="9"/>
      <c r="C907" s="9"/>
      <c r="D907" s="9"/>
      <c r="E907" s="9"/>
      <c r="F907" s="9"/>
      <c r="G907" s="59"/>
      <c r="H907" s="9"/>
      <c r="I907" s="9"/>
      <c r="J907" s="9"/>
      <c r="K907" s="9"/>
      <c r="L907" s="9"/>
      <c r="M907" s="9"/>
      <c r="N907" s="9"/>
      <c r="O907" s="9"/>
    </row>
    <row r="908">
      <c r="A908" s="9"/>
      <c r="B908" s="9"/>
      <c r="C908" s="9"/>
      <c r="D908" s="9"/>
      <c r="E908" s="9"/>
      <c r="F908" s="9"/>
      <c r="G908" s="59"/>
      <c r="H908" s="9"/>
      <c r="I908" s="9"/>
      <c r="J908" s="9"/>
      <c r="K908" s="9"/>
      <c r="L908" s="9"/>
      <c r="M908" s="9"/>
      <c r="N908" s="9"/>
      <c r="O908" s="9"/>
    </row>
    <row r="909">
      <c r="A909" s="9"/>
      <c r="B909" s="9"/>
      <c r="C909" s="9"/>
      <c r="D909" s="9"/>
      <c r="E909" s="9"/>
      <c r="F909" s="9"/>
      <c r="G909" s="59"/>
      <c r="H909" s="9"/>
      <c r="I909" s="9"/>
      <c r="J909" s="9"/>
      <c r="K909" s="9"/>
      <c r="L909" s="9"/>
      <c r="M909" s="9"/>
      <c r="N909" s="9"/>
      <c r="O909" s="9"/>
    </row>
    <row r="910">
      <c r="A910" s="9"/>
      <c r="B910" s="9"/>
      <c r="C910" s="9"/>
      <c r="D910" s="9"/>
      <c r="E910" s="9"/>
      <c r="F910" s="9"/>
      <c r="G910" s="59"/>
      <c r="H910" s="9"/>
      <c r="I910" s="9"/>
      <c r="J910" s="9"/>
      <c r="K910" s="9"/>
      <c r="L910" s="9"/>
      <c r="M910" s="9"/>
      <c r="N910" s="9"/>
      <c r="O910" s="9"/>
    </row>
    <row r="911">
      <c r="A911" s="9"/>
      <c r="B911" s="9"/>
      <c r="C911" s="9"/>
      <c r="D911" s="9"/>
      <c r="E911" s="9"/>
      <c r="F911" s="9"/>
      <c r="G911" s="59"/>
      <c r="H911" s="9"/>
      <c r="I911" s="9"/>
      <c r="J911" s="9"/>
      <c r="K911" s="9"/>
      <c r="L911" s="9"/>
      <c r="M911" s="9"/>
      <c r="N911" s="9"/>
      <c r="O911" s="9"/>
    </row>
    <row r="912">
      <c r="A912" s="9"/>
      <c r="B912" s="9"/>
      <c r="C912" s="9"/>
      <c r="D912" s="9"/>
      <c r="E912" s="9"/>
      <c r="F912" s="9"/>
      <c r="G912" s="59"/>
      <c r="H912" s="9"/>
      <c r="I912" s="9"/>
      <c r="J912" s="9"/>
      <c r="K912" s="9"/>
      <c r="L912" s="9"/>
      <c r="M912" s="9"/>
      <c r="N912" s="9"/>
      <c r="O912" s="9"/>
    </row>
    <row r="913">
      <c r="A913" s="9"/>
      <c r="B913" s="9"/>
      <c r="C913" s="9"/>
      <c r="D913" s="9"/>
      <c r="E913" s="9"/>
      <c r="F913" s="9"/>
      <c r="G913" s="59"/>
      <c r="H913" s="9"/>
      <c r="I913" s="9"/>
      <c r="J913" s="9"/>
      <c r="K913" s="9"/>
      <c r="L913" s="9"/>
      <c r="M913" s="9"/>
      <c r="N913" s="9"/>
      <c r="O913" s="9"/>
    </row>
    <row r="914">
      <c r="A914" s="9"/>
      <c r="B914" s="9"/>
      <c r="C914" s="9"/>
      <c r="D914" s="9"/>
      <c r="E914" s="9"/>
      <c r="F914" s="9"/>
      <c r="G914" s="59"/>
      <c r="H914" s="9"/>
      <c r="I914" s="9"/>
      <c r="J914" s="9"/>
      <c r="K914" s="9"/>
      <c r="L914" s="9"/>
      <c r="M914" s="9"/>
      <c r="N914" s="9"/>
      <c r="O914" s="9"/>
    </row>
    <row r="915">
      <c r="A915" s="9"/>
      <c r="B915" s="9"/>
      <c r="C915" s="9"/>
      <c r="D915" s="9"/>
      <c r="E915" s="9"/>
      <c r="F915" s="9"/>
      <c r="G915" s="59"/>
      <c r="H915" s="9"/>
      <c r="I915" s="9"/>
      <c r="J915" s="9"/>
      <c r="K915" s="9"/>
      <c r="L915" s="9"/>
      <c r="M915" s="9"/>
      <c r="N915" s="9"/>
      <c r="O915" s="9"/>
    </row>
    <row r="916">
      <c r="A916" s="9"/>
      <c r="B916" s="9"/>
      <c r="C916" s="9"/>
      <c r="D916" s="9"/>
      <c r="E916" s="9"/>
      <c r="F916" s="9"/>
      <c r="G916" s="59"/>
      <c r="H916" s="9"/>
      <c r="I916" s="9"/>
      <c r="J916" s="9"/>
      <c r="K916" s="9"/>
      <c r="L916" s="9"/>
      <c r="M916" s="9"/>
      <c r="N916" s="9"/>
      <c r="O916" s="9"/>
    </row>
    <row r="917">
      <c r="A917" s="9"/>
      <c r="B917" s="9"/>
      <c r="C917" s="9"/>
      <c r="D917" s="9"/>
      <c r="E917" s="9"/>
      <c r="F917" s="9"/>
      <c r="G917" s="59"/>
      <c r="H917" s="9"/>
      <c r="I917" s="9"/>
      <c r="J917" s="9"/>
      <c r="K917" s="9"/>
      <c r="L917" s="9"/>
      <c r="M917" s="9"/>
      <c r="N917" s="9"/>
      <c r="O917" s="9"/>
    </row>
    <row r="918">
      <c r="A918" s="9"/>
      <c r="B918" s="9"/>
      <c r="C918" s="9"/>
      <c r="D918" s="9"/>
      <c r="E918" s="9"/>
      <c r="F918" s="9"/>
      <c r="G918" s="59"/>
      <c r="H918" s="9"/>
      <c r="I918" s="9"/>
      <c r="J918" s="9"/>
      <c r="K918" s="9"/>
      <c r="L918" s="9"/>
      <c r="M918" s="9"/>
      <c r="N918" s="9"/>
      <c r="O918" s="9"/>
    </row>
    <row r="919">
      <c r="A919" s="9"/>
      <c r="B919" s="9"/>
      <c r="C919" s="9"/>
      <c r="D919" s="9"/>
      <c r="E919" s="9"/>
      <c r="F919" s="9"/>
      <c r="G919" s="59"/>
      <c r="H919" s="9"/>
      <c r="I919" s="9"/>
      <c r="J919" s="9"/>
      <c r="K919" s="9"/>
      <c r="L919" s="9"/>
      <c r="M919" s="9"/>
      <c r="N919" s="9"/>
      <c r="O919" s="9"/>
    </row>
    <row r="920">
      <c r="A920" s="9"/>
      <c r="B920" s="9"/>
      <c r="C920" s="9"/>
      <c r="D920" s="9"/>
      <c r="E920" s="9"/>
      <c r="F920" s="9"/>
      <c r="G920" s="59"/>
      <c r="H920" s="9"/>
      <c r="I920" s="9"/>
      <c r="J920" s="9"/>
      <c r="K920" s="9"/>
      <c r="L920" s="9"/>
      <c r="M920" s="9"/>
      <c r="N920" s="9"/>
      <c r="O920" s="9"/>
    </row>
    <row r="921">
      <c r="A921" s="9"/>
      <c r="B921" s="9"/>
      <c r="C921" s="9"/>
      <c r="D921" s="9"/>
      <c r="E921" s="9"/>
      <c r="F921" s="9"/>
      <c r="G921" s="59"/>
      <c r="H921" s="9"/>
      <c r="I921" s="9"/>
      <c r="J921" s="9"/>
      <c r="K921" s="9"/>
      <c r="L921" s="9"/>
      <c r="M921" s="9"/>
      <c r="N921" s="9"/>
      <c r="O921" s="9"/>
    </row>
    <row r="922">
      <c r="A922" s="9"/>
      <c r="B922" s="9"/>
      <c r="C922" s="9"/>
      <c r="D922" s="9"/>
      <c r="E922" s="9"/>
      <c r="F922" s="9"/>
      <c r="G922" s="59"/>
      <c r="H922" s="9"/>
      <c r="I922" s="9"/>
      <c r="J922" s="9"/>
      <c r="K922" s="9"/>
      <c r="L922" s="9"/>
      <c r="M922" s="9"/>
      <c r="N922" s="9"/>
      <c r="O922" s="9"/>
    </row>
    <row r="923">
      <c r="A923" s="9"/>
      <c r="B923" s="9"/>
      <c r="C923" s="9"/>
      <c r="D923" s="9"/>
      <c r="E923" s="9"/>
      <c r="F923" s="9"/>
      <c r="G923" s="59"/>
      <c r="H923" s="9"/>
      <c r="I923" s="9"/>
      <c r="J923" s="9"/>
      <c r="K923" s="9"/>
      <c r="L923" s="9"/>
      <c r="M923" s="9"/>
      <c r="N923" s="9"/>
      <c r="O923" s="9"/>
    </row>
    <row r="924">
      <c r="A924" s="9"/>
      <c r="B924" s="9"/>
      <c r="C924" s="9"/>
      <c r="D924" s="9"/>
      <c r="E924" s="9"/>
      <c r="F924" s="9"/>
      <c r="G924" s="59"/>
      <c r="H924" s="9"/>
      <c r="I924" s="9"/>
      <c r="J924" s="9"/>
      <c r="K924" s="9"/>
      <c r="L924" s="9"/>
      <c r="M924" s="9"/>
      <c r="N924" s="9"/>
      <c r="O924" s="9"/>
    </row>
    <row r="925">
      <c r="A925" s="9"/>
      <c r="B925" s="9"/>
      <c r="C925" s="9"/>
      <c r="D925" s="9"/>
      <c r="E925" s="9"/>
      <c r="F925" s="9"/>
      <c r="G925" s="59"/>
      <c r="H925" s="9"/>
      <c r="I925" s="9"/>
      <c r="J925" s="9"/>
      <c r="K925" s="9"/>
      <c r="L925" s="9"/>
      <c r="M925" s="9"/>
      <c r="N925" s="9"/>
      <c r="O925" s="9"/>
    </row>
    <row r="926">
      <c r="A926" s="9"/>
      <c r="B926" s="9"/>
      <c r="C926" s="9"/>
      <c r="D926" s="9"/>
      <c r="E926" s="9"/>
      <c r="F926" s="9"/>
      <c r="G926" s="59"/>
      <c r="H926" s="9"/>
      <c r="I926" s="9"/>
      <c r="J926" s="9"/>
      <c r="K926" s="9"/>
      <c r="L926" s="9"/>
      <c r="M926" s="9"/>
      <c r="N926" s="9"/>
      <c r="O926" s="9"/>
    </row>
    <row r="927">
      <c r="A927" s="9"/>
      <c r="B927" s="9"/>
      <c r="C927" s="9"/>
      <c r="D927" s="9"/>
      <c r="E927" s="9"/>
      <c r="F927" s="9"/>
      <c r="G927" s="59"/>
      <c r="H927" s="9"/>
      <c r="I927" s="9"/>
      <c r="J927" s="9"/>
      <c r="K927" s="9"/>
      <c r="L927" s="9"/>
      <c r="M927" s="9"/>
      <c r="N927" s="9"/>
      <c r="O927" s="9"/>
    </row>
    <row r="928">
      <c r="A928" s="9"/>
      <c r="B928" s="9"/>
      <c r="C928" s="9"/>
      <c r="D928" s="9"/>
      <c r="E928" s="9"/>
      <c r="F928" s="9"/>
      <c r="G928" s="59"/>
      <c r="H928" s="9"/>
      <c r="I928" s="9"/>
      <c r="J928" s="9"/>
      <c r="K928" s="9"/>
      <c r="L928" s="9"/>
      <c r="M928" s="9"/>
      <c r="N928" s="9"/>
      <c r="O928" s="9"/>
    </row>
    <row r="929">
      <c r="A929" s="9"/>
      <c r="B929" s="9"/>
      <c r="C929" s="9"/>
      <c r="D929" s="9"/>
      <c r="E929" s="9"/>
      <c r="F929" s="9"/>
      <c r="G929" s="59"/>
      <c r="H929" s="9"/>
      <c r="I929" s="9"/>
      <c r="J929" s="9"/>
      <c r="K929" s="9"/>
      <c r="L929" s="9"/>
      <c r="M929" s="9"/>
      <c r="N929" s="9"/>
      <c r="O929" s="9"/>
    </row>
    <row r="930">
      <c r="A930" s="9"/>
      <c r="B930" s="9"/>
      <c r="C930" s="9"/>
      <c r="D930" s="9"/>
      <c r="E930" s="9"/>
      <c r="F930" s="9"/>
      <c r="G930" s="59"/>
      <c r="H930" s="9"/>
      <c r="I930" s="9"/>
      <c r="J930" s="9"/>
      <c r="K930" s="9"/>
      <c r="L930" s="9"/>
      <c r="M930" s="9"/>
      <c r="N930" s="9"/>
      <c r="O930" s="9"/>
    </row>
    <row r="931">
      <c r="A931" s="9"/>
      <c r="B931" s="9"/>
      <c r="C931" s="9"/>
      <c r="D931" s="9"/>
      <c r="E931" s="9"/>
      <c r="F931" s="9"/>
      <c r="G931" s="59"/>
      <c r="H931" s="9"/>
      <c r="I931" s="9"/>
      <c r="J931" s="9"/>
      <c r="K931" s="9"/>
      <c r="L931" s="9"/>
      <c r="M931" s="9"/>
      <c r="N931" s="9"/>
      <c r="O931" s="9"/>
    </row>
    <row r="932">
      <c r="A932" s="9"/>
      <c r="B932" s="9"/>
      <c r="C932" s="9"/>
      <c r="D932" s="9"/>
      <c r="E932" s="9"/>
      <c r="F932" s="9"/>
      <c r="G932" s="59"/>
      <c r="H932" s="9"/>
      <c r="I932" s="9"/>
      <c r="J932" s="9"/>
      <c r="K932" s="9"/>
      <c r="L932" s="9"/>
      <c r="M932" s="9"/>
      <c r="N932" s="9"/>
      <c r="O932" s="9"/>
    </row>
    <row r="933">
      <c r="A933" s="9"/>
      <c r="B933" s="9"/>
      <c r="C933" s="9"/>
      <c r="D933" s="9"/>
      <c r="E933" s="9"/>
      <c r="F933" s="9"/>
      <c r="G933" s="59"/>
      <c r="H933" s="9"/>
      <c r="I933" s="9"/>
      <c r="J933" s="9"/>
      <c r="K933" s="9"/>
      <c r="L933" s="9"/>
      <c r="M933" s="9"/>
      <c r="N933" s="9"/>
      <c r="O933" s="9"/>
    </row>
    <row r="934">
      <c r="A934" s="9"/>
      <c r="B934" s="9"/>
      <c r="C934" s="9"/>
      <c r="D934" s="9"/>
      <c r="E934" s="9"/>
      <c r="F934" s="9"/>
      <c r="G934" s="59"/>
      <c r="H934" s="9"/>
      <c r="I934" s="9"/>
      <c r="J934" s="9"/>
      <c r="K934" s="9"/>
      <c r="L934" s="9"/>
      <c r="M934" s="9"/>
      <c r="N934" s="9"/>
      <c r="O934" s="9"/>
    </row>
    <row r="935">
      <c r="A935" s="9"/>
      <c r="B935" s="9"/>
      <c r="C935" s="9"/>
      <c r="D935" s="9"/>
      <c r="E935" s="9"/>
      <c r="F935" s="9"/>
      <c r="G935" s="59"/>
      <c r="H935" s="9"/>
      <c r="I935" s="9"/>
      <c r="J935" s="9"/>
      <c r="K935" s="9"/>
      <c r="L935" s="9"/>
      <c r="M935" s="9"/>
      <c r="N935" s="9"/>
      <c r="O935" s="9"/>
    </row>
    <row r="936">
      <c r="A936" s="9"/>
      <c r="B936" s="9"/>
      <c r="C936" s="9"/>
      <c r="D936" s="9"/>
      <c r="E936" s="9"/>
      <c r="F936" s="9"/>
      <c r="G936" s="59"/>
      <c r="H936" s="9"/>
      <c r="I936" s="9"/>
      <c r="J936" s="9"/>
      <c r="K936" s="9"/>
      <c r="L936" s="9"/>
      <c r="M936" s="9"/>
      <c r="N936" s="9"/>
      <c r="O936" s="9"/>
    </row>
    <row r="937">
      <c r="A937" s="9"/>
      <c r="B937" s="9"/>
      <c r="C937" s="9"/>
      <c r="D937" s="9"/>
      <c r="E937" s="9"/>
      <c r="F937" s="9"/>
      <c r="G937" s="59"/>
      <c r="H937" s="9"/>
      <c r="I937" s="9"/>
      <c r="J937" s="9"/>
      <c r="K937" s="9"/>
      <c r="L937" s="9"/>
      <c r="M937" s="9"/>
      <c r="N937" s="9"/>
      <c r="O937" s="9"/>
    </row>
    <row r="938">
      <c r="A938" s="9"/>
      <c r="B938" s="9"/>
      <c r="C938" s="9"/>
      <c r="D938" s="9"/>
      <c r="E938" s="9"/>
      <c r="F938" s="9"/>
      <c r="G938" s="59"/>
      <c r="H938" s="9"/>
      <c r="I938" s="9"/>
      <c r="J938" s="9"/>
      <c r="K938" s="9"/>
      <c r="L938" s="9"/>
      <c r="M938" s="9"/>
      <c r="N938" s="9"/>
      <c r="O938" s="9"/>
    </row>
    <row r="939">
      <c r="A939" s="9"/>
      <c r="B939" s="9"/>
      <c r="C939" s="9"/>
      <c r="D939" s="9"/>
      <c r="E939" s="9"/>
      <c r="F939" s="9"/>
      <c r="G939" s="59"/>
      <c r="H939" s="9"/>
      <c r="I939" s="9"/>
      <c r="J939" s="9"/>
      <c r="K939" s="9"/>
      <c r="L939" s="9"/>
      <c r="M939" s="9"/>
      <c r="N939" s="9"/>
      <c r="O939" s="9"/>
    </row>
    <row r="940">
      <c r="A940" s="9"/>
      <c r="B940" s="9"/>
      <c r="C940" s="9"/>
      <c r="D940" s="9"/>
      <c r="E940" s="9"/>
      <c r="F940" s="9"/>
      <c r="G940" s="59"/>
      <c r="H940" s="9"/>
      <c r="I940" s="9"/>
      <c r="J940" s="9"/>
      <c r="K940" s="9"/>
      <c r="L940" s="9"/>
      <c r="M940" s="9"/>
      <c r="N940" s="9"/>
      <c r="O940" s="9"/>
    </row>
    <row r="941">
      <c r="A941" s="9"/>
      <c r="B941" s="9"/>
      <c r="C941" s="9"/>
      <c r="D941" s="9"/>
      <c r="E941" s="9"/>
      <c r="F941" s="9"/>
      <c r="G941" s="59"/>
      <c r="H941" s="9"/>
      <c r="I941" s="9"/>
      <c r="J941" s="9"/>
      <c r="K941" s="9"/>
      <c r="L941" s="9"/>
      <c r="M941" s="9"/>
      <c r="N941" s="9"/>
      <c r="O941" s="9"/>
    </row>
    <row r="942">
      <c r="A942" s="9"/>
      <c r="B942" s="9"/>
      <c r="C942" s="9"/>
      <c r="D942" s="9"/>
      <c r="E942" s="9"/>
      <c r="F942" s="9"/>
      <c r="G942" s="59"/>
      <c r="H942" s="9"/>
      <c r="I942" s="9"/>
      <c r="J942" s="9"/>
      <c r="K942" s="9"/>
      <c r="L942" s="9"/>
      <c r="M942" s="9"/>
      <c r="N942" s="9"/>
      <c r="O942" s="9"/>
    </row>
    <row r="943">
      <c r="A943" s="9"/>
      <c r="B943" s="9"/>
      <c r="C943" s="9"/>
      <c r="D943" s="9"/>
      <c r="E943" s="9"/>
      <c r="F943" s="9"/>
      <c r="G943" s="59"/>
      <c r="H943" s="9"/>
      <c r="I943" s="9"/>
      <c r="J943" s="9"/>
      <c r="K943" s="9"/>
      <c r="L943" s="9"/>
      <c r="M943" s="9"/>
      <c r="N943" s="9"/>
      <c r="O943" s="9"/>
    </row>
    <row r="944">
      <c r="A944" s="9"/>
      <c r="B944" s="9"/>
      <c r="C944" s="9"/>
      <c r="D944" s="9"/>
      <c r="E944" s="9"/>
      <c r="F944" s="9"/>
      <c r="G944" s="59"/>
      <c r="H944" s="9"/>
      <c r="I944" s="9"/>
      <c r="J944" s="9"/>
      <c r="K944" s="9"/>
      <c r="L944" s="9"/>
      <c r="M944" s="9"/>
      <c r="N944" s="9"/>
      <c r="O944" s="9"/>
    </row>
    <row r="945">
      <c r="A945" s="9"/>
      <c r="B945" s="9"/>
      <c r="C945" s="9"/>
      <c r="D945" s="9"/>
      <c r="E945" s="9"/>
      <c r="F945" s="9"/>
      <c r="G945" s="59"/>
      <c r="H945" s="9"/>
      <c r="I945" s="9"/>
      <c r="J945" s="9"/>
      <c r="K945" s="9"/>
      <c r="L945" s="9"/>
      <c r="M945" s="9"/>
      <c r="N945" s="9"/>
      <c r="O945" s="9"/>
    </row>
    <row r="946">
      <c r="A946" s="9"/>
      <c r="B946" s="9"/>
      <c r="C946" s="9"/>
      <c r="D946" s="9"/>
      <c r="E946" s="9"/>
      <c r="F946" s="9"/>
      <c r="G946" s="59"/>
      <c r="H946" s="9"/>
      <c r="I946" s="9"/>
      <c r="J946" s="9"/>
      <c r="K946" s="9"/>
      <c r="L946" s="9"/>
      <c r="M946" s="9"/>
      <c r="N946" s="9"/>
      <c r="O946" s="9"/>
    </row>
    <row r="947">
      <c r="A947" s="9"/>
      <c r="B947" s="9"/>
      <c r="C947" s="9"/>
      <c r="D947" s="9"/>
      <c r="E947" s="9"/>
      <c r="F947" s="9"/>
      <c r="G947" s="59"/>
      <c r="H947" s="9"/>
      <c r="I947" s="9"/>
      <c r="J947" s="9"/>
      <c r="K947" s="9"/>
      <c r="L947" s="9"/>
      <c r="M947" s="9"/>
      <c r="N947" s="9"/>
      <c r="O947" s="9"/>
    </row>
    <row r="948">
      <c r="A948" s="9"/>
      <c r="B948" s="9"/>
      <c r="C948" s="9"/>
      <c r="D948" s="9"/>
      <c r="E948" s="9"/>
      <c r="F948" s="9"/>
      <c r="G948" s="59"/>
      <c r="H948" s="9"/>
      <c r="I948" s="9"/>
      <c r="J948" s="9"/>
      <c r="K948" s="9"/>
      <c r="L948" s="9"/>
      <c r="M948" s="9"/>
      <c r="N948" s="9"/>
      <c r="O948" s="9"/>
    </row>
    <row r="949">
      <c r="A949" s="9"/>
      <c r="B949" s="9"/>
      <c r="C949" s="9"/>
      <c r="D949" s="9"/>
      <c r="E949" s="9"/>
      <c r="F949" s="9"/>
      <c r="G949" s="59"/>
      <c r="H949" s="9"/>
      <c r="I949" s="9"/>
      <c r="J949" s="9"/>
      <c r="K949" s="9"/>
      <c r="L949" s="9"/>
      <c r="M949" s="9"/>
      <c r="N949" s="9"/>
      <c r="O949" s="9"/>
    </row>
    <row r="950">
      <c r="A950" s="9"/>
      <c r="B950" s="9"/>
      <c r="C950" s="9"/>
      <c r="D950" s="9"/>
      <c r="E950" s="9"/>
      <c r="F950" s="9"/>
      <c r="G950" s="59"/>
      <c r="H950" s="9"/>
      <c r="I950" s="9"/>
      <c r="J950" s="9"/>
      <c r="K950" s="9"/>
      <c r="L950" s="9"/>
      <c r="M950" s="9"/>
      <c r="N950" s="9"/>
      <c r="O950" s="9"/>
    </row>
    <row r="951">
      <c r="A951" s="9"/>
      <c r="B951" s="9"/>
      <c r="C951" s="9"/>
      <c r="D951" s="9"/>
      <c r="E951" s="9"/>
      <c r="F951" s="9"/>
      <c r="G951" s="59"/>
      <c r="H951" s="9"/>
      <c r="I951" s="9"/>
      <c r="J951" s="9"/>
      <c r="K951" s="9"/>
      <c r="L951" s="9"/>
      <c r="M951" s="9"/>
      <c r="N951" s="9"/>
      <c r="O951" s="9"/>
    </row>
    <row r="952">
      <c r="A952" s="9"/>
      <c r="B952" s="9"/>
      <c r="C952" s="9"/>
      <c r="D952" s="9"/>
      <c r="E952" s="9"/>
      <c r="F952" s="9"/>
      <c r="G952" s="59"/>
      <c r="H952" s="9"/>
      <c r="I952" s="9"/>
      <c r="J952" s="9"/>
      <c r="K952" s="9"/>
      <c r="L952" s="9"/>
      <c r="M952" s="9"/>
      <c r="N952" s="9"/>
      <c r="O952" s="9"/>
    </row>
    <row r="953">
      <c r="A953" s="9"/>
      <c r="B953" s="9"/>
      <c r="C953" s="9"/>
      <c r="D953" s="9"/>
      <c r="E953" s="9"/>
      <c r="F953" s="9"/>
      <c r="G953" s="59"/>
      <c r="H953" s="9"/>
      <c r="I953" s="9"/>
      <c r="J953" s="9"/>
      <c r="K953" s="9"/>
      <c r="L953" s="9"/>
      <c r="M953" s="9"/>
      <c r="N953" s="9"/>
      <c r="O953" s="9"/>
    </row>
    <row r="954">
      <c r="A954" s="9"/>
      <c r="B954" s="9"/>
      <c r="C954" s="9"/>
      <c r="D954" s="9"/>
      <c r="E954" s="9"/>
      <c r="F954" s="9"/>
      <c r="G954" s="59"/>
      <c r="H954" s="9"/>
      <c r="I954" s="9"/>
      <c r="J954" s="9"/>
      <c r="K954" s="9"/>
      <c r="L954" s="9"/>
      <c r="M954" s="9"/>
      <c r="N954" s="9"/>
      <c r="O954" s="9"/>
    </row>
    <row r="955">
      <c r="A955" s="9"/>
      <c r="B955" s="9"/>
      <c r="C955" s="9"/>
      <c r="D955" s="9"/>
      <c r="E955" s="9"/>
      <c r="F955" s="9"/>
      <c r="G955" s="59"/>
      <c r="H955" s="9"/>
      <c r="I955" s="9"/>
      <c r="J955" s="9"/>
      <c r="K955" s="9"/>
      <c r="L955" s="9"/>
      <c r="M955" s="9"/>
      <c r="N955" s="9"/>
      <c r="O955" s="9"/>
    </row>
    <row r="956">
      <c r="A956" s="9"/>
      <c r="B956" s="9"/>
      <c r="C956" s="9"/>
      <c r="D956" s="9"/>
      <c r="E956" s="9"/>
      <c r="F956" s="9"/>
      <c r="G956" s="59"/>
      <c r="H956" s="9"/>
      <c r="I956" s="9"/>
      <c r="J956" s="9"/>
      <c r="K956" s="9"/>
      <c r="L956" s="9"/>
      <c r="M956" s="9"/>
      <c r="N956" s="9"/>
      <c r="O956" s="9"/>
    </row>
    <row r="957">
      <c r="A957" s="9"/>
      <c r="B957" s="9"/>
      <c r="C957" s="9"/>
      <c r="D957" s="9"/>
      <c r="E957" s="9"/>
      <c r="F957" s="9"/>
      <c r="G957" s="59"/>
      <c r="H957" s="9"/>
      <c r="I957" s="9"/>
      <c r="J957" s="9"/>
      <c r="K957" s="9"/>
      <c r="L957" s="9"/>
      <c r="M957" s="9"/>
      <c r="N957" s="9"/>
      <c r="O957" s="9"/>
    </row>
    <row r="958">
      <c r="A958" s="9"/>
      <c r="B958" s="9"/>
      <c r="C958" s="9"/>
      <c r="D958" s="9"/>
      <c r="E958" s="9"/>
      <c r="F958" s="9"/>
      <c r="G958" s="59"/>
      <c r="H958" s="9"/>
      <c r="I958" s="9"/>
      <c r="J958" s="9"/>
      <c r="K958" s="9"/>
      <c r="L958" s="9"/>
      <c r="M958" s="9"/>
      <c r="N958" s="9"/>
      <c r="O958" s="9"/>
    </row>
    <row r="959">
      <c r="A959" s="9"/>
      <c r="B959" s="9"/>
      <c r="C959" s="9"/>
      <c r="D959" s="9"/>
      <c r="E959" s="9"/>
      <c r="F959" s="9"/>
      <c r="G959" s="59"/>
      <c r="H959" s="9"/>
      <c r="I959" s="9"/>
      <c r="J959" s="9"/>
      <c r="K959" s="9"/>
      <c r="L959" s="9"/>
      <c r="M959" s="9"/>
      <c r="N959" s="9"/>
      <c r="O959" s="9"/>
    </row>
    <row r="960">
      <c r="A960" s="9"/>
      <c r="B960" s="9"/>
      <c r="C960" s="9"/>
      <c r="D960" s="9"/>
      <c r="E960" s="9"/>
      <c r="F960" s="9"/>
      <c r="G960" s="59"/>
      <c r="H960" s="9"/>
      <c r="I960" s="9"/>
      <c r="J960" s="9"/>
      <c r="K960" s="9"/>
      <c r="L960" s="9"/>
      <c r="M960" s="9"/>
      <c r="N960" s="9"/>
      <c r="O960" s="9"/>
    </row>
    <row r="961">
      <c r="A961" s="9"/>
      <c r="B961" s="9"/>
      <c r="C961" s="9"/>
      <c r="D961" s="9"/>
      <c r="E961" s="9"/>
      <c r="F961" s="9"/>
      <c r="G961" s="59"/>
      <c r="H961" s="9"/>
      <c r="I961" s="9"/>
      <c r="J961" s="9"/>
      <c r="K961" s="9"/>
      <c r="L961" s="9"/>
      <c r="M961" s="9"/>
      <c r="N961" s="9"/>
      <c r="O961" s="9"/>
    </row>
    <row r="962">
      <c r="A962" s="9"/>
      <c r="B962" s="9"/>
      <c r="C962" s="9"/>
      <c r="D962" s="9"/>
      <c r="E962" s="9"/>
      <c r="F962" s="9"/>
      <c r="G962" s="59"/>
      <c r="H962" s="9"/>
      <c r="I962" s="9"/>
      <c r="J962" s="9"/>
      <c r="K962" s="9"/>
      <c r="L962" s="9"/>
      <c r="M962" s="9"/>
      <c r="N962" s="9"/>
      <c r="O962" s="9"/>
    </row>
    <row r="963">
      <c r="A963" s="9"/>
      <c r="B963" s="9"/>
      <c r="C963" s="9"/>
      <c r="D963" s="9"/>
      <c r="E963" s="9"/>
      <c r="F963" s="9"/>
      <c r="G963" s="59"/>
      <c r="H963" s="9"/>
      <c r="I963" s="9"/>
      <c r="J963" s="9"/>
      <c r="K963" s="9"/>
      <c r="L963" s="9"/>
      <c r="M963" s="9"/>
      <c r="N963" s="9"/>
      <c r="O963" s="9"/>
    </row>
    <row r="964">
      <c r="A964" s="9"/>
      <c r="B964" s="9"/>
      <c r="C964" s="9"/>
      <c r="D964" s="9"/>
      <c r="E964" s="9"/>
      <c r="F964" s="9"/>
      <c r="G964" s="59"/>
      <c r="H964" s="9"/>
      <c r="I964" s="9"/>
      <c r="J964" s="9"/>
      <c r="K964" s="9"/>
      <c r="L964" s="9"/>
      <c r="M964" s="9"/>
      <c r="N964" s="9"/>
      <c r="O964" s="9"/>
    </row>
    <row r="965">
      <c r="A965" s="9"/>
      <c r="B965" s="9"/>
      <c r="C965" s="9"/>
      <c r="D965" s="9"/>
      <c r="E965" s="9"/>
      <c r="F965" s="9"/>
      <c r="G965" s="59"/>
      <c r="H965" s="9"/>
      <c r="I965" s="9"/>
      <c r="J965" s="9"/>
      <c r="K965" s="9"/>
      <c r="L965" s="9"/>
      <c r="M965" s="9"/>
      <c r="N965" s="9"/>
      <c r="O965" s="9"/>
    </row>
    <row r="966">
      <c r="A966" s="9"/>
      <c r="B966" s="9"/>
      <c r="C966" s="9"/>
      <c r="D966" s="9"/>
      <c r="E966" s="9"/>
      <c r="F966" s="9"/>
      <c r="G966" s="59"/>
      <c r="H966" s="9"/>
      <c r="I966" s="9"/>
      <c r="J966" s="9"/>
      <c r="K966" s="9"/>
      <c r="L966" s="9"/>
      <c r="M966" s="9"/>
      <c r="N966" s="9"/>
      <c r="O966" s="9"/>
    </row>
    <row r="967">
      <c r="A967" s="9"/>
      <c r="B967" s="9"/>
      <c r="C967" s="9"/>
      <c r="D967" s="9"/>
      <c r="E967" s="9"/>
      <c r="F967" s="9"/>
      <c r="G967" s="59"/>
      <c r="H967" s="9"/>
      <c r="I967" s="9"/>
      <c r="J967" s="9"/>
      <c r="K967" s="9"/>
      <c r="L967" s="9"/>
      <c r="M967" s="9"/>
      <c r="N967" s="9"/>
      <c r="O967" s="9"/>
    </row>
    <row r="968">
      <c r="A968" s="9"/>
      <c r="B968" s="9"/>
      <c r="C968" s="9"/>
      <c r="D968" s="9"/>
      <c r="E968" s="9"/>
      <c r="F968" s="9"/>
      <c r="G968" s="59"/>
      <c r="H968" s="9"/>
      <c r="I968" s="9"/>
      <c r="J968" s="9"/>
      <c r="K968" s="9"/>
      <c r="L968" s="9"/>
      <c r="M968" s="9"/>
      <c r="N968" s="9"/>
      <c r="O968" s="9"/>
    </row>
    <row r="969">
      <c r="A969" s="9"/>
      <c r="B969" s="9"/>
      <c r="C969" s="9"/>
      <c r="D969" s="9"/>
      <c r="E969" s="9"/>
      <c r="F969" s="9"/>
      <c r="G969" s="59"/>
      <c r="H969" s="9"/>
      <c r="I969" s="9"/>
      <c r="J969" s="9"/>
      <c r="K969" s="9"/>
      <c r="L969" s="9"/>
      <c r="M969" s="9"/>
      <c r="N969" s="9"/>
      <c r="O969" s="9"/>
    </row>
    <row r="970">
      <c r="A970" s="9"/>
      <c r="B970" s="9"/>
      <c r="C970" s="9"/>
      <c r="D970" s="9"/>
      <c r="E970" s="9"/>
      <c r="F970" s="9"/>
      <c r="G970" s="59"/>
      <c r="H970" s="9"/>
      <c r="I970" s="9"/>
      <c r="J970" s="9"/>
      <c r="K970" s="9"/>
      <c r="L970" s="9"/>
      <c r="M970" s="9"/>
      <c r="N970" s="9"/>
      <c r="O970" s="9"/>
    </row>
    <row r="971">
      <c r="A971" s="9"/>
      <c r="B971" s="9"/>
      <c r="C971" s="9"/>
      <c r="D971" s="9"/>
      <c r="E971" s="9"/>
      <c r="F971" s="9"/>
      <c r="G971" s="59"/>
      <c r="H971" s="9"/>
      <c r="I971" s="9"/>
      <c r="J971" s="9"/>
      <c r="K971" s="9"/>
      <c r="L971" s="9"/>
      <c r="M971" s="9"/>
      <c r="N971" s="9"/>
      <c r="O971" s="9"/>
    </row>
    <row r="972">
      <c r="A972" s="9"/>
      <c r="B972" s="9"/>
      <c r="C972" s="9"/>
      <c r="D972" s="9"/>
      <c r="E972" s="9"/>
      <c r="F972" s="9"/>
      <c r="G972" s="59"/>
      <c r="H972" s="9"/>
      <c r="I972" s="9"/>
      <c r="J972" s="9"/>
      <c r="K972" s="9"/>
      <c r="L972" s="9"/>
      <c r="M972" s="9"/>
      <c r="N972" s="9"/>
      <c r="O972" s="9"/>
    </row>
    <row r="973">
      <c r="A973" s="9"/>
      <c r="B973" s="9"/>
      <c r="C973" s="9"/>
      <c r="D973" s="9"/>
      <c r="E973" s="9"/>
      <c r="F973" s="9"/>
      <c r="G973" s="59"/>
      <c r="H973" s="9"/>
      <c r="I973" s="9"/>
      <c r="J973" s="9"/>
      <c r="K973" s="9"/>
      <c r="L973" s="9"/>
      <c r="M973" s="9"/>
      <c r="N973" s="9"/>
      <c r="O973" s="9"/>
    </row>
    <row r="974">
      <c r="A974" s="9"/>
      <c r="B974" s="9"/>
      <c r="C974" s="9"/>
      <c r="D974" s="9"/>
      <c r="E974" s="9"/>
      <c r="F974" s="9"/>
      <c r="G974" s="59"/>
      <c r="H974" s="9"/>
      <c r="I974" s="9"/>
      <c r="J974" s="9"/>
      <c r="K974" s="9"/>
      <c r="L974" s="9"/>
      <c r="M974" s="9"/>
      <c r="N974" s="9"/>
      <c r="O974" s="9"/>
    </row>
    <row r="975">
      <c r="A975" s="9"/>
      <c r="B975" s="9"/>
      <c r="C975" s="9"/>
      <c r="D975" s="9"/>
      <c r="E975" s="9"/>
      <c r="F975" s="9"/>
      <c r="G975" s="59"/>
      <c r="H975" s="9"/>
      <c r="I975" s="9"/>
      <c r="J975" s="9"/>
      <c r="K975" s="9"/>
      <c r="L975" s="9"/>
      <c r="M975" s="9"/>
      <c r="N975" s="9"/>
      <c r="O975" s="9"/>
    </row>
    <row r="976">
      <c r="A976" s="9"/>
      <c r="B976" s="9"/>
      <c r="C976" s="9"/>
      <c r="D976" s="9"/>
      <c r="E976" s="9"/>
      <c r="F976" s="9"/>
      <c r="G976" s="59"/>
      <c r="H976" s="9"/>
      <c r="I976" s="9"/>
      <c r="J976" s="9"/>
      <c r="K976" s="9"/>
      <c r="L976" s="9"/>
      <c r="M976" s="9"/>
      <c r="N976" s="9"/>
      <c r="O976" s="9"/>
    </row>
    <row r="977">
      <c r="A977" s="9"/>
      <c r="B977" s="9"/>
      <c r="C977" s="9"/>
      <c r="D977" s="9"/>
      <c r="E977" s="9"/>
      <c r="F977" s="9"/>
      <c r="G977" s="59"/>
      <c r="H977" s="9"/>
      <c r="I977" s="9"/>
      <c r="J977" s="9"/>
      <c r="K977" s="9"/>
      <c r="L977" s="9"/>
      <c r="M977" s="9"/>
      <c r="N977" s="9"/>
      <c r="O977" s="9"/>
    </row>
    <row r="978">
      <c r="A978" s="9"/>
      <c r="B978" s="9"/>
      <c r="C978" s="9"/>
      <c r="D978" s="9"/>
      <c r="E978" s="9"/>
      <c r="F978" s="9"/>
      <c r="G978" s="59"/>
      <c r="H978" s="9"/>
      <c r="I978" s="9"/>
      <c r="J978" s="9"/>
      <c r="K978" s="9"/>
      <c r="L978" s="9"/>
      <c r="M978" s="9"/>
      <c r="N978" s="9"/>
      <c r="O978" s="9"/>
    </row>
    <row r="979">
      <c r="A979" s="9"/>
      <c r="B979" s="9"/>
      <c r="C979" s="9"/>
      <c r="D979" s="9"/>
      <c r="E979" s="9"/>
      <c r="F979" s="9"/>
      <c r="G979" s="59"/>
      <c r="H979" s="9"/>
      <c r="I979" s="9"/>
      <c r="J979" s="9"/>
      <c r="K979" s="9"/>
      <c r="L979" s="9"/>
      <c r="M979" s="9"/>
      <c r="N979" s="9"/>
      <c r="O979" s="9"/>
    </row>
    <row r="980">
      <c r="A980" s="9"/>
      <c r="B980" s="9"/>
      <c r="C980" s="9"/>
      <c r="D980" s="9"/>
      <c r="E980" s="9"/>
      <c r="F980" s="9"/>
      <c r="G980" s="59"/>
      <c r="H980" s="9"/>
      <c r="I980" s="9"/>
      <c r="J980" s="9"/>
      <c r="K980" s="9"/>
      <c r="L980" s="9"/>
      <c r="M980" s="9"/>
      <c r="N980" s="9"/>
      <c r="O980" s="9"/>
    </row>
    <row r="981">
      <c r="A981" s="9"/>
      <c r="B981" s="9"/>
      <c r="C981" s="9"/>
      <c r="D981" s="9"/>
      <c r="E981" s="9"/>
      <c r="F981" s="9"/>
      <c r="G981" s="59"/>
      <c r="H981" s="9"/>
      <c r="I981" s="9"/>
      <c r="J981" s="9"/>
      <c r="K981" s="9"/>
      <c r="L981" s="9"/>
      <c r="M981" s="9"/>
      <c r="N981" s="9"/>
      <c r="O981" s="9"/>
    </row>
    <row r="982">
      <c r="A982" s="9"/>
      <c r="B982" s="9"/>
      <c r="C982" s="9"/>
      <c r="D982" s="9"/>
      <c r="E982" s="9"/>
      <c r="F982" s="9"/>
      <c r="G982" s="59"/>
      <c r="H982" s="9"/>
      <c r="I982" s="9"/>
      <c r="J982" s="9"/>
      <c r="K982" s="9"/>
      <c r="L982" s="9"/>
      <c r="M982" s="9"/>
      <c r="N982" s="9"/>
      <c r="O982" s="9"/>
    </row>
    <row r="983">
      <c r="A983" s="9"/>
      <c r="B983" s="9"/>
      <c r="C983" s="9"/>
      <c r="D983" s="9"/>
      <c r="E983" s="9"/>
      <c r="F983" s="9"/>
      <c r="G983" s="59"/>
      <c r="H983" s="9"/>
      <c r="I983" s="9"/>
      <c r="J983" s="9"/>
      <c r="K983" s="9"/>
      <c r="L983" s="9"/>
      <c r="M983" s="9"/>
      <c r="N983" s="9"/>
      <c r="O983" s="9"/>
    </row>
    <row r="984">
      <c r="A984" s="9"/>
      <c r="B984" s="9"/>
      <c r="C984" s="9"/>
      <c r="D984" s="9"/>
      <c r="E984" s="9"/>
      <c r="F984" s="9"/>
      <c r="G984" s="59"/>
      <c r="H984" s="9"/>
      <c r="I984" s="9"/>
      <c r="J984" s="9"/>
      <c r="K984" s="9"/>
      <c r="L984" s="9"/>
      <c r="M984" s="9"/>
      <c r="N984" s="9"/>
      <c r="O984" s="9"/>
    </row>
    <row r="985">
      <c r="A985" s="9"/>
      <c r="B985" s="9"/>
      <c r="C985" s="9"/>
      <c r="D985" s="9"/>
      <c r="E985" s="9"/>
      <c r="F985" s="9"/>
      <c r="G985" s="59"/>
      <c r="H985" s="9"/>
      <c r="I985" s="9"/>
      <c r="J985" s="9"/>
      <c r="K985" s="9"/>
      <c r="L985" s="9"/>
      <c r="M985" s="9"/>
      <c r="N985" s="9"/>
      <c r="O985" s="9"/>
    </row>
    <row r="986">
      <c r="A986" s="9"/>
      <c r="B986" s="9"/>
      <c r="C986" s="9"/>
      <c r="D986" s="9"/>
      <c r="E986" s="9"/>
      <c r="F986" s="9"/>
      <c r="G986" s="59"/>
      <c r="H986" s="9"/>
      <c r="I986" s="9"/>
      <c r="J986" s="9"/>
      <c r="K986" s="9"/>
      <c r="L986" s="9"/>
      <c r="M986" s="9"/>
      <c r="N986" s="9"/>
      <c r="O986" s="9"/>
    </row>
    <row r="987">
      <c r="A987" s="9"/>
      <c r="B987" s="9"/>
      <c r="C987" s="9"/>
      <c r="D987" s="9"/>
      <c r="E987" s="9"/>
      <c r="F987" s="9"/>
      <c r="G987" s="59"/>
      <c r="H987" s="9"/>
      <c r="I987" s="9"/>
      <c r="J987" s="9"/>
      <c r="K987" s="9"/>
      <c r="L987" s="9"/>
      <c r="M987" s="9"/>
      <c r="N987" s="9"/>
      <c r="O987" s="9"/>
    </row>
    <row r="988">
      <c r="A988" s="9"/>
      <c r="B988" s="9"/>
      <c r="C988" s="9"/>
      <c r="D988" s="9"/>
      <c r="E988" s="9"/>
      <c r="F988" s="9"/>
      <c r="G988" s="59"/>
      <c r="H988" s="9"/>
      <c r="I988" s="9"/>
      <c r="J988" s="9"/>
      <c r="K988" s="9"/>
      <c r="L988" s="9"/>
      <c r="M988" s="9"/>
      <c r="N988" s="9"/>
      <c r="O988" s="9"/>
    </row>
    <row r="989">
      <c r="A989" s="9"/>
      <c r="B989" s="9"/>
      <c r="C989" s="9"/>
      <c r="D989" s="9"/>
      <c r="E989" s="9"/>
      <c r="F989" s="9"/>
      <c r="G989" s="59"/>
      <c r="H989" s="9"/>
      <c r="I989" s="9"/>
      <c r="J989" s="9"/>
      <c r="K989" s="9"/>
      <c r="L989" s="9"/>
      <c r="M989" s="9"/>
      <c r="N989" s="9"/>
      <c r="O989" s="9"/>
    </row>
    <row r="990">
      <c r="A990" s="9"/>
      <c r="B990" s="9"/>
      <c r="C990" s="9"/>
      <c r="D990" s="9"/>
      <c r="E990" s="9"/>
      <c r="F990" s="9"/>
      <c r="G990" s="59"/>
      <c r="H990" s="9"/>
      <c r="I990" s="9"/>
      <c r="J990" s="9"/>
      <c r="K990" s="9"/>
      <c r="L990" s="9"/>
      <c r="M990" s="9"/>
      <c r="N990" s="9"/>
      <c r="O990" s="9"/>
    </row>
    <row r="991">
      <c r="A991" s="9"/>
      <c r="B991" s="9"/>
      <c r="C991" s="9"/>
      <c r="D991" s="9"/>
      <c r="E991" s="9"/>
      <c r="F991" s="9"/>
      <c r="G991" s="59"/>
      <c r="H991" s="9"/>
      <c r="I991" s="9"/>
      <c r="J991" s="9"/>
      <c r="K991" s="9"/>
      <c r="L991" s="9"/>
      <c r="M991" s="9"/>
      <c r="N991" s="9"/>
      <c r="O991" s="9"/>
    </row>
    <row r="992">
      <c r="A992" s="9"/>
      <c r="B992" s="9"/>
      <c r="C992" s="9"/>
      <c r="D992" s="9"/>
      <c r="E992" s="9"/>
      <c r="F992" s="9"/>
      <c r="G992" s="59"/>
      <c r="H992" s="9"/>
      <c r="I992" s="9"/>
      <c r="J992" s="9"/>
      <c r="K992" s="9"/>
      <c r="L992" s="9"/>
      <c r="M992" s="9"/>
      <c r="N992" s="9"/>
      <c r="O992" s="9"/>
    </row>
    <row r="993">
      <c r="A993" s="9"/>
      <c r="B993" s="9"/>
      <c r="C993" s="9"/>
      <c r="D993" s="9"/>
      <c r="E993" s="9"/>
      <c r="F993" s="9"/>
      <c r="G993" s="59"/>
      <c r="H993" s="9"/>
      <c r="I993" s="9"/>
      <c r="J993" s="9"/>
      <c r="K993" s="9"/>
      <c r="L993" s="9"/>
      <c r="M993" s="9"/>
      <c r="N993" s="9"/>
      <c r="O993" s="9"/>
    </row>
    <row r="994">
      <c r="A994" s="9"/>
      <c r="B994" s="9"/>
      <c r="C994" s="9"/>
      <c r="D994" s="9"/>
      <c r="E994" s="9"/>
      <c r="F994" s="9"/>
      <c r="G994" s="59"/>
      <c r="H994" s="9"/>
      <c r="I994" s="9"/>
      <c r="J994" s="9"/>
      <c r="K994" s="9"/>
      <c r="L994" s="9"/>
      <c r="M994" s="9"/>
      <c r="N994" s="9"/>
      <c r="O994" s="9"/>
    </row>
    <row r="995">
      <c r="A995" s="9"/>
      <c r="B995" s="9"/>
      <c r="C995" s="9"/>
      <c r="D995" s="9"/>
      <c r="E995" s="9"/>
      <c r="F995" s="9"/>
      <c r="G995" s="59"/>
      <c r="H995" s="9"/>
      <c r="I995" s="9"/>
      <c r="J995" s="9"/>
      <c r="K995" s="9"/>
      <c r="L995" s="9"/>
      <c r="M995" s="9"/>
      <c r="N995" s="9"/>
      <c r="O995" s="9"/>
    </row>
    <row r="996">
      <c r="A996" s="9"/>
      <c r="B996" s="9"/>
      <c r="C996" s="9"/>
      <c r="D996" s="9"/>
      <c r="E996" s="9"/>
      <c r="F996" s="9"/>
      <c r="G996" s="59"/>
      <c r="H996" s="9"/>
      <c r="I996" s="9"/>
      <c r="J996" s="9"/>
      <c r="K996" s="9"/>
      <c r="L996" s="9"/>
      <c r="M996" s="9"/>
      <c r="N996" s="9"/>
      <c r="O996" s="9"/>
    </row>
    <row r="997">
      <c r="A997" s="9"/>
      <c r="B997" s="9"/>
      <c r="C997" s="9"/>
      <c r="D997" s="9"/>
      <c r="E997" s="9"/>
      <c r="F997" s="9"/>
      <c r="G997" s="59"/>
      <c r="H997" s="9"/>
      <c r="I997" s="9"/>
      <c r="J997" s="9"/>
      <c r="K997" s="9"/>
      <c r="L997" s="9"/>
      <c r="M997" s="9"/>
      <c r="N997" s="9"/>
      <c r="O997" s="9"/>
    </row>
    <row r="998">
      <c r="A998" s="9"/>
      <c r="B998" s="9"/>
      <c r="C998" s="9"/>
      <c r="D998" s="9"/>
      <c r="E998" s="9"/>
      <c r="F998" s="9"/>
      <c r="G998" s="59"/>
      <c r="H998" s="9"/>
      <c r="I998" s="9"/>
      <c r="J998" s="9"/>
      <c r="K998" s="9"/>
      <c r="L998" s="9"/>
      <c r="M998" s="9"/>
      <c r="N998" s="9"/>
      <c r="O998" s="9"/>
    </row>
    <row r="999">
      <c r="A999" s="9"/>
      <c r="B999" s="9"/>
      <c r="C999" s="9"/>
      <c r="D999" s="9"/>
      <c r="E999" s="9"/>
      <c r="F999" s="9"/>
      <c r="G999" s="59"/>
      <c r="H999" s="9"/>
      <c r="I999" s="9"/>
      <c r="J999" s="9"/>
      <c r="K999" s="9"/>
      <c r="L999" s="9"/>
      <c r="M999" s="9"/>
      <c r="N999" s="9"/>
      <c r="O999" s="9"/>
    </row>
    <row r="1000">
      <c r="A1000" s="9"/>
      <c r="B1000" s="9"/>
      <c r="C1000" s="9"/>
      <c r="D1000" s="9"/>
      <c r="E1000" s="9"/>
      <c r="F1000" s="9"/>
      <c r="G1000" s="59"/>
      <c r="H1000" s="9"/>
      <c r="I1000" s="9"/>
      <c r="J1000" s="9"/>
      <c r="K1000" s="9"/>
      <c r="L1000" s="9"/>
      <c r="M1000" s="9"/>
      <c r="N1000" s="9"/>
      <c r="O1000" s="9"/>
    </row>
    <row r="1001">
      <c r="A1001" s="9"/>
      <c r="B1001" s="9"/>
      <c r="C1001" s="9"/>
      <c r="D1001" s="9"/>
      <c r="E1001" s="9"/>
      <c r="F1001" s="9"/>
      <c r="G1001" s="59"/>
      <c r="H1001" s="9"/>
      <c r="I1001" s="9"/>
      <c r="J1001" s="9"/>
      <c r="K1001" s="9"/>
      <c r="L1001" s="9"/>
      <c r="M1001" s="9"/>
      <c r="N1001" s="9"/>
      <c r="O1001" s="9"/>
    </row>
    <row r="1002">
      <c r="A1002" s="9"/>
      <c r="B1002" s="9"/>
      <c r="C1002" s="9"/>
      <c r="D1002" s="9"/>
      <c r="E1002" s="9"/>
      <c r="F1002" s="9"/>
      <c r="G1002" s="59"/>
      <c r="H1002" s="9"/>
      <c r="I1002" s="9"/>
      <c r="J1002" s="9"/>
      <c r="K1002" s="9"/>
      <c r="L1002" s="9"/>
      <c r="M1002" s="9"/>
      <c r="N1002" s="9"/>
      <c r="O1002" s="9"/>
    </row>
    <row r="1003">
      <c r="A1003" s="9"/>
      <c r="B1003" s="9"/>
      <c r="C1003" s="9"/>
      <c r="D1003" s="9"/>
      <c r="E1003" s="9"/>
      <c r="F1003" s="9"/>
      <c r="G1003" s="59"/>
      <c r="H1003" s="9"/>
      <c r="I1003" s="9"/>
      <c r="J1003" s="9"/>
      <c r="K1003" s="9"/>
      <c r="L1003" s="9"/>
      <c r="M1003" s="9"/>
      <c r="N1003" s="9"/>
      <c r="O1003" s="9"/>
    </row>
  </sheetData>
  <mergeCells count="5">
    <mergeCell ref="A1:F1"/>
    <mergeCell ref="I2:Q3"/>
    <mergeCell ref="J4:Q8"/>
    <mergeCell ref="A5:A6"/>
    <mergeCell ref="J17:Q18"/>
  </mergeCells>
  <dataValidations>
    <dataValidation type="list" allowBlank="1" showErrorMessage="1" sqref="E10:E38">
      <formula1>"หน้าเว็บไซต์,จดหมายในเกม,ข้อความ sms,จัดส่งพัสดุ"</formula1>
    </dataValidation>
    <dataValidation type="list" allowBlank="1" showErrorMessage="1" sqref="B9">
      <formula1>"🕹 Lucky Draw"</formula1>
    </dataValidation>
    <dataValidation type="list" allowBlank="1" showErrorMessage="1" sqref="L10:L15">
      <formula1>Data!E4:E1003</formula1>
    </dataValidation>
    <dataValidation type="list" allowBlank="1" showErrorMessage="1" sqref="B31:B38">
      <formula1>"รางวัลคอมเมนต์ถูกใจทีมงาน,รางวัลสำหรับทุกคนที่เข้าร่วม"</formula1>
    </dataValidation>
    <dataValidation type="list" allowBlank="1" showErrorMessage="1" sqref="E9">
      <formula1>"🌐 เว็บไซต์,💌 จดหมายภายในเกม,📱 ข้อความ sms,📦 จัดส่งพัสดุ"</formula1>
    </dataValidation>
    <dataValidation type="list" allowBlank="1" showErrorMessage="1" sqref="L20:L26">
      <formula1>Data!E15:E1003</formula1>
    </dataValidation>
    <dataValidation type="list" allowBlank="1" showErrorMessage="1" sqref="B3 F10:F38">
      <formula1>"⚙️ กำลังดำเนินการ,✅ จัดส่งเรียบร้อย"</formula1>
    </dataValidation>
    <dataValidation type="list" allowBlank="1" showErrorMessage="1" sqref="D3">
      <formula1>"ทีมสีเหลือง,ทีมสีฟ้า,MKT,BD"</formula1>
    </dataValidation>
    <dataValidation type="list" allowBlank="1" showErrorMessage="1" sqref="F9">
      <formula1>"เปิดรับยืนยันตัวตน,ปิดรับยืนยันตัวตน,⚙️ กำลังดำเนินการ,✅ จัดส่งแล้ว"</formula1>
    </dataValidation>
    <dataValidation type="list" allowBlank="1" showErrorMessage="1" sqref="B10:B30">
      <formula1>"Lucky Draw"</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29.75"/>
    <col customWidth="1" min="3" max="3" width="37.25"/>
    <col customWidth="1" min="4" max="4" width="27.5"/>
    <col customWidth="1" min="5" max="5" width="24.63"/>
    <col customWidth="1" min="7" max="7" width="6.75"/>
  </cols>
  <sheetData>
    <row r="1">
      <c r="A1" s="92" t="s">
        <v>32</v>
      </c>
      <c r="G1" s="9"/>
      <c r="H1" s="9"/>
    </row>
    <row r="2">
      <c r="A2" s="60" t="s">
        <v>46</v>
      </c>
      <c r="B2" s="93">
        <v>46183.0</v>
      </c>
      <c r="C2" s="60" t="s">
        <v>47</v>
      </c>
      <c r="D2" s="62" t="s">
        <v>48</v>
      </c>
      <c r="E2" s="63" t="s">
        <v>49</v>
      </c>
      <c r="F2" s="9"/>
      <c r="G2" s="9"/>
    </row>
    <row r="3">
      <c r="A3" s="60" t="s">
        <v>51</v>
      </c>
      <c r="B3" s="65" t="s">
        <v>27</v>
      </c>
      <c r="C3" s="66" t="s">
        <v>52</v>
      </c>
      <c r="D3" s="65" t="s">
        <v>53</v>
      </c>
      <c r="E3" s="67" t="s">
        <v>54</v>
      </c>
      <c r="F3" s="9"/>
      <c r="G3" s="9"/>
    </row>
    <row r="4">
      <c r="D4" s="50"/>
      <c r="E4" s="9"/>
      <c r="F4" s="9"/>
      <c r="G4" s="9"/>
    </row>
    <row r="5">
      <c r="A5" s="70" t="s">
        <v>57</v>
      </c>
      <c r="B5" s="71" t="s">
        <v>58</v>
      </c>
      <c r="C5" s="72" t="s">
        <v>59</v>
      </c>
      <c r="D5" s="40"/>
      <c r="E5" s="9"/>
      <c r="F5" s="9"/>
      <c r="G5" s="9"/>
    </row>
    <row r="6">
      <c r="B6" s="71" t="s">
        <v>60</v>
      </c>
      <c r="C6" s="72" t="s">
        <v>61</v>
      </c>
      <c r="D6" s="50"/>
      <c r="E6" s="9"/>
      <c r="F6" s="9"/>
      <c r="G6" s="9"/>
    </row>
    <row r="7">
      <c r="D7" s="50"/>
      <c r="E7" s="9"/>
      <c r="F7" s="9"/>
      <c r="G7" s="9"/>
    </row>
    <row r="8">
      <c r="A8" s="9"/>
      <c r="B8" s="9"/>
      <c r="C8" s="9"/>
      <c r="D8" s="50"/>
      <c r="E8" s="9"/>
      <c r="F8" s="9"/>
      <c r="G8" s="9"/>
    </row>
    <row r="9">
      <c r="A9" s="94" t="s">
        <v>80</v>
      </c>
    </row>
    <row r="11">
      <c r="A11" s="9"/>
      <c r="D11" s="95"/>
    </row>
    <row r="12">
      <c r="D12" s="95"/>
    </row>
    <row r="13">
      <c r="A13" s="96" t="s">
        <v>55</v>
      </c>
      <c r="D13" s="95"/>
    </row>
    <row r="14">
      <c r="A14" s="97">
        <v>1341.0</v>
      </c>
      <c r="B14" s="98" t="s">
        <v>71</v>
      </c>
      <c r="C14" s="98" t="s">
        <v>72</v>
      </c>
      <c r="D14" s="98" t="s">
        <v>73</v>
      </c>
      <c r="E14" s="99" t="s">
        <v>74</v>
      </c>
      <c r="F14" s="98" t="s">
        <v>75</v>
      </c>
      <c r="G14" s="98" t="s">
        <v>76</v>
      </c>
      <c r="H14" s="98" t="s">
        <v>77</v>
      </c>
      <c r="I14" s="100" t="s">
        <v>81</v>
      </c>
    </row>
    <row r="15">
      <c r="A15" s="101">
        <v>1361.0</v>
      </c>
      <c r="B15" s="82" t="str">
        <f t="array" ref="B15">IFERROR(INDEX(Data!$A$4:$O1004, MATCH($D15, INDEX(Data!$A$4:$O1004, 0, MATCH("Item EN", Data!$A$3:$O$3, FALSE)), FALSE), MATCH("Image", Data!$A$3:$O$3, FALSE)
),"")</f>
        <v/>
      </c>
      <c r="C15" s="83">
        <f t="array" ref="C15">IFERROR(INDEX(Data!$A$4:$O1004, MATCH($D15, INDEX(Data!$A$4:$O1004, 0, MATCH("Item EN", Data!$A$3:$O$3, FALSE)), FALSE), MATCH("Item ID", Data!$A$3:$O$3, FALSE)
),"")</f>
        <v>101510</v>
      </c>
      <c r="D15" s="102" t="s">
        <v>82</v>
      </c>
      <c r="E15" s="103"/>
      <c r="F15" s="83" t="str">
        <f t="array" ref="F15">IFERROR(INDEX(Data!$A$4:$O1004, MATCH($D15, INDEX(Data!$A$4:$O1004, 0, MATCH("Item EN", Data!$A$3:$O$3, FALSE)), FALSE), MATCH("Item Type", Data!$A$3:$O$3, FALSE)
),"")</f>
        <v>Consumable</v>
      </c>
      <c r="G15" s="102">
        <v>20.0</v>
      </c>
      <c r="H15" s="87">
        <f t="array" ref="H15">IF(G15="",,IFERROR(INDEX(Data!$A$4:$O1004, MATCH($D15, INDEX(Data!$A$4:$O1004, 0, MATCH("Item EN", Data!$A$3:$O$3, FALSE)), FALSE), MATCH("Price", Data!$A$3:$O$3, FALSE)
),"")*G15)</f>
        <v>20</v>
      </c>
      <c r="I15" s="88" t="str">
        <f t="array" ref="I15">IFERROR(INDEX(Data!$A$4:$O1004, MATCH($D15, INDEX(Data!$A$4:$O1004, 0, MATCH("Item EN", Data!$A$3:$O$3, FALSE)), FALSE), MATCH("Image URL", Data!$A$3:$O$3, FALSE)
),"")</f>
        <v>https://cdn.exe.in.th/marketing/WarzTH_LE/Item%20Dict/bait_lv1.png</v>
      </c>
    </row>
    <row r="16">
      <c r="A16" s="104">
        <v>1183.0</v>
      </c>
      <c r="B16" s="82" t="str">
        <f t="array" ref="B16">IFERROR(INDEX(Data!$A$4:$O1004, MATCH($D16, INDEX(Data!$A$4:$O1004, 0, MATCH("Item EN", Data!$A$3:$O$3, FALSE)), FALSE), MATCH("Image", Data!$A$3:$O$3, FALSE)
),"")</f>
        <v/>
      </c>
      <c r="C16" s="83">
        <f t="array" ref="C16">IFERROR(INDEX(Data!$A$4:$O1004, MATCH($D16, INDEX(Data!$A$4:$O1004, 0, MATCH("Item EN", Data!$A$3:$O$3, FALSE)), FALSE), MATCH("Item ID", Data!$A$3:$O$3, FALSE)
),"")</f>
        <v>101336</v>
      </c>
      <c r="D16" s="102" t="s">
        <v>83</v>
      </c>
      <c r="E16" s="103"/>
      <c r="F16" s="83" t="str">
        <f t="array" ref="F16">IFERROR(INDEX(Data!$A$4:$O1004, MATCH($D16, INDEX(Data!$A$4:$O1004, 0, MATCH("Item EN", Data!$A$3:$O$3, FALSE)), FALSE), MATCH("Item Type", Data!$A$3:$O$3, FALSE)
),"")</f>
        <v>Weapon</v>
      </c>
      <c r="G16" s="102">
        <v>1.0</v>
      </c>
      <c r="H16" s="87">
        <f t="array" ref="H16">IF(G16="",,IFERROR(INDEX(Data!$A$4:$O1004, MATCH($D16, INDEX(Data!$A$4:$O1004, 0, MATCH("Item EN", Data!$A$3:$O$3, FALSE)), FALSE), MATCH("Price", Data!$A$3:$O$3, FALSE)
),"")*G16)</f>
        <v>1.5</v>
      </c>
      <c r="I16" s="88" t="str">
        <f t="array" ref="I16">IFERROR(INDEX(Data!$A$4:$O1004, MATCH($D16, INDEX(Data!$A$4:$O1004, 0, MATCH("Item EN", Data!$A$3:$O$3, FALSE)), FALSE), MATCH("Image URL", Data!$A$3:$O$3, FALSE)
),"")</f>
        <v>https://cdn.exe.in.th/marketing/WarzTH_LE/Item%20Dict/katana.png</v>
      </c>
    </row>
    <row r="17">
      <c r="A17" s="104">
        <v>1181.0</v>
      </c>
      <c r="B17" s="82" t="str">
        <f t="array" ref="B17">IFERROR(INDEX(Data!$A$4:$O1004, MATCH($D17, INDEX(Data!$A$4:$O1004, 0, MATCH("Item EN", Data!$A$3:$O$3, FALSE)), FALSE), MATCH("Image", Data!$A$3:$O$3, FALSE)
),"")</f>
        <v/>
      </c>
      <c r="C17" s="83">
        <f t="array" ref="C17">IFERROR(INDEX(Data!$A$4:$O1004, MATCH($D17, INDEX(Data!$A$4:$O1004, 0, MATCH("Item EN", Data!$A$3:$O$3, FALSE)), FALSE), MATCH("Item ID", Data!$A$3:$O$3, FALSE)
),"")</f>
        <v>20188</v>
      </c>
      <c r="D17" s="102" t="s">
        <v>84</v>
      </c>
      <c r="E17" s="103"/>
      <c r="F17" s="83" t="str">
        <f t="array" ref="F17">IFERROR(INDEX(Data!$A$4:$O1004, MATCH($D17, INDEX(Data!$A$4:$O1004, 0, MATCH("Item EN", Data!$A$3:$O$3, FALSE)), FALSE), MATCH("Item Type", Data!$A$3:$O$3, FALSE)
),"")</f>
        <v>Equipment</v>
      </c>
      <c r="G17" s="102">
        <v>1.0</v>
      </c>
      <c r="H17" s="87">
        <f t="array" ref="H17">IF(G17="",,IFERROR(INDEX(Data!$A$4:$O1004, MATCH($D17, INDEX(Data!$A$4:$O1004, 0, MATCH("Item EN", Data!$A$3:$O$3, FALSE)), FALSE), MATCH("Price", Data!$A$3:$O$3, FALSE)
),"")*G17)</f>
        <v>1.5</v>
      </c>
      <c r="I17" s="88" t="str">
        <f t="array" ref="I17">IFERROR(INDEX(Data!$A$4:$O1004, MATCH($D17, INDEX(Data!$A$4:$O1004, 0, MATCH("Item EN", Data!$A$3:$O$3, FALSE)), FALSE), MATCH("Image URL", Data!$A$3:$O$3, FALSE)
),"")</f>
        <v>https://cdn.exe.in.th/marketing/WarzTH_LE/Item%20Dict/night_vision_civilian.png</v>
      </c>
    </row>
    <row r="18">
      <c r="A18" s="104">
        <v>1193.0</v>
      </c>
      <c r="B18" s="82" t="str">
        <f t="array" ref="B18">IFERROR(INDEX(Data!$A$4:$O1004, MATCH($D18, INDEX(Data!$A$4:$O1004, 0, MATCH("Item EN", Data!$A$3:$O$3, FALSE)), FALSE), MATCH("Image", Data!$A$3:$O$3, FALSE)
),"")</f>
        <v/>
      </c>
      <c r="C18" s="83">
        <f t="array" ref="C18">IFERROR(INDEX(Data!$A$4:$O1004, MATCH($D18, INDEX(Data!$A$4:$O1004, 0, MATCH("Item EN", Data!$A$3:$O$3, FALSE)), FALSE), MATCH("Item ID", Data!$A$3:$O$3, FALSE)
),"")</f>
        <v>20056</v>
      </c>
      <c r="D18" s="102" t="s">
        <v>85</v>
      </c>
      <c r="E18" s="103"/>
      <c r="F18" s="83" t="str">
        <f t="array" ref="F18">IFERROR(INDEX(Data!$A$4:$O1004, MATCH($D18, INDEX(Data!$A$4:$O1004, 0, MATCH("Item EN", Data!$A$3:$O$3, FALSE)), FALSE), MATCH("Item Type", Data!$A$3:$O$3, FALSE)
),"")</f>
        <v>Equipment</v>
      </c>
      <c r="G18" s="102">
        <v>1.0</v>
      </c>
      <c r="H18" s="87">
        <f t="array" ref="H18">IF(G18="",,IFERROR(INDEX(Data!$A$4:$O1004, MATCH($D18, INDEX(Data!$A$4:$O1004, 0, MATCH("Item EN", Data!$A$3:$O$3, FALSE)), FALSE), MATCH("Price", Data!$A$3:$O$3, FALSE)
),"")*G18)</f>
        <v>1.5</v>
      </c>
      <c r="I18" s="88" t="str">
        <f t="array" ref="I18">IFERROR(INDEX(Data!$A$4:$O1004, MATCH($D18, INDEX(Data!$A$4:$O1004, 0, MATCH("Item EN", Data!$A$3:$O$3, FALSE)), FALSE), MATCH("Image URL", Data!$A$3:$O$3, FALSE)
),"")</f>
        <v>https://cdn.exe.in.th/marketing/WarzTH_LE/Item%20Dict/mtv_forest.png</v>
      </c>
    </row>
    <row r="19">
      <c r="A19" s="104">
        <v>1180.0</v>
      </c>
      <c r="B19" s="82" t="str">
        <f t="array" ref="B19">IFERROR(INDEX(Data!$A$4:$O1004, MATCH($D19, INDEX(Data!$A$4:$O1004, 0, MATCH("Item EN", Data!$A$3:$O$3, FALSE)), FALSE), MATCH("Image", Data!$A$3:$O$3, FALSE)
),"")</f>
        <v/>
      </c>
      <c r="C19" s="83">
        <f t="array" ref="C19">IFERROR(INDEX(Data!$A$4:$O1004, MATCH($D19, INDEX(Data!$A$4:$O1004, 0, MATCH("Item EN", Data!$A$3:$O$3, FALSE)), FALSE), MATCH("Item ID", Data!$A$3:$O$3, FALSE)
),"")</f>
        <v>20179</v>
      </c>
      <c r="D19" s="102" t="s">
        <v>86</v>
      </c>
      <c r="E19" s="103"/>
      <c r="F19" s="83" t="str">
        <f t="array" ref="F19">IFERROR(INDEX(Data!$A$4:$O1004, MATCH($D19, INDEX(Data!$A$4:$O1004, 0, MATCH("Item EN", Data!$A$3:$O$3, FALSE)), FALSE), MATCH("Item Type", Data!$A$3:$O$3, FALSE)
),"")</f>
        <v>Equipment</v>
      </c>
      <c r="G19" s="102">
        <v>1.0</v>
      </c>
      <c r="H19" s="87">
        <f t="array" ref="H19">IF(G19="",,IFERROR(INDEX(Data!$A$4:$O1004, MATCH($D19, INDEX(Data!$A$4:$O1004, 0, MATCH("Item EN", Data!$A$3:$O$3, FALSE)), FALSE), MATCH("Price", Data!$A$3:$O$3, FALSE)
),"")*G19)</f>
        <v>2</v>
      </c>
      <c r="I19" s="88" t="str">
        <f t="array" ref="I19">IFERROR(INDEX(Data!$A$4:$O1004, MATCH($D19, INDEX(Data!$A$4:$O1004, 0, MATCH("Item EN", Data!$A$3:$O$3, FALSE)), FALSE), MATCH("Image URL", Data!$A$3:$O$3, FALSE)
),"")</f>
        <v>https://cdn.exe.in.th/marketing/WarzTH_LE/Item%20Dict/large_backpack.png</v>
      </c>
    </row>
    <row r="20">
      <c r="A20" s="104">
        <v>1184.0</v>
      </c>
      <c r="B20" s="82" t="str">
        <f t="array" ref="B20">IFERROR(INDEX(Data!$A$4:$O1004, MATCH($D20, INDEX(Data!$A$4:$O1004, 0, MATCH("Item EN", Data!$A$3:$O$3, FALSE)), FALSE), MATCH("Image", Data!$A$3:$O$3, FALSE)
),"")</f>
        <v/>
      </c>
      <c r="C20" s="83">
        <f t="array" ref="C20">IFERROR(INDEX(Data!$A$4:$O1004, MATCH($D20, INDEX(Data!$A$4:$O1004, 0, MATCH("Item EN", Data!$A$3:$O$3, FALSE)), FALSE), MATCH("Item ID", Data!$A$3:$O$3, FALSE)
),"")</f>
        <v>101256</v>
      </c>
      <c r="D20" s="102" t="s">
        <v>87</v>
      </c>
      <c r="E20" s="103"/>
      <c r="F20" s="83" t="str">
        <f t="array" ref="F20">IFERROR(INDEX(Data!$A$4:$O1004, MATCH($D20, INDEX(Data!$A$4:$O1004, 0, MATCH("Item EN", Data!$A$3:$O$3, FALSE)), FALSE), MATCH("Item Type", Data!$A$3:$O$3, FALSE)
),"")</f>
        <v>Consumable</v>
      </c>
      <c r="G20" s="102">
        <v>5.0</v>
      </c>
      <c r="H20" s="87">
        <f t="array" ref="H20">IF(G20="",,IFERROR(INDEX(Data!$A$4:$O1004, MATCH($D20, INDEX(Data!$A$4:$O1004, 0, MATCH("Item EN", Data!$A$3:$O$3, FALSE)), FALSE), MATCH("Price", Data!$A$3:$O$3, FALSE)
),"")*G20)</f>
        <v>2.5</v>
      </c>
      <c r="I20" s="88" t="str">
        <f t="array" ref="I20">IFERROR(INDEX(Data!$A$4:$O1004, MATCH($D20, INDEX(Data!$A$4:$O1004, 0, MATCH("Item EN", Data!$A$3:$O$3, FALSE)), FALSE), MATCH("Image URL", Data!$A$3:$O$3, FALSE)
),"")</f>
        <v>https://cdn.exe.in.th/marketing/WarzTH_LE/Item%20Dict/anitibiotics.png</v>
      </c>
    </row>
    <row r="21">
      <c r="A21" s="104">
        <v>1187.0</v>
      </c>
      <c r="B21" s="82" t="str">
        <f t="array" ref="B21">IFERROR(INDEX(Data!$A$4:$O1004, MATCH($D21, INDEX(Data!$A$4:$O1004, 0, MATCH("Item EN", Data!$A$3:$O$3, FALSE)), FALSE), MATCH("Image", Data!$A$3:$O$3, FALSE)
),"")</f>
        <v/>
      </c>
      <c r="C21" s="83">
        <f t="array" ref="C21">IFERROR(INDEX(Data!$A$4:$O1004, MATCH($D21, INDEX(Data!$A$4:$O1004, 0, MATCH("Item EN", Data!$A$3:$O$3, FALSE)), FALSE), MATCH("Item ID", Data!$A$3:$O$3, FALSE)
),"")</f>
        <v>101284</v>
      </c>
      <c r="D21" s="102" t="s">
        <v>88</v>
      </c>
      <c r="E21" s="103"/>
      <c r="F21" s="83" t="str">
        <f t="array" ref="F21">IFERROR(INDEX(Data!$A$4:$O1004, MATCH($D21, INDEX(Data!$A$4:$O1004, 0, MATCH("Item EN", Data!$A$3:$O$3, FALSE)), FALSE), MATCH("Item Type", Data!$A$3:$O$3, FALSE)
),"")</f>
        <v>Consumable</v>
      </c>
      <c r="G21" s="102">
        <v>2.0</v>
      </c>
      <c r="H21" s="87">
        <f t="array" ref="H21">IF(G21="",,IFERROR(INDEX(Data!$A$4:$O1004, MATCH($D21, INDEX(Data!$A$4:$O1004, 0, MATCH("Item EN", Data!$A$3:$O$3, FALSE)), FALSE), MATCH("Price", Data!$A$3:$O$3, FALSE)
),"")*G21)</f>
        <v>2</v>
      </c>
      <c r="I21" s="88" t="str">
        <f t="array" ref="I21">IFERROR(INDEX(Data!$A$4:$O1004, MATCH($D21, INDEX(Data!$A$4:$O1004, 0, MATCH("Item EN", Data!$A$3:$O$3, FALSE)), FALSE), MATCH("Image URL", Data!$A$3:$O$3, FALSE)
),"")</f>
        <v>https://cdn.exe.in.th/marketing/WarzTH_LE/Item%20Dict/mre.png</v>
      </c>
    </row>
    <row r="22">
      <c r="A22" s="104">
        <v>1188.0</v>
      </c>
      <c r="B22" s="82" t="str">
        <f t="array" ref="B22">IFERROR(INDEX(Data!$A$4:$O1004, MATCH($D22, INDEX(Data!$A$4:$O1004, 0, MATCH("Item EN", Data!$A$3:$O$3, FALSE)), FALSE), MATCH("Image", Data!$A$3:$O$3, FALSE)
),"")</f>
        <v/>
      </c>
      <c r="C22" s="83">
        <f t="array" ref="C22">IFERROR(INDEX(Data!$A$4:$O1004, MATCH($D22, INDEX(Data!$A$4:$O1004, 0, MATCH("Item EN", Data!$A$3:$O$3, FALSE)), FALSE), MATCH("Item ID", Data!$A$3:$O$3, FALSE)
),"")</f>
        <v>101295</v>
      </c>
      <c r="D22" s="102" t="s">
        <v>89</v>
      </c>
      <c r="E22" s="103"/>
      <c r="F22" s="83" t="str">
        <f t="array" ref="F22">IFERROR(INDEX(Data!$A$4:$O1004, MATCH($D22, INDEX(Data!$A$4:$O1004, 0, MATCH("Item EN", Data!$A$3:$O$3, FALSE)), FALSE), MATCH("Item Type", Data!$A$3:$O$3, FALSE)
),"")</f>
        <v>Consumable</v>
      </c>
      <c r="G22" s="102">
        <v>2.0</v>
      </c>
      <c r="H22" s="87">
        <f t="array" ref="H22">IF(G22="",,IFERROR(INDEX(Data!$A$4:$O1004, MATCH($D22, INDEX(Data!$A$4:$O1004, 0, MATCH("Item EN", Data!$A$3:$O$3, FALSE)), FALSE), MATCH("Price", Data!$A$3:$O$3, FALSE)
),"")*G22)</f>
        <v>5</v>
      </c>
      <c r="I22" s="88" t="str">
        <f t="array" ref="I22">IFERROR(INDEX(Data!$A$4:$O1004, MATCH($D22, INDEX(Data!$A$4:$O1004, 0, MATCH("Item EN", Data!$A$3:$O$3, FALSE)), FALSE), MATCH("Image URL", Data!$A$3:$O$3, FALSE)
),"")</f>
        <v>https://cdn.exe.in.th/marketing/WarzTH_LE/Item%20Dict/electro_aid.png</v>
      </c>
    </row>
    <row r="23">
      <c r="A23" s="9"/>
      <c r="D23" s="95"/>
    </row>
    <row r="24">
      <c r="A24" s="9"/>
      <c r="D24" s="95"/>
    </row>
    <row r="25">
      <c r="A25" s="9"/>
      <c r="D25" s="95"/>
    </row>
    <row r="26">
      <c r="A26" s="9"/>
      <c r="D26" s="95"/>
    </row>
    <row r="27">
      <c r="A27" s="65"/>
      <c r="B27" s="9"/>
      <c r="C27" s="9"/>
      <c r="D27" s="50"/>
      <c r="E27" s="9"/>
      <c r="F27" s="9"/>
      <c r="G27" s="59"/>
      <c r="H27" s="9"/>
    </row>
    <row r="28">
      <c r="A28" s="65"/>
      <c r="B28" s="9"/>
      <c r="C28" s="9"/>
      <c r="D28" s="50"/>
      <c r="E28" s="9"/>
      <c r="F28" s="9"/>
      <c r="G28" s="59"/>
      <c r="H28" s="9"/>
    </row>
    <row r="29">
      <c r="A29" s="65"/>
      <c r="B29" s="9"/>
      <c r="C29" s="9"/>
      <c r="D29" s="50"/>
      <c r="E29" s="9"/>
      <c r="F29" s="9"/>
      <c r="G29" s="59"/>
      <c r="H29" s="9"/>
    </row>
    <row r="30">
      <c r="A30" s="65"/>
      <c r="B30" s="9"/>
      <c r="C30" s="9"/>
      <c r="D30" s="50"/>
      <c r="E30" s="9"/>
      <c r="F30" s="9"/>
      <c r="G30" s="59"/>
      <c r="H30" s="9"/>
    </row>
    <row r="31">
      <c r="A31" s="65"/>
      <c r="B31" s="9"/>
      <c r="C31" s="9"/>
      <c r="D31" s="50"/>
      <c r="E31" s="9"/>
      <c r="F31" s="9"/>
      <c r="G31" s="59"/>
      <c r="H31" s="9"/>
    </row>
    <row r="32">
      <c r="A32" s="65"/>
      <c r="B32" s="9"/>
      <c r="C32" s="9"/>
      <c r="D32" s="50"/>
      <c r="E32" s="9"/>
      <c r="F32" s="9"/>
      <c r="G32" s="59"/>
      <c r="H32" s="9"/>
    </row>
    <row r="33">
      <c r="A33" s="65"/>
      <c r="B33" s="9"/>
      <c r="C33" s="9"/>
      <c r="D33" s="50"/>
      <c r="E33" s="9"/>
      <c r="F33" s="9"/>
      <c r="G33" s="59"/>
      <c r="H33" s="9"/>
    </row>
    <row r="34">
      <c r="A34" s="65"/>
      <c r="B34" s="9"/>
      <c r="C34" s="9"/>
      <c r="D34" s="50"/>
      <c r="E34" s="9"/>
      <c r="F34" s="9"/>
      <c r="G34" s="59"/>
      <c r="H34" s="9"/>
    </row>
    <row r="35">
      <c r="A35" s="65"/>
      <c r="B35" s="9"/>
      <c r="C35" s="9"/>
      <c r="D35" s="50"/>
      <c r="E35" s="9"/>
      <c r="F35" s="9"/>
      <c r="G35" s="59"/>
      <c r="H35" s="9"/>
    </row>
    <row r="36">
      <c r="A36" s="65"/>
      <c r="B36" s="9"/>
      <c r="C36" s="9"/>
      <c r="D36" s="50"/>
      <c r="E36" s="9"/>
      <c r="F36" s="9"/>
      <c r="G36" s="59"/>
      <c r="H36" s="9"/>
    </row>
    <row r="37">
      <c r="A37" s="65"/>
      <c r="B37" s="9"/>
      <c r="C37" s="9"/>
      <c r="D37" s="50"/>
      <c r="E37" s="9"/>
      <c r="F37" s="9"/>
      <c r="G37" s="59"/>
      <c r="H37" s="9"/>
    </row>
    <row r="38">
      <c r="A38" s="65"/>
      <c r="B38" s="9"/>
      <c r="C38" s="9"/>
      <c r="D38" s="50"/>
      <c r="E38" s="9"/>
      <c r="F38" s="9"/>
      <c r="G38" s="59"/>
      <c r="H38" s="9"/>
    </row>
    <row r="39">
      <c r="A39" s="65"/>
      <c r="B39" s="9"/>
      <c r="C39" s="9"/>
      <c r="D39" s="50"/>
      <c r="E39" s="9"/>
      <c r="F39" s="9"/>
      <c r="G39" s="59"/>
      <c r="H39" s="9"/>
    </row>
    <row r="40">
      <c r="A40" s="9"/>
      <c r="B40" s="9"/>
      <c r="C40" s="9"/>
      <c r="D40" s="50"/>
      <c r="E40" s="9"/>
      <c r="F40" s="9"/>
      <c r="G40" s="59"/>
      <c r="H40" s="9"/>
    </row>
    <row r="41">
      <c r="A41" s="9"/>
      <c r="B41" s="9"/>
      <c r="C41" s="9"/>
      <c r="D41" s="50"/>
      <c r="E41" s="9"/>
      <c r="F41" s="9"/>
      <c r="G41" s="59"/>
      <c r="H41" s="9"/>
    </row>
    <row r="42">
      <c r="A42" s="9"/>
      <c r="B42" s="9"/>
      <c r="C42" s="9"/>
      <c r="D42" s="50"/>
      <c r="E42" s="9"/>
      <c r="F42" s="9"/>
      <c r="G42" s="59"/>
      <c r="H42" s="9"/>
    </row>
    <row r="43">
      <c r="A43" s="9"/>
      <c r="B43" s="9"/>
      <c r="C43" s="9"/>
      <c r="D43" s="50"/>
      <c r="E43" s="9"/>
      <c r="F43" s="9"/>
      <c r="G43" s="59"/>
      <c r="H43" s="9"/>
    </row>
    <row r="44">
      <c r="A44" s="9"/>
      <c r="B44" s="9"/>
      <c r="C44" s="9"/>
      <c r="D44" s="50"/>
      <c r="E44" s="9"/>
      <c r="F44" s="9"/>
      <c r="G44" s="59"/>
      <c r="H44" s="9"/>
    </row>
    <row r="45">
      <c r="A45" s="9"/>
      <c r="B45" s="9"/>
      <c r="C45" s="9"/>
      <c r="D45" s="50"/>
      <c r="E45" s="9"/>
      <c r="F45" s="9"/>
      <c r="G45" s="59"/>
      <c r="H45" s="9"/>
    </row>
    <row r="46">
      <c r="A46" s="9"/>
      <c r="B46" s="9"/>
      <c r="C46" s="9"/>
      <c r="D46" s="50"/>
      <c r="E46" s="9"/>
      <c r="F46" s="9"/>
      <c r="G46" s="59"/>
      <c r="H46" s="9"/>
    </row>
    <row r="47">
      <c r="A47" s="9"/>
      <c r="B47" s="9"/>
      <c r="C47" s="9"/>
      <c r="D47" s="50"/>
      <c r="E47" s="9"/>
      <c r="F47" s="9"/>
      <c r="G47" s="59"/>
      <c r="H47" s="9"/>
    </row>
    <row r="48">
      <c r="A48" s="9"/>
      <c r="B48" s="9"/>
      <c r="C48" s="9"/>
      <c r="D48" s="50"/>
      <c r="E48" s="9"/>
      <c r="F48" s="9"/>
      <c r="G48" s="59"/>
      <c r="H48" s="9"/>
    </row>
    <row r="49">
      <c r="A49" s="9"/>
      <c r="B49" s="9"/>
      <c r="C49" s="9"/>
      <c r="D49" s="50"/>
      <c r="E49" s="9"/>
      <c r="F49" s="9"/>
      <c r="G49" s="59"/>
      <c r="H49" s="9"/>
    </row>
    <row r="50">
      <c r="A50" s="9"/>
      <c r="B50" s="9"/>
      <c r="C50" s="9"/>
      <c r="D50" s="50"/>
      <c r="E50" s="9"/>
      <c r="F50" s="9"/>
      <c r="G50" s="59"/>
      <c r="H50" s="9"/>
    </row>
    <row r="51">
      <c r="A51" s="9"/>
      <c r="B51" s="9"/>
      <c r="C51" s="9"/>
      <c r="D51" s="50"/>
      <c r="E51" s="9"/>
      <c r="F51" s="9"/>
      <c r="G51" s="59"/>
      <c r="H51" s="9"/>
    </row>
    <row r="52">
      <c r="A52" s="9"/>
      <c r="B52" s="9"/>
      <c r="C52" s="9"/>
      <c r="D52" s="50"/>
      <c r="E52" s="9"/>
      <c r="F52" s="9"/>
      <c r="G52" s="59"/>
      <c r="H52" s="9"/>
    </row>
    <row r="53">
      <c r="A53" s="9"/>
      <c r="B53" s="9"/>
      <c r="C53" s="9"/>
      <c r="D53" s="50"/>
      <c r="E53" s="9"/>
      <c r="F53" s="9"/>
      <c r="G53" s="59"/>
      <c r="H53" s="9"/>
    </row>
    <row r="54">
      <c r="A54" s="9"/>
      <c r="B54" s="9"/>
      <c r="C54" s="9"/>
      <c r="D54" s="50"/>
      <c r="E54" s="9"/>
      <c r="F54" s="9"/>
      <c r="G54" s="59"/>
      <c r="H54" s="9"/>
    </row>
    <row r="55">
      <c r="A55" s="9"/>
      <c r="B55" s="9"/>
      <c r="C55" s="9"/>
      <c r="D55" s="50"/>
      <c r="E55" s="9"/>
      <c r="F55" s="9"/>
      <c r="G55" s="59"/>
      <c r="H55" s="9"/>
    </row>
    <row r="56">
      <c r="A56" s="9"/>
      <c r="B56" s="9"/>
      <c r="C56" s="9"/>
      <c r="D56" s="50"/>
      <c r="E56" s="9"/>
      <c r="F56" s="9"/>
      <c r="G56" s="59"/>
      <c r="H56" s="9"/>
    </row>
    <row r="57">
      <c r="A57" s="9"/>
      <c r="B57" s="9"/>
      <c r="C57" s="9"/>
      <c r="D57" s="50"/>
      <c r="E57" s="9"/>
      <c r="F57" s="9"/>
      <c r="G57" s="59"/>
      <c r="H57" s="9"/>
    </row>
    <row r="58">
      <c r="A58" s="9"/>
      <c r="B58" s="9"/>
      <c r="C58" s="9"/>
      <c r="D58" s="50"/>
      <c r="E58" s="9"/>
      <c r="F58" s="9"/>
      <c r="G58" s="59"/>
      <c r="H58" s="9"/>
    </row>
    <row r="59">
      <c r="A59" s="9"/>
      <c r="B59" s="9"/>
      <c r="C59" s="9"/>
      <c r="D59" s="50"/>
      <c r="E59" s="9"/>
      <c r="F59" s="9"/>
      <c r="G59" s="59"/>
      <c r="H59" s="9"/>
    </row>
    <row r="60">
      <c r="A60" s="9"/>
      <c r="B60" s="9"/>
      <c r="C60" s="9"/>
      <c r="D60" s="50"/>
      <c r="E60" s="9"/>
      <c r="F60" s="9"/>
      <c r="G60" s="59"/>
      <c r="H60" s="9"/>
    </row>
    <row r="61">
      <c r="A61" s="9"/>
      <c r="B61" s="9"/>
      <c r="C61" s="9"/>
      <c r="D61" s="50"/>
      <c r="E61" s="9"/>
      <c r="F61" s="9"/>
      <c r="G61" s="59"/>
      <c r="H61" s="9"/>
    </row>
    <row r="62">
      <c r="A62" s="9"/>
      <c r="B62" s="9"/>
      <c r="C62" s="9"/>
      <c r="D62" s="50"/>
      <c r="E62" s="9"/>
      <c r="F62" s="9"/>
      <c r="G62" s="59"/>
      <c r="H62" s="9"/>
    </row>
    <row r="63">
      <c r="A63" s="9"/>
      <c r="B63" s="9"/>
      <c r="C63" s="9"/>
      <c r="D63" s="50"/>
      <c r="E63" s="9"/>
      <c r="F63" s="9"/>
      <c r="G63" s="59"/>
      <c r="H63" s="9"/>
    </row>
    <row r="64">
      <c r="A64" s="9"/>
      <c r="B64" s="9"/>
      <c r="C64" s="9"/>
      <c r="D64" s="50"/>
      <c r="E64" s="9"/>
      <c r="F64" s="9"/>
      <c r="G64" s="59"/>
      <c r="H64" s="9"/>
    </row>
    <row r="65">
      <c r="A65" s="9"/>
      <c r="B65" s="9"/>
      <c r="C65" s="9"/>
      <c r="D65" s="50"/>
      <c r="E65" s="9"/>
      <c r="F65" s="9"/>
      <c r="G65" s="59"/>
      <c r="H65" s="9"/>
    </row>
    <row r="66">
      <c r="A66" s="9"/>
      <c r="B66" s="9"/>
      <c r="C66" s="9"/>
      <c r="D66" s="50"/>
      <c r="E66" s="9"/>
      <c r="F66" s="9"/>
      <c r="G66" s="59"/>
      <c r="H66" s="9"/>
    </row>
    <row r="67">
      <c r="A67" s="9"/>
      <c r="B67" s="9"/>
      <c r="C67" s="9"/>
      <c r="D67" s="50"/>
      <c r="E67" s="9"/>
      <c r="F67" s="9"/>
      <c r="G67" s="59"/>
      <c r="H67" s="9"/>
    </row>
    <row r="68">
      <c r="A68" s="9"/>
      <c r="B68" s="9"/>
      <c r="C68" s="9"/>
      <c r="D68" s="50"/>
      <c r="E68" s="9"/>
      <c r="F68" s="9"/>
      <c r="G68" s="59"/>
      <c r="H68" s="9"/>
    </row>
    <row r="69">
      <c r="A69" s="9"/>
      <c r="B69" s="9"/>
      <c r="C69" s="9"/>
      <c r="D69" s="50"/>
      <c r="E69" s="9"/>
      <c r="F69" s="9"/>
      <c r="G69" s="59"/>
      <c r="H69" s="9"/>
    </row>
    <row r="70">
      <c r="A70" s="9"/>
      <c r="B70" s="9"/>
      <c r="C70" s="9"/>
      <c r="D70" s="50"/>
      <c r="E70" s="9"/>
      <c r="F70" s="9"/>
      <c r="G70" s="59"/>
      <c r="H70" s="9"/>
    </row>
    <row r="71">
      <c r="A71" s="9"/>
      <c r="B71" s="9"/>
      <c r="C71" s="9"/>
      <c r="D71" s="50"/>
      <c r="E71" s="9"/>
      <c r="F71" s="9"/>
      <c r="G71" s="59"/>
      <c r="H71" s="9"/>
    </row>
    <row r="72">
      <c r="A72" s="9"/>
      <c r="B72" s="9"/>
      <c r="C72" s="9"/>
      <c r="D72" s="50"/>
      <c r="E72" s="9"/>
      <c r="F72" s="9"/>
      <c r="G72" s="59"/>
      <c r="H72" s="9"/>
    </row>
    <row r="73">
      <c r="A73" s="9"/>
      <c r="B73" s="9"/>
      <c r="C73" s="9"/>
      <c r="D73" s="50"/>
      <c r="E73" s="9"/>
      <c r="F73" s="9"/>
      <c r="G73" s="59"/>
      <c r="H73" s="9"/>
    </row>
    <row r="74">
      <c r="A74" s="9"/>
      <c r="B74" s="9"/>
      <c r="C74" s="9"/>
      <c r="D74" s="50"/>
      <c r="E74" s="9"/>
      <c r="F74" s="9"/>
      <c r="G74" s="59"/>
      <c r="H74" s="9"/>
    </row>
    <row r="75">
      <c r="A75" s="9"/>
      <c r="B75" s="9"/>
      <c r="C75" s="9"/>
      <c r="D75" s="50"/>
      <c r="E75" s="9"/>
      <c r="F75" s="9"/>
      <c r="G75" s="59"/>
      <c r="H75" s="9"/>
    </row>
    <row r="76">
      <c r="A76" s="9"/>
      <c r="B76" s="9"/>
      <c r="C76" s="9"/>
      <c r="D76" s="50"/>
      <c r="E76" s="9"/>
      <c r="F76" s="9"/>
      <c r="G76" s="59"/>
      <c r="H76" s="9"/>
    </row>
    <row r="77">
      <c r="A77" s="9"/>
      <c r="B77" s="9"/>
      <c r="C77" s="9"/>
      <c r="D77" s="50"/>
      <c r="E77" s="9"/>
      <c r="F77" s="9"/>
      <c r="G77" s="59"/>
      <c r="H77" s="9"/>
    </row>
    <row r="78">
      <c r="A78" s="9"/>
      <c r="B78" s="9"/>
      <c r="C78" s="9"/>
      <c r="D78" s="50"/>
      <c r="E78" s="9"/>
      <c r="F78" s="9"/>
      <c r="G78" s="59"/>
      <c r="H78" s="9"/>
    </row>
    <row r="79">
      <c r="A79" s="9"/>
      <c r="B79" s="9"/>
      <c r="C79" s="9"/>
      <c r="D79" s="50"/>
      <c r="E79" s="9"/>
      <c r="F79" s="9"/>
      <c r="G79" s="59"/>
      <c r="H79" s="9"/>
    </row>
    <row r="80">
      <c r="A80" s="9"/>
      <c r="B80" s="9"/>
      <c r="C80" s="9"/>
      <c r="D80" s="50"/>
      <c r="E80" s="9"/>
      <c r="F80" s="9"/>
      <c r="G80" s="59"/>
      <c r="H80" s="9"/>
    </row>
    <row r="81">
      <c r="A81" s="9"/>
      <c r="B81" s="9"/>
      <c r="C81" s="9"/>
      <c r="D81" s="50"/>
      <c r="E81" s="9"/>
      <c r="F81" s="9"/>
      <c r="G81" s="59"/>
      <c r="H81" s="9"/>
    </row>
    <row r="82">
      <c r="A82" s="9"/>
      <c r="B82" s="9"/>
      <c r="C82" s="9"/>
      <c r="D82" s="50"/>
      <c r="E82" s="9"/>
      <c r="F82" s="9"/>
      <c r="G82" s="59"/>
      <c r="H82" s="9"/>
    </row>
    <row r="83">
      <c r="A83" s="9"/>
      <c r="B83" s="9"/>
      <c r="C83" s="9"/>
      <c r="D83" s="50"/>
      <c r="E83" s="9"/>
      <c r="F83" s="9"/>
      <c r="G83" s="59"/>
      <c r="H83" s="9"/>
    </row>
    <row r="84">
      <c r="A84" s="9"/>
      <c r="B84" s="9"/>
      <c r="C84" s="9"/>
      <c r="D84" s="50"/>
      <c r="E84" s="9"/>
      <c r="F84" s="9"/>
      <c r="G84" s="59"/>
      <c r="H84" s="9"/>
    </row>
    <row r="85">
      <c r="A85" s="9"/>
      <c r="B85" s="9"/>
      <c r="C85" s="9"/>
      <c r="D85" s="50"/>
      <c r="E85" s="9"/>
      <c r="F85" s="9"/>
      <c r="G85" s="59"/>
      <c r="H85" s="9"/>
    </row>
    <row r="86">
      <c r="A86" s="9"/>
      <c r="B86" s="9"/>
      <c r="C86" s="9"/>
      <c r="D86" s="50"/>
      <c r="E86" s="9"/>
      <c r="F86" s="9"/>
      <c r="G86" s="59"/>
      <c r="H86" s="9"/>
    </row>
    <row r="87">
      <c r="A87" s="9"/>
      <c r="B87" s="9"/>
      <c r="C87" s="9"/>
      <c r="D87" s="50"/>
      <c r="E87" s="9"/>
      <c r="F87" s="9"/>
      <c r="G87" s="59"/>
      <c r="H87" s="9"/>
    </row>
    <row r="88">
      <c r="A88" s="9"/>
      <c r="B88" s="9"/>
      <c r="C88" s="9"/>
      <c r="D88" s="50"/>
      <c r="E88" s="9"/>
      <c r="F88" s="9"/>
      <c r="G88" s="59"/>
      <c r="H88" s="9"/>
    </row>
    <row r="89">
      <c r="A89" s="9"/>
      <c r="B89" s="9"/>
      <c r="C89" s="9"/>
      <c r="D89" s="50"/>
      <c r="E89" s="9"/>
      <c r="F89" s="9"/>
      <c r="G89" s="59"/>
      <c r="H89" s="9"/>
    </row>
    <row r="90">
      <c r="A90" s="9"/>
      <c r="B90" s="9"/>
      <c r="C90" s="9"/>
      <c r="D90" s="50"/>
      <c r="E90" s="9"/>
      <c r="F90" s="9"/>
      <c r="G90" s="59"/>
      <c r="H90" s="9"/>
    </row>
    <row r="91">
      <c r="A91" s="9"/>
      <c r="B91" s="9"/>
      <c r="C91" s="9"/>
      <c r="D91" s="50"/>
      <c r="E91" s="9"/>
      <c r="F91" s="9"/>
      <c r="G91" s="59"/>
      <c r="H91" s="9"/>
    </row>
    <row r="92">
      <c r="A92" s="9"/>
      <c r="B92" s="9"/>
      <c r="C92" s="9"/>
      <c r="D92" s="50"/>
      <c r="E92" s="9"/>
      <c r="F92" s="9"/>
      <c r="G92" s="59"/>
      <c r="H92" s="9"/>
    </row>
    <row r="93">
      <c r="A93" s="9"/>
      <c r="B93" s="9"/>
      <c r="C93" s="9"/>
      <c r="D93" s="50"/>
      <c r="E93" s="9"/>
      <c r="F93" s="9"/>
      <c r="G93" s="59"/>
      <c r="H93" s="9"/>
    </row>
    <row r="94">
      <c r="A94" s="9"/>
      <c r="B94" s="9"/>
      <c r="C94" s="9"/>
      <c r="D94" s="50"/>
      <c r="E94" s="9"/>
      <c r="F94" s="9"/>
      <c r="G94" s="59"/>
      <c r="H94" s="9"/>
    </row>
    <row r="95">
      <c r="A95" s="9"/>
      <c r="B95" s="9"/>
      <c r="C95" s="9"/>
      <c r="D95" s="50"/>
      <c r="E95" s="9"/>
      <c r="F95" s="9"/>
      <c r="G95" s="59"/>
      <c r="H95" s="9"/>
    </row>
    <row r="96">
      <c r="A96" s="9"/>
      <c r="B96" s="9"/>
      <c r="C96" s="9"/>
      <c r="D96" s="50"/>
      <c r="E96" s="9"/>
      <c r="F96" s="9"/>
      <c r="G96" s="59"/>
      <c r="H96" s="9"/>
    </row>
    <row r="97">
      <c r="A97" s="9"/>
      <c r="B97" s="9"/>
      <c r="C97" s="9"/>
      <c r="D97" s="50"/>
      <c r="E97" s="9"/>
      <c r="F97" s="9"/>
      <c r="G97" s="59"/>
      <c r="H97" s="9"/>
    </row>
    <row r="98">
      <c r="A98" s="9"/>
      <c r="B98" s="9"/>
      <c r="C98" s="9"/>
      <c r="D98" s="50"/>
      <c r="E98" s="9"/>
      <c r="F98" s="9"/>
      <c r="G98" s="59"/>
      <c r="H98" s="9"/>
    </row>
    <row r="99">
      <c r="A99" s="9"/>
      <c r="B99" s="9"/>
      <c r="C99" s="9"/>
      <c r="D99" s="50"/>
      <c r="E99" s="9"/>
      <c r="F99" s="9"/>
      <c r="G99" s="59"/>
      <c r="H99" s="9"/>
    </row>
    <row r="100">
      <c r="A100" s="9"/>
      <c r="B100" s="9"/>
      <c r="C100" s="9"/>
      <c r="D100" s="50"/>
      <c r="E100" s="9"/>
      <c r="F100" s="9"/>
      <c r="G100" s="59"/>
      <c r="H100" s="9"/>
    </row>
    <row r="101">
      <c r="A101" s="9"/>
      <c r="B101" s="9"/>
      <c r="C101" s="9"/>
      <c r="D101" s="50"/>
      <c r="E101" s="9"/>
      <c r="F101" s="9"/>
      <c r="G101" s="59"/>
      <c r="H101" s="9"/>
    </row>
    <row r="102">
      <c r="A102" s="9"/>
      <c r="B102" s="9"/>
      <c r="C102" s="9"/>
      <c r="D102" s="50"/>
      <c r="E102" s="9"/>
      <c r="F102" s="9"/>
      <c r="G102" s="59"/>
      <c r="H102" s="9"/>
    </row>
    <row r="103">
      <c r="A103" s="9"/>
      <c r="B103" s="9"/>
      <c r="C103" s="9"/>
      <c r="D103" s="50"/>
      <c r="E103" s="9"/>
      <c r="F103" s="9"/>
      <c r="G103" s="59"/>
      <c r="H103" s="9"/>
    </row>
    <row r="104">
      <c r="A104" s="9"/>
      <c r="B104" s="9"/>
      <c r="C104" s="9"/>
      <c r="D104" s="50"/>
      <c r="E104" s="9"/>
      <c r="F104" s="9"/>
      <c r="G104" s="59"/>
      <c r="H104" s="9"/>
    </row>
    <row r="105">
      <c r="A105" s="9"/>
      <c r="B105" s="9"/>
      <c r="C105" s="9"/>
      <c r="D105" s="50"/>
      <c r="E105" s="9"/>
      <c r="F105" s="9"/>
      <c r="G105" s="59"/>
      <c r="H105" s="9"/>
    </row>
    <row r="106">
      <c r="A106" s="9"/>
      <c r="B106" s="9"/>
      <c r="C106" s="9"/>
      <c r="D106" s="50"/>
      <c r="E106" s="9"/>
      <c r="F106" s="9"/>
      <c r="G106" s="59"/>
      <c r="H106" s="9"/>
    </row>
    <row r="107">
      <c r="A107" s="9"/>
      <c r="B107" s="9"/>
      <c r="C107" s="9"/>
      <c r="D107" s="50"/>
      <c r="E107" s="9"/>
      <c r="F107" s="9"/>
      <c r="G107" s="59"/>
      <c r="H107" s="9"/>
    </row>
    <row r="108">
      <c r="A108" s="9"/>
      <c r="B108" s="9"/>
      <c r="C108" s="9"/>
      <c r="D108" s="50"/>
      <c r="E108" s="9"/>
      <c r="F108" s="9"/>
      <c r="G108" s="59"/>
      <c r="H108" s="9"/>
    </row>
    <row r="109">
      <c r="A109" s="9"/>
      <c r="B109" s="9"/>
      <c r="C109" s="9"/>
      <c r="D109" s="50"/>
      <c r="E109" s="9"/>
      <c r="F109" s="9"/>
      <c r="G109" s="59"/>
      <c r="H109" s="9"/>
    </row>
    <row r="110">
      <c r="A110" s="9"/>
      <c r="B110" s="9"/>
      <c r="C110" s="9"/>
      <c r="D110" s="50"/>
      <c r="E110" s="9"/>
      <c r="F110" s="9"/>
      <c r="G110" s="59"/>
      <c r="H110" s="9"/>
    </row>
    <row r="111">
      <c r="A111" s="9"/>
      <c r="B111" s="9"/>
      <c r="C111" s="9"/>
      <c r="D111" s="50"/>
      <c r="E111" s="9"/>
      <c r="F111" s="9"/>
      <c r="G111" s="59"/>
      <c r="H111" s="9"/>
    </row>
    <row r="112">
      <c r="A112" s="9"/>
      <c r="B112" s="9"/>
      <c r="C112" s="9"/>
      <c r="D112" s="50"/>
      <c r="E112" s="9"/>
      <c r="F112" s="9"/>
      <c r="G112" s="59"/>
      <c r="H112" s="9"/>
    </row>
    <row r="113">
      <c r="A113" s="9"/>
      <c r="B113" s="9"/>
      <c r="C113" s="9"/>
      <c r="D113" s="50"/>
      <c r="E113" s="9"/>
      <c r="F113" s="9"/>
      <c r="G113" s="59"/>
      <c r="H113" s="9"/>
    </row>
    <row r="114">
      <c r="A114" s="9"/>
      <c r="B114" s="9"/>
      <c r="C114" s="9"/>
      <c r="D114" s="50"/>
      <c r="E114" s="9"/>
      <c r="F114" s="9"/>
      <c r="G114" s="59"/>
      <c r="H114" s="9"/>
    </row>
    <row r="115">
      <c r="A115" s="9"/>
      <c r="B115" s="9"/>
      <c r="C115" s="9"/>
      <c r="D115" s="50"/>
      <c r="E115" s="9"/>
      <c r="F115" s="9"/>
      <c r="G115" s="59"/>
      <c r="H115" s="9"/>
    </row>
    <row r="116">
      <c r="A116" s="9"/>
      <c r="B116" s="9"/>
      <c r="C116" s="9"/>
      <c r="D116" s="50"/>
      <c r="E116" s="9"/>
      <c r="F116" s="9"/>
      <c r="G116" s="59"/>
      <c r="H116" s="9"/>
    </row>
    <row r="117">
      <c r="A117" s="9"/>
      <c r="B117" s="9"/>
      <c r="C117" s="9"/>
      <c r="D117" s="50"/>
      <c r="E117" s="9"/>
      <c r="F117" s="9"/>
      <c r="G117" s="59"/>
      <c r="H117" s="9"/>
    </row>
    <row r="118">
      <c r="A118" s="9"/>
      <c r="B118" s="9"/>
      <c r="C118" s="9"/>
      <c r="D118" s="50"/>
      <c r="E118" s="9"/>
      <c r="F118" s="9"/>
      <c r="G118" s="59"/>
      <c r="H118" s="9"/>
    </row>
    <row r="119">
      <c r="A119" s="9"/>
      <c r="B119" s="9"/>
      <c r="C119" s="9"/>
      <c r="D119" s="50"/>
      <c r="E119" s="9"/>
      <c r="F119" s="9"/>
      <c r="G119" s="59"/>
      <c r="H119" s="9"/>
    </row>
    <row r="120">
      <c r="A120" s="9"/>
      <c r="B120" s="9"/>
      <c r="C120" s="9"/>
      <c r="D120" s="50"/>
      <c r="E120" s="9"/>
      <c r="F120" s="9"/>
      <c r="G120" s="59"/>
      <c r="H120" s="9"/>
    </row>
    <row r="121">
      <c r="A121" s="9"/>
      <c r="B121" s="9"/>
      <c r="C121" s="9"/>
      <c r="D121" s="50"/>
      <c r="E121" s="9"/>
      <c r="F121" s="9"/>
      <c r="G121" s="59"/>
      <c r="H121" s="9"/>
    </row>
    <row r="122">
      <c r="A122" s="9"/>
      <c r="B122" s="9"/>
      <c r="C122" s="9"/>
      <c r="D122" s="50"/>
      <c r="E122" s="9"/>
      <c r="F122" s="9"/>
      <c r="G122" s="59"/>
      <c r="H122" s="9"/>
    </row>
    <row r="123">
      <c r="A123" s="9"/>
      <c r="B123" s="9"/>
      <c r="C123" s="9"/>
      <c r="D123" s="50"/>
      <c r="E123" s="9"/>
      <c r="F123" s="9"/>
      <c r="G123" s="59"/>
      <c r="H123" s="9"/>
    </row>
    <row r="124">
      <c r="A124" s="9"/>
      <c r="B124" s="9"/>
      <c r="C124" s="9"/>
      <c r="D124" s="50"/>
      <c r="E124" s="9"/>
      <c r="F124" s="9"/>
      <c r="G124" s="59"/>
      <c r="H124" s="9"/>
    </row>
    <row r="125">
      <c r="A125" s="9"/>
      <c r="B125" s="9"/>
      <c r="C125" s="9"/>
      <c r="D125" s="50"/>
      <c r="E125" s="9"/>
      <c r="F125" s="9"/>
      <c r="G125" s="59"/>
      <c r="H125" s="9"/>
    </row>
    <row r="126">
      <c r="A126" s="9"/>
      <c r="B126" s="9"/>
      <c r="C126" s="9"/>
      <c r="D126" s="50"/>
      <c r="E126" s="9"/>
      <c r="F126" s="9"/>
      <c r="G126" s="59"/>
      <c r="H126" s="9"/>
    </row>
    <row r="127">
      <c r="A127" s="9"/>
      <c r="B127" s="9"/>
      <c r="C127" s="9"/>
      <c r="D127" s="50"/>
      <c r="E127" s="9"/>
      <c r="F127" s="9"/>
      <c r="G127" s="59"/>
      <c r="H127" s="9"/>
    </row>
    <row r="128">
      <c r="A128" s="9"/>
      <c r="B128" s="9"/>
      <c r="C128" s="9"/>
      <c r="D128" s="50"/>
      <c r="E128" s="9"/>
      <c r="F128" s="9"/>
      <c r="G128" s="59"/>
      <c r="H128" s="9"/>
    </row>
    <row r="129">
      <c r="A129" s="9"/>
      <c r="B129" s="9"/>
      <c r="C129" s="9"/>
      <c r="D129" s="50"/>
      <c r="E129" s="9"/>
      <c r="F129" s="9"/>
      <c r="G129" s="59"/>
      <c r="H129" s="9"/>
    </row>
    <row r="130">
      <c r="A130" s="9"/>
      <c r="B130" s="9"/>
      <c r="C130" s="9"/>
      <c r="D130" s="50"/>
      <c r="E130" s="9"/>
      <c r="F130" s="9"/>
      <c r="G130" s="59"/>
      <c r="H130" s="9"/>
    </row>
    <row r="131">
      <c r="A131" s="9"/>
      <c r="B131" s="9"/>
      <c r="C131" s="9"/>
      <c r="D131" s="50"/>
      <c r="E131" s="9"/>
      <c r="F131" s="9"/>
      <c r="G131" s="59"/>
      <c r="H131" s="9"/>
    </row>
    <row r="132">
      <c r="A132" s="9"/>
      <c r="B132" s="9"/>
      <c r="C132" s="9"/>
      <c r="D132" s="50"/>
      <c r="E132" s="9"/>
      <c r="F132" s="9"/>
      <c r="G132" s="59"/>
      <c r="H132" s="9"/>
    </row>
    <row r="133">
      <c r="A133" s="9"/>
      <c r="B133" s="9"/>
      <c r="C133" s="9"/>
      <c r="D133" s="50"/>
      <c r="E133" s="9"/>
      <c r="F133" s="9"/>
      <c r="G133" s="59"/>
      <c r="H133" s="9"/>
    </row>
    <row r="134">
      <c r="A134" s="9"/>
      <c r="B134" s="9"/>
      <c r="C134" s="9"/>
      <c r="D134" s="50"/>
      <c r="E134" s="9"/>
      <c r="F134" s="9"/>
      <c r="G134" s="59"/>
      <c r="H134" s="9"/>
    </row>
    <row r="135">
      <c r="A135" s="9"/>
      <c r="B135" s="9"/>
      <c r="C135" s="9"/>
      <c r="D135" s="50"/>
      <c r="E135" s="9"/>
      <c r="F135" s="9"/>
      <c r="G135" s="59"/>
      <c r="H135" s="9"/>
    </row>
    <row r="136">
      <c r="A136" s="9"/>
      <c r="B136" s="9"/>
      <c r="C136" s="9"/>
      <c r="D136" s="50"/>
      <c r="E136" s="9"/>
      <c r="F136" s="9"/>
      <c r="G136" s="59"/>
      <c r="H136" s="9"/>
    </row>
    <row r="137">
      <c r="A137" s="9"/>
      <c r="B137" s="9"/>
      <c r="C137" s="9"/>
      <c r="D137" s="50"/>
      <c r="E137" s="9"/>
      <c r="F137" s="9"/>
      <c r="G137" s="59"/>
      <c r="H137" s="9"/>
    </row>
    <row r="138">
      <c r="A138" s="9"/>
      <c r="B138" s="9"/>
      <c r="C138" s="9"/>
      <c r="D138" s="50"/>
      <c r="E138" s="9"/>
      <c r="F138" s="9"/>
      <c r="G138" s="59"/>
      <c r="H138" s="9"/>
    </row>
    <row r="139">
      <c r="A139" s="9"/>
      <c r="B139" s="9"/>
      <c r="C139" s="9"/>
      <c r="D139" s="50"/>
      <c r="E139" s="9"/>
      <c r="F139" s="9"/>
      <c r="G139" s="59"/>
      <c r="H139" s="9"/>
    </row>
    <row r="140">
      <c r="A140" s="9"/>
      <c r="B140" s="9"/>
      <c r="C140" s="9"/>
      <c r="D140" s="50"/>
      <c r="E140" s="9"/>
      <c r="F140" s="9"/>
      <c r="G140" s="59"/>
      <c r="H140" s="9"/>
    </row>
    <row r="141">
      <c r="A141" s="9"/>
      <c r="B141" s="9"/>
      <c r="C141" s="9"/>
      <c r="D141" s="50"/>
      <c r="E141" s="9"/>
      <c r="F141" s="9"/>
      <c r="G141" s="59"/>
      <c r="H141" s="9"/>
    </row>
    <row r="142">
      <c r="A142" s="9"/>
      <c r="B142" s="9"/>
      <c r="C142" s="9"/>
      <c r="D142" s="50"/>
      <c r="E142" s="9"/>
      <c r="F142" s="9"/>
      <c r="G142" s="59"/>
      <c r="H142" s="9"/>
    </row>
    <row r="143">
      <c r="A143" s="9"/>
      <c r="B143" s="9"/>
      <c r="C143" s="9"/>
      <c r="D143" s="50"/>
      <c r="E143" s="9"/>
      <c r="F143" s="9"/>
      <c r="G143" s="59"/>
      <c r="H143" s="9"/>
    </row>
    <row r="144">
      <c r="A144" s="9"/>
      <c r="B144" s="9"/>
      <c r="C144" s="9"/>
      <c r="D144" s="50"/>
      <c r="E144" s="9"/>
      <c r="F144" s="9"/>
      <c r="G144" s="59"/>
      <c r="H144" s="9"/>
    </row>
    <row r="145">
      <c r="A145" s="9"/>
      <c r="B145" s="9"/>
      <c r="C145" s="9"/>
      <c r="D145" s="50"/>
      <c r="E145" s="9"/>
      <c r="F145" s="9"/>
      <c r="G145" s="59"/>
      <c r="H145" s="9"/>
    </row>
    <row r="146">
      <c r="A146" s="9"/>
      <c r="B146" s="9"/>
      <c r="C146" s="9"/>
      <c r="D146" s="50"/>
      <c r="E146" s="9"/>
      <c r="F146" s="9"/>
      <c r="G146" s="59"/>
      <c r="H146" s="9"/>
    </row>
    <row r="147">
      <c r="A147" s="9"/>
      <c r="B147" s="9"/>
      <c r="C147" s="9"/>
      <c r="D147" s="50"/>
      <c r="E147" s="9"/>
      <c r="F147" s="9"/>
      <c r="G147" s="59"/>
      <c r="H147" s="9"/>
    </row>
    <row r="148">
      <c r="A148" s="9"/>
      <c r="B148" s="9"/>
      <c r="C148" s="9"/>
      <c r="D148" s="50"/>
      <c r="E148" s="9"/>
      <c r="F148" s="9"/>
      <c r="G148" s="59"/>
      <c r="H148" s="9"/>
    </row>
    <row r="149">
      <c r="A149" s="9"/>
      <c r="B149" s="9"/>
      <c r="C149" s="9"/>
      <c r="D149" s="50"/>
      <c r="E149" s="9"/>
      <c r="F149" s="9"/>
      <c r="G149" s="59"/>
      <c r="H149" s="9"/>
    </row>
    <row r="150">
      <c r="A150" s="9"/>
      <c r="B150" s="9"/>
      <c r="C150" s="9"/>
      <c r="D150" s="50"/>
      <c r="E150" s="9"/>
      <c r="F150" s="9"/>
      <c r="G150" s="59"/>
      <c r="H150" s="9"/>
    </row>
    <row r="151">
      <c r="A151" s="9"/>
      <c r="B151" s="9"/>
      <c r="C151" s="9"/>
      <c r="D151" s="50"/>
      <c r="E151" s="9"/>
      <c r="F151" s="9"/>
      <c r="G151" s="59"/>
      <c r="H151" s="9"/>
    </row>
    <row r="152">
      <c r="A152" s="9"/>
      <c r="B152" s="9"/>
      <c r="C152" s="9"/>
      <c r="D152" s="50"/>
      <c r="E152" s="9"/>
      <c r="F152" s="9"/>
      <c r="G152" s="59"/>
      <c r="H152" s="9"/>
    </row>
    <row r="153">
      <c r="A153" s="9"/>
      <c r="B153" s="9"/>
      <c r="C153" s="9"/>
      <c r="D153" s="50"/>
      <c r="E153" s="9"/>
      <c r="F153" s="9"/>
      <c r="G153" s="59"/>
      <c r="H153" s="9"/>
    </row>
    <row r="154">
      <c r="A154" s="9"/>
      <c r="B154" s="9"/>
      <c r="C154" s="9"/>
      <c r="D154" s="50"/>
      <c r="E154" s="9"/>
      <c r="F154" s="9"/>
      <c r="G154" s="59"/>
      <c r="H154" s="9"/>
    </row>
    <row r="155">
      <c r="A155" s="9"/>
      <c r="B155" s="9"/>
      <c r="C155" s="9"/>
      <c r="D155" s="50"/>
      <c r="E155" s="9"/>
      <c r="F155" s="9"/>
      <c r="G155" s="59"/>
      <c r="H155" s="9"/>
    </row>
    <row r="156">
      <c r="A156" s="9"/>
      <c r="B156" s="9"/>
      <c r="C156" s="9"/>
      <c r="D156" s="50"/>
      <c r="E156" s="9"/>
      <c r="F156" s="9"/>
      <c r="G156" s="59"/>
      <c r="H156" s="9"/>
    </row>
    <row r="157">
      <c r="A157" s="9"/>
      <c r="B157" s="9"/>
      <c r="C157" s="9"/>
      <c r="D157" s="50"/>
      <c r="E157" s="9"/>
      <c r="F157" s="9"/>
      <c r="G157" s="59"/>
      <c r="H157" s="9"/>
    </row>
    <row r="158">
      <c r="A158" s="9"/>
      <c r="B158" s="9"/>
      <c r="C158" s="9"/>
      <c r="D158" s="50"/>
      <c r="E158" s="9"/>
      <c r="F158" s="9"/>
      <c r="G158" s="59"/>
      <c r="H158" s="9"/>
    </row>
    <row r="159">
      <c r="A159" s="9"/>
      <c r="B159" s="9"/>
      <c r="C159" s="9"/>
      <c r="D159" s="50"/>
      <c r="E159" s="9"/>
      <c r="F159" s="9"/>
      <c r="G159" s="59"/>
      <c r="H159" s="9"/>
    </row>
    <row r="160">
      <c r="A160" s="9"/>
      <c r="B160" s="9"/>
      <c r="C160" s="9"/>
      <c r="D160" s="50"/>
      <c r="E160" s="9"/>
      <c r="F160" s="9"/>
      <c r="G160" s="59"/>
      <c r="H160" s="9"/>
    </row>
    <row r="161">
      <c r="A161" s="9"/>
      <c r="B161" s="9"/>
      <c r="C161" s="9"/>
      <c r="D161" s="50"/>
      <c r="E161" s="9"/>
      <c r="F161" s="9"/>
      <c r="G161" s="59"/>
      <c r="H161" s="9"/>
    </row>
    <row r="162">
      <c r="A162" s="9"/>
      <c r="B162" s="9"/>
      <c r="C162" s="9"/>
      <c r="D162" s="50"/>
      <c r="E162" s="9"/>
      <c r="F162" s="9"/>
      <c r="G162" s="59"/>
      <c r="H162" s="9"/>
    </row>
    <row r="163">
      <c r="A163" s="9"/>
      <c r="B163" s="9"/>
      <c r="C163" s="9"/>
      <c r="D163" s="50"/>
      <c r="E163" s="9"/>
      <c r="F163" s="9"/>
      <c r="G163" s="59"/>
      <c r="H163" s="9"/>
    </row>
    <row r="164">
      <c r="A164" s="9"/>
      <c r="B164" s="9"/>
      <c r="C164" s="9"/>
      <c r="D164" s="50"/>
      <c r="E164" s="9"/>
      <c r="F164" s="9"/>
      <c r="G164" s="59"/>
      <c r="H164" s="9"/>
    </row>
    <row r="165">
      <c r="A165" s="9"/>
      <c r="B165" s="9"/>
      <c r="C165" s="9"/>
      <c r="D165" s="50"/>
      <c r="E165" s="9"/>
      <c r="F165" s="9"/>
      <c r="G165" s="59"/>
      <c r="H165" s="9"/>
    </row>
    <row r="166">
      <c r="A166" s="9"/>
      <c r="B166" s="9"/>
      <c r="C166" s="9"/>
      <c r="D166" s="50"/>
      <c r="E166" s="9"/>
      <c r="F166" s="9"/>
      <c r="G166" s="59"/>
      <c r="H166" s="9"/>
    </row>
    <row r="167">
      <c r="A167" s="9"/>
      <c r="B167" s="9"/>
      <c r="C167" s="9"/>
      <c r="D167" s="50"/>
      <c r="E167" s="9"/>
      <c r="F167" s="9"/>
      <c r="G167" s="59"/>
      <c r="H167" s="9"/>
    </row>
    <row r="168">
      <c r="A168" s="9"/>
      <c r="B168" s="9"/>
      <c r="C168" s="9"/>
      <c r="D168" s="50"/>
      <c r="E168" s="9"/>
      <c r="F168" s="9"/>
      <c r="G168" s="59"/>
      <c r="H168" s="9"/>
    </row>
    <row r="169">
      <c r="A169" s="9"/>
      <c r="B169" s="9"/>
      <c r="C169" s="9"/>
      <c r="D169" s="50"/>
      <c r="E169" s="9"/>
      <c r="F169" s="9"/>
      <c r="G169" s="59"/>
      <c r="H169" s="9"/>
    </row>
    <row r="170">
      <c r="A170" s="9"/>
      <c r="B170" s="9"/>
      <c r="C170" s="9"/>
      <c r="D170" s="50"/>
      <c r="E170" s="9"/>
      <c r="F170" s="9"/>
      <c r="G170" s="59"/>
      <c r="H170" s="9"/>
    </row>
    <row r="171">
      <c r="A171" s="9"/>
      <c r="B171" s="9"/>
      <c r="C171" s="9"/>
      <c r="D171" s="50"/>
      <c r="E171" s="9"/>
      <c r="F171" s="9"/>
      <c r="G171" s="59"/>
      <c r="H171" s="9"/>
    </row>
    <row r="172">
      <c r="A172" s="9"/>
      <c r="B172" s="9"/>
      <c r="C172" s="9"/>
      <c r="D172" s="50"/>
      <c r="E172" s="9"/>
      <c r="F172" s="9"/>
      <c r="G172" s="59"/>
      <c r="H172" s="9"/>
    </row>
    <row r="173">
      <c r="A173" s="9"/>
      <c r="B173" s="9"/>
      <c r="C173" s="9"/>
      <c r="D173" s="50"/>
      <c r="E173" s="9"/>
      <c r="F173" s="9"/>
      <c r="G173" s="59"/>
      <c r="H173" s="9"/>
    </row>
    <row r="174">
      <c r="A174" s="9"/>
      <c r="B174" s="9"/>
      <c r="C174" s="9"/>
      <c r="D174" s="50"/>
      <c r="E174" s="9"/>
      <c r="F174" s="9"/>
      <c r="G174" s="59"/>
      <c r="H174" s="9"/>
    </row>
    <row r="175">
      <c r="A175" s="9"/>
      <c r="B175" s="9"/>
      <c r="C175" s="9"/>
      <c r="D175" s="50"/>
      <c r="E175" s="9"/>
      <c r="F175" s="9"/>
      <c r="G175" s="59"/>
      <c r="H175" s="9"/>
    </row>
    <row r="176">
      <c r="A176" s="9"/>
      <c r="B176" s="9"/>
      <c r="C176" s="9"/>
      <c r="D176" s="50"/>
      <c r="E176" s="9"/>
      <c r="F176" s="9"/>
      <c r="G176" s="59"/>
      <c r="H176" s="9"/>
    </row>
    <row r="177">
      <c r="A177" s="9"/>
      <c r="B177" s="9"/>
      <c r="C177" s="9"/>
      <c r="D177" s="50"/>
      <c r="E177" s="9"/>
      <c r="F177" s="9"/>
      <c r="G177" s="59"/>
      <c r="H177" s="9"/>
    </row>
    <row r="178">
      <c r="A178" s="9"/>
      <c r="B178" s="9"/>
      <c r="C178" s="9"/>
      <c r="D178" s="50"/>
      <c r="E178" s="9"/>
      <c r="F178" s="9"/>
      <c r="G178" s="59"/>
      <c r="H178" s="9"/>
    </row>
    <row r="179">
      <c r="A179" s="9"/>
      <c r="B179" s="9"/>
      <c r="C179" s="9"/>
      <c r="D179" s="50"/>
      <c r="E179" s="9"/>
      <c r="F179" s="9"/>
      <c r="G179" s="59"/>
      <c r="H179" s="9"/>
    </row>
    <row r="180">
      <c r="A180" s="9"/>
      <c r="B180" s="9"/>
      <c r="C180" s="9"/>
      <c r="D180" s="50"/>
      <c r="E180" s="9"/>
      <c r="F180" s="9"/>
      <c r="G180" s="59"/>
      <c r="H180" s="9"/>
    </row>
    <row r="181">
      <c r="A181" s="9"/>
      <c r="B181" s="9"/>
      <c r="C181" s="9"/>
      <c r="D181" s="50"/>
      <c r="E181" s="9"/>
      <c r="F181" s="9"/>
      <c r="G181" s="59"/>
      <c r="H181" s="9"/>
    </row>
    <row r="182">
      <c r="A182" s="9"/>
      <c r="B182" s="9"/>
      <c r="C182" s="9"/>
      <c r="D182" s="50"/>
      <c r="E182" s="9"/>
      <c r="F182" s="9"/>
      <c r="G182" s="59"/>
      <c r="H182" s="9"/>
    </row>
    <row r="183">
      <c r="A183" s="9"/>
      <c r="B183" s="9"/>
      <c r="C183" s="9"/>
      <c r="D183" s="50"/>
      <c r="E183" s="9"/>
      <c r="F183" s="9"/>
      <c r="G183" s="59"/>
      <c r="H183" s="9"/>
    </row>
    <row r="184">
      <c r="A184" s="9"/>
      <c r="B184" s="9"/>
      <c r="C184" s="9"/>
      <c r="D184" s="50"/>
      <c r="E184" s="9"/>
      <c r="F184" s="9"/>
      <c r="G184" s="59"/>
      <c r="H184" s="9"/>
    </row>
    <row r="185">
      <c r="A185" s="9"/>
      <c r="B185" s="9"/>
      <c r="C185" s="9"/>
      <c r="D185" s="50"/>
      <c r="E185" s="9"/>
      <c r="F185" s="9"/>
      <c r="G185" s="59"/>
      <c r="H185" s="9"/>
    </row>
    <row r="186">
      <c r="A186" s="9"/>
      <c r="B186" s="9"/>
      <c r="C186" s="9"/>
      <c r="D186" s="50"/>
      <c r="E186" s="9"/>
      <c r="F186" s="9"/>
      <c r="G186" s="59"/>
      <c r="H186" s="9"/>
    </row>
    <row r="187">
      <c r="A187" s="9"/>
      <c r="B187" s="9"/>
      <c r="C187" s="9"/>
      <c r="D187" s="50"/>
      <c r="E187" s="9"/>
      <c r="F187" s="9"/>
      <c r="G187" s="59"/>
      <c r="H187" s="9"/>
    </row>
    <row r="188">
      <c r="A188" s="9"/>
      <c r="B188" s="9"/>
      <c r="C188" s="9"/>
      <c r="D188" s="50"/>
      <c r="E188" s="9"/>
      <c r="F188" s="9"/>
      <c r="G188" s="59"/>
      <c r="H188" s="9"/>
    </row>
    <row r="189">
      <c r="A189" s="9"/>
      <c r="B189" s="9"/>
      <c r="C189" s="9"/>
      <c r="D189" s="50"/>
      <c r="E189" s="9"/>
      <c r="F189" s="9"/>
      <c r="G189" s="59"/>
      <c r="H189" s="9"/>
    </row>
    <row r="190">
      <c r="A190" s="9"/>
      <c r="B190" s="9"/>
      <c r="C190" s="9"/>
      <c r="D190" s="50"/>
      <c r="E190" s="9"/>
      <c r="F190" s="9"/>
      <c r="G190" s="59"/>
      <c r="H190" s="9"/>
    </row>
    <row r="191">
      <c r="A191" s="9"/>
      <c r="B191" s="9"/>
      <c r="C191" s="9"/>
      <c r="D191" s="50"/>
      <c r="E191" s="9"/>
      <c r="F191" s="9"/>
      <c r="G191" s="59"/>
      <c r="H191" s="9"/>
    </row>
    <row r="192">
      <c r="A192" s="9"/>
      <c r="B192" s="9"/>
      <c r="C192" s="9"/>
      <c r="D192" s="50"/>
      <c r="E192" s="9"/>
      <c r="F192" s="9"/>
      <c r="G192" s="59"/>
      <c r="H192" s="9"/>
    </row>
    <row r="193">
      <c r="A193" s="9"/>
      <c r="B193" s="9"/>
      <c r="C193" s="9"/>
      <c r="D193" s="50"/>
      <c r="E193" s="9"/>
      <c r="F193" s="9"/>
      <c r="G193" s="59"/>
      <c r="H193" s="9"/>
    </row>
    <row r="194">
      <c r="A194" s="9"/>
      <c r="B194" s="9"/>
      <c r="C194" s="9"/>
      <c r="D194" s="50"/>
      <c r="E194" s="9"/>
      <c r="F194" s="9"/>
      <c r="G194" s="59"/>
      <c r="H194" s="9"/>
    </row>
    <row r="195">
      <c r="A195" s="9"/>
      <c r="B195" s="9"/>
      <c r="C195" s="9"/>
      <c r="D195" s="50"/>
      <c r="E195" s="9"/>
      <c r="F195" s="9"/>
      <c r="G195" s="59"/>
      <c r="H195" s="9"/>
    </row>
    <row r="196">
      <c r="A196" s="9"/>
      <c r="B196" s="9"/>
      <c r="C196" s="9"/>
      <c r="D196" s="50"/>
      <c r="E196" s="9"/>
      <c r="F196" s="9"/>
      <c r="G196" s="59"/>
      <c r="H196" s="9"/>
    </row>
    <row r="197">
      <c r="A197" s="9"/>
      <c r="B197" s="9"/>
      <c r="C197" s="9"/>
      <c r="D197" s="50"/>
      <c r="E197" s="9"/>
      <c r="F197" s="9"/>
      <c r="G197" s="59"/>
      <c r="H197" s="9"/>
    </row>
    <row r="198">
      <c r="A198" s="9"/>
      <c r="B198" s="9"/>
      <c r="C198" s="9"/>
      <c r="D198" s="50"/>
      <c r="E198" s="9"/>
      <c r="F198" s="9"/>
      <c r="G198" s="59"/>
      <c r="H198" s="9"/>
    </row>
    <row r="199">
      <c r="A199" s="9"/>
      <c r="B199" s="9"/>
      <c r="C199" s="9"/>
      <c r="D199" s="50"/>
      <c r="E199" s="9"/>
      <c r="F199" s="9"/>
      <c r="G199" s="59"/>
      <c r="H199" s="9"/>
    </row>
    <row r="200">
      <c r="A200" s="9"/>
      <c r="B200" s="9"/>
      <c r="C200" s="9"/>
      <c r="D200" s="50"/>
      <c r="E200" s="9"/>
      <c r="F200" s="9"/>
      <c r="G200" s="59"/>
      <c r="H200" s="9"/>
    </row>
    <row r="201">
      <c r="A201" s="9"/>
      <c r="B201" s="9"/>
      <c r="C201" s="9"/>
      <c r="D201" s="50"/>
      <c r="E201" s="9"/>
      <c r="F201" s="9"/>
      <c r="G201" s="59"/>
      <c r="H201" s="9"/>
    </row>
    <row r="202">
      <c r="A202" s="9"/>
      <c r="B202" s="9"/>
      <c r="C202" s="9"/>
      <c r="D202" s="50"/>
      <c r="E202" s="9"/>
      <c r="F202" s="9"/>
      <c r="G202" s="59"/>
      <c r="H202" s="9"/>
    </row>
    <row r="203">
      <c r="A203" s="9"/>
      <c r="B203" s="9"/>
      <c r="C203" s="9"/>
      <c r="D203" s="50"/>
      <c r="E203" s="9"/>
      <c r="F203" s="9"/>
      <c r="G203" s="59"/>
      <c r="H203" s="9"/>
    </row>
    <row r="204">
      <c r="A204" s="9"/>
      <c r="B204" s="9"/>
      <c r="C204" s="9"/>
      <c r="D204" s="50"/>
      <c r="E204" s="9"/>
      <c r="F204" s="9"/>
      <c r="G204" s="59"/>
      <c r="H204" s="9"/>
    </row>
    <row r="205">
      <c r="A205" s="9"/>
      <c r="B205" s="9"/>
      <c r="C205" s="9"/>
      <c r="D205" s="50"/>
      <c r="E205" s="9"/>
      <c r="F205" s="9"/>
      <c r="G205" s="59"/>
      <c r="H205" s="9"/>
    </row>
    <row r="206">
      <c r="A206" s="9"/>
      <c r="B206" s="9"/>
      <c r="C206" s="9"/>
      <c r="D206" s="50"/>
      <c r="E206" s="9"/>
      <c r="F206" s="9"/>
      <c r="G206" s="59"/>
      <c r="H206" s="9"/>
    </row>
    <row r="207">
      <c r="A207" s="9"/>
      <c r="B207" s="9"/>
      <c r="C207" s="9"/>
      <c r="D207" s="50"/>
      <c r="E207" s="9"/>
      <c r="F207" s="9"/>
      <c r="G207" s="59"/>
      <c r="H207" s="9"/>
    </row>
    <row r="208">
      <c r="A208" s="9"/>
      <c r="B208" s="9"/>
      <c r="C208" s="9"/>
      <c r="D208" s="50"/>
      <c r="E208" s="9"/>
      <c r="F208" s="9"/>
      <c r="G208" s="59"/>
      <c r="H208" s="9"/>
    </row>
    <row r="209">
      <c r="A209" s="9"/>
      <c r="B209" s="9"/>
      <c r="C209" s="9"/>
      <c r="D209" s="50"/>
      <c r="E209" s="9"/>
      <c r="F209" s="9"/>
      <c r="G209" s="59"/>
      <c r="H209" s="9"/>
    </row>
    <row r="210">
      <c r="A210" s="9"/>
      <c r="B210" s="9"/>
      <c r="C210" s="9"/>
      <c r="D210" s="50"/>
      <c r="E210" s="9"/>
      <c r="F210" s="9"/>
      <c r="G210" s="59"/>
      <c r="H210" s="9"/>
    </row>
    <row r="211">
      <c r="A211" s="9"/>
      <c r="B211" s="9"/>
      <c r="C211" s="9"/>
      <c r="D211" s="50"/>
      <c r="E211" s="9"/>
      <c r="F211" s="9"/>
      <c r="G211" s="59"/>
      <c r="H211" s="9"/>
    </row>
    <row r="212">
      <c r="A212" s="9"/>
      <c r="B212" s="9"/>
      <c r="C212" s="9"/>
      <c r="D212" s="50"/>
      <c r="E212" s="9"/>
      <c r="F212" s="9"/>
      <c r="G212" s="59"/>
      <c r="H212" s="9"/>
    </row>
    <row r="213">
      <c r="A213" s="9"/>
      <c r="B213" s="9"/>
      <c r="C213" s="9"/>
      <c r="D213" s="50"/>
      <c r="E213" s="9"/>
      <c r="F213" s="9"/>
      <c r="G213" s="59"/>
      <c r="H213" s="9"/>
    </row>
    <row r="214">
      <c r="A214" s="9"/>
      <c r="B214" s="9"/>
      <c r="C214" s="9"/>
      <c r="D214" s="50"/>
      <c r="E214" s="9"/>
      <c r="F214" s="9"/>
      <c r="G214" s="59"/>
      <c r="H214" s="9"/>
    </row>
    <row r="215">
      <c r="A215" s="9"/>
      <c r="B215" s="9"/>
      <c r="C215" s="9"/>
      <c r="D215" s="50"/>
      <c r="E215" s="9"/>
      <c r="F215" s="9"/>
      <c r="G215" s="59"/>
      <c r="H215" s="9"/>
    </row>
    <row r="216">
      <c r="A216" s="9"/>
      <c r="B216" s="9"/>
      <c r="C216" s="9"/>
      <c r="D216" s="50"/>
      <c r="E216" s="9"/>
      <c r="F216" s="9"/>
      <c r="G216" s="59"/>
      <c r="H216" s="9"/>
    </row>
    <row r="217">
      <c r="A217" s="9"/>
      <c r="B217" s="9"/>
      <c r="C217" s="9"/>
      <c r="D217" s="50"/>
      <c r="E217" s="9"/>
      <c r="F217" s="9"/>
      <c r="G217" s="59"/>
      <c r="H217" s="9"/>
    </row>
    <row r="218">
      <c r="A218" s="9"/>
      <c r="B218" s="9"/>
      <c r="C218" s="9"/>
      <c r="D218" s="50"/>
      <c r="E218" s="9"/>
      <c r="F218" s="9"/>
      <c r="G218" s="59"/>
      <c r="H218" s="9"/>
    </row>
    <row r="219">
      <c r="A219" s="9"/>
      <c r="B219" s="9"/>
      <c r="C219" s="9"/>
      <c r="D219" s="50"/>
      <c r="E219" s="9"/>
      <c r="F219" s="9"/>
      <c r="G219" s="59"/>
      <c r="H219" s="9"/>
    </row>
    <row r="220">
      <c r="A220" s="9"/>
      <c r="B220" s="9"/>
      <c r="C220" s="9"/>
      <c r="D220" s="50"/>
      <c r="E220" s="9"/>
      <c r="F220" s="9"/>
      <c r="G220" s="59"/>
      <c r="H220" s="9"/>
    </row>
    <row r="221">
      <c r="A221" s="9"/>
      <c r="B221" s="9"/>
      <c r="C221" s="9"/>
      <c r="D221" s="50"/>
      <c r="E221" s="9"/>
      <c r="F221" s="9"/>
      <c r="G221" s="59"/>
      <c r="H221" s="9"/>
    </row>
    <row r="222">
      <c r="A222" s="9"/>
      <c r="B222" s="9"/>
      <c r="C222" s="9"/>
      <c r="D222" s="50"/>
      <c r="E222" s="9"/>
      <c r="F222" s="9"/>
      <c r="G222" s="59"/>
      <c r="H222" s="9"/>
    </row>
    <row r="223">
      <c r="A223" s="9"/>
      <c r="B223" s="9"/>
      <c r="C223" s="9"/>
      <c r="D223" s="50"/>
      <c r="E223" s="9"/>
      <c r="F223" s="9"/>
      <c r="G223" s="59"/>
      <c r="H223" s="9"/>
    </row>
    <row r="224">
      <c r="A224" s="9"/>
      <c r="B224" s="9"/>
      <c r="C224" s="9"/>
      <c r="D224" s="50"/>
      <c r="E224" s="9"/>
      <c r="F224" s="9"/>
      <c r="G224" s="59"/>
      <c r="H224" s="9"/>
    </row>
    <row r="225">
      <c r="A225" s="9"/>
      <c r="B225" s="9"/>
      <c r="C225" s="9"/>
      <c r="D225" s="50"/>
      <c r="E225" s="9"/>
      <c r="F225" s="9"/>
      <c r="G225" s="59"/>
      <c r="H225" s="9"/>
    </row>
    <row r="226">
      <c r="A226" s="9"/>
      <c r="B226" s="9"/>
      <c r="C226" s="9"/>
      <c r="D226" s="50"/>
      <c r="E226" s="9"/>
      <c r="F226" s="9"/>
      <c r="G226" s="59"/>
      <c r="H226" s="9"/>
    </row>
    <row r="227">
      <c r="A227" s="9"/>
      <c r="B227" s="9"/>
      <c r="C227" s="9"/>
      <c r="D227" s="50"/>
      <c r="E227" s="9"/>
      <c r="F227" s="9"/>
      <c r="G227" s="59"/>
      <c r="H227" s="9"/>
    </row>
    <row r="228">
      <c r="A228" s="9"/>
      <c r="B228" s="9"/>
      <c r="C228" s="9"/>
      <c r="D228" s="50"/>
      <c r="E228" s="9"/>
      <c r="F228" s="9"/>
      <c r="G228" s="59"/>
      <c r="H228" s="9"/>
    </row>
    <row r="229">
      <c r="A229" s="9"/>
      <c r="B229" s="9"/>
      <c r="C229" s="9"/>
      <c r="D229" s="50"/>
      <c r="E229" s="9"/>
      <c r="F229" s="9"/>
      <c r="G229" s="59"/>
      <c r="H229" s="9"/>
    </row>
    <row r="230">
      <c r="A230" s="9"/>
      <c r="B230" s="9"/>
      <c r="C230" s="9"/>
      <c r="D230" s="50"/>
      <c r="E230" s="9"/>
      <c r="F230" s="9"/>
      <c r="G230" s="59"/>
      <c r="H230" s="9"/>
    </row>
    <row r="231">
      <c r="A231" s="9"/>
      <c r="B231" s="9"/>
      <c r="C231" s="9"/>
      <c r="D231" s="50"/>
      <c r="E231" s="9"/>
      <c r="F231" s="9"/>
      <c r="G231" s="59"/>
      <c r="H231" s="9"/>
    </row>
    <row r="232">
      <c r="A232" s="9"/>
      <c r="B232" s="9"/>
      <c r="C232" s="9"/>
      <c r="D232" s="50"/>
      <c r="E232" s="9"/>
      <c r="F232" s="9"/>
      <c r="G232" s="59"/>
      <c r="H232" s="9"/>
    </row>
    <row r="233">
      <c r="A233" s="9"/>
      <c r="B233" s="9"/>
      <c r="C233" s="9"/>
      <c r="D233" s="50"/>
      <c r="E233" s="9"/>
      <c r="F233" s="9"/>
      <c r="G233" s="59"/>
      <c r="H233" s="9"/>
    </row>
    <row r="234">
      <c r="A234" s="9"/>
      <c r="B234" s="9"/>
      <c r="C234" s="9"/>
      <c r="D234" s="50"/>
      <c r="E234" s="9"/>
      <c r="F234" s="9"/>
      <c r="G234" s="59"/>
      <c r="H234" s="9"/>
    </row>
    <row r="235">
      <c r="A235" s="9"/>
      <c r="B235" s="9"/>
      <c r="C235" s="9"/>
      <c r="D235" s="50"/>
      <c r="E235" s="9"/>
      <c r="F235" s="9"/>
      <c r="G235" s="59"/>
      <c r="H235" s="9"/>
    </row>
    <row r="236">
      <c r="A236" s="9"/>
      <c r="B236" s="9"/>
      <c r="C236" s="9"/>
      <c r="D236" s="50"/>
      <c r="E236" s="9"/>
      <c r="F236" s="9"/>
      <c r="G236" s="59"/>
      <c r="H236" s="9"/>
    </row>
    <row r="237">
      <c r="A237" s="9"/>
      <c r="B237" s="9"/>
      <c r="C237" s="9"/>
      <c r="D237" s="50"/>
      <c r="E237" s="9"/>
      <c r="F237" s="9"/>
      <c r="G237" s="59"/>
      <c r="H237" s="9"/>
    </row>
    <row r="238">
      <c r="A238" s="9"/>
      <c r="B238" s="9"/>
      <c r="C238" s="9"/>
      <c r="D238" s="50"/>
      <c r="E238" s="9"/>
      <c r="F238" s="9"/>
      <c r="G238" s="59"/>
      <c r="H238" s="9"/>
    </row>
    <row r="239">
      <c r="A239" s="9"/>
      <c r="B239" s="9"/>
      <c r="C239" s="9"/>
      <c r="D239" s="50"/>
      <c r="E239" s="9"/>
      <c r="F239" s="9"/>
      <c r="G239" s="59"/>
      <c r="H239" s="9"/>
    </row>
    <row r="240">
      <c r="A240" s="9"/>
      <c r="B240" s="9"/>
      <c r="C240" s="9"/>
      <c r="D240" s="50"/>
      <c r="E240" s="9"/>
      <c r="F240" s="9"/>
      <c r="G240" s="59"/>
      <c r="H240" s="9"/>
    </row>
    <row r="241">
      <c r="A241" s="9"/>
      <c r="B241" s="9"/>
      <c r="C241" s="9"/>
      <c r="D241" s="50"/>
      <c r="E241" s="9"/>
      <c r="F241" s="9"/>
      <c r="G241" s="59"/>
      <c r="H241" s="9"/>
    </row>
    <row r="242">
      <c r="A242" s="9"/>
      <c r="B242" s="9"/>
      <c r="C242" s="9"/>
      <c r="D242" s="50"/>
      <c r="E242" s="9"/>
      <c r="F242" s="9"/>
      <c r="G242" s="59"/>
      <c r="H242" s="9"/>
    </row>
    <row r="243">
      <c r="A243" s="9"/>
      <c r="B243" s="9"/>
      <c r="C243" s="9"/>
      <c r="D243" s="50"/>
      <c r="E243" s="9"/>
      <c r="F243" s="9"/>
      <c r="G243" s="59"/>
      <c r="H243" s="9"/>
    </row>
    <row r="244">
      <c r="A244" s="9"/>
      <c r="B244" s="9"/>
      <c r="C244" s="9"/>
      <c r="D244" s="50"/>
      <c r="E244" s="9"/>
      <c r="F244" s="9"/>
      <c r="G244" s="59"/>
      <c r="H244" s="9"/>
    </row>
    <row r="245">
      <c r="A245" s="9"/>
      <c r="B245" s="9"/>
      <c r="C245" s="9"/>
      <c r="D245" s="50"/>
      <c r="E245" s="9"/>
      <c r="F245" s="9"/>
      <c r="G245" s="59"/>
      <c r="H245" s="9"/>
    </row>
    <row r="246">
      <c r="A246" s="9"/>
      <c r="B246" s="9"/>
      <c r="C246" s="9"/>
      <c r="D246" s="50"/>
      <c r="E246" s="9"/>
      <c r="F246" s="9"/>
      <c r="G246" s="59"/>
      <c r="H246" s="9"/>
    </row>
    <row r="247">
      <c r="A247" s="9"/>
      <c r="B247" s="9"/>
      <c r="C247" s="9"/>
      <c r="D247" s="50"/>
      <c r="E247" s="9"/>
      <c r="F247" s="9"/>
      <c r="G247" s="59"/>
      <c r="H247" s="9"/>
    </row>
    <row r="248">
      <c r="A248" s="9"/>
      <c r="B248" s="9"/>
      <c r="C248" s="9"/>
      <c r="D248" s="50"/>
      <c r="E248" s="9"/>
      <c r="F248" s="9"/>
      <c r="G248" s="59"/>
      <c r="H248" s="9"/>
    </row>
    <row r="249">
      <c r="A249" s="9"/>
      <c r="B249" s="9"/>
      <c r="C249" s="9"/>
      <c r="D249" s="50"/>
      <c r="E249" s="9"/>
      <c r="F249" s="9"/>
      <c r="G249" s="59"/>
      <c r="H249" s="9"/>
    </row>
    <row r="250">
      <c r="A250" s="9"/>
      <c r="B250" s="9"/>
      <c r="C250" s="9"/>
      <c r="D250" s="50"/>
      <c r="E250" s="9"/>
      <c r="F250" s="9"/>
      <c r="G250" s="59"/>
      <c r="H250" s="9"/>
    </row>
    <row r="251">
      <c r="A251" s="9"/>
      <c r="B251" s="9"/>
      <c r="C251" s="9"/>
      <c r="D251" s="50"/>
      <c r="E251" s="9"/>
      <c r="F251" s="9"/>
      <c r="G251" s="59"/>
      <c r="H251" s="9"/>
    </row>
    <row r="252">
      <c r="A252" s="9"/>
      <c r="B252" s="9"/>
      <c r="C252" s="9"/>
      <c r="D252" s="50"/>
      <c r="E252" s="9"/>
      <c r="F252" s="9"/>
      <c r="G252" s="59"/>
      <c r="H252" s="9"/>
    </row>
    <row r="253">
      <c r="A253" s="9"/>
      <c r="B253" s="9"/>
      <c r="C253" s="9"/>
      <c r="D253" s="50"/>
      <c r="E253" s="9"/>
      <c r="F253" s="9"/>
      <c r="G253" s="59"/>
      <c r="H253" s="9"/>
    </row>
    <row r="254">
      <c r="A254" s="9"/>
      <c r="B254" s="9"/>
      <c r="C254" s="9"/>
      <c r="D254" s="50"/>
      <c r="E254" s="9"/>
      <c r="F254" s="9"/>
      <c r="G254" s="59"/>
      <c r="H254" s="9"/>
    </row>
    <row r="255">
      <c r="A255" s="9"/>
      <c r="B255" s="9"/>
      <c r="C255" s="9"/>
      <c r="D255" s="50"/>
      <c r="E255" s="9"/>
      <c r="F255" s="9"/>
      <c r="G255" s="59"/>
      <c r="H255" s="9"/>
    </row>
    <row r="256">
      <c r="A256" s="9"/>
      <c r="B256" s="9"/>
      <c r="C256" s="9"/>
      <c r="D256" s="50"/>
      <c r="E256" s="9"/>
      <c r="F256" s="9"/>
      <c r="G256" s="59"/>
      <c r="H256" s="9"/>
    </row>
    <row r="257">
      <c r="A257" s="9"/>
      <c r="B257" s="9"/>
      <c r="C257" s="9"/>
      <c r="D257" s="50"/>
      <c r="E257" s="9"/>
      <c r="F257" s="9"/>
      <c r="G257" s="59"/>
      <c r="H257" s="9"/>
    </row>
    <row r="258">
      <c r="A258" s="9"/>
      <c r="B258" s="9"/>
      <c r="C258" s="9"/>
      <c r="D258" s="50"/>
      <c r="E258" s="9"/>
      <c r="F258" s="9"/>
      <c r="G258" s="59"/>
      <c r="H258" s="9"/>
    </row>
    <row r="259">
      <c r="A259" s="9"/>
      <c r="B259" s="9"/>
      <c r="C259" s="9"/>
      <c r="D259" s="50"/>
      <c r="E259" s="9"/>
      <c r="F259" s="9"/>
      <c r="G259" s="59"/>
      <c r="H259" s="9"/>
    </row>
    <row r="260">
      <c r="A260" s="9"/>
      <c r="B260" s="9"/>
      <c r="C260" s="9"/>
      <c r="D260" s="50"/>
      <c r="E260" s="9"/>
      <c r="F260" s="9"/>
      <c r="G260" s="59"/>
      <c r="H260" s="9"/>
    </row>
    <row r="261">
      <c r="A261" s="9"/>
      <c r="B261" s="9"/>
      <c r="C261" s="9"/>
      <c r="D261" s="50"/>
      <c r="E261" s="9"/>
      <c r="F261" s="9"/>
      <c r="G261" s="59"/>
      <c r="H261" s="9"/>
    </row>
    <row r="262">
      <c r="A262" s="9"/>
      <c r="B262" s="9"/>
      <c r="C262" s="9"/>
      <c r="D262" s="50"/>
      <c r="E262" s="9"/>
      <c r="F262" s="9"/>
      <c r="G262" s="59"/>
      <c r="H262" s="9"/>
    </row>
    <row r="263">
      <c r="A263" s="9"/>
      <c r="B263" s="9"/>
      <c r="C263" s="9"/>
      <c r="D263" s="50"/>
      <c r="E263" s="9"/>
      <c r="F263" s="9"/>
      <c r="G263" s="59"/>
      <c r="H263" s="9"/>
    </row>
    <row r="264">
      <c r="A264" s="9"/>
      <c r="B264" s="9"/>
      <c r="C264" s="9"/>
      <c r="D264" s="50"/>
      <c r="E264" s="9"/>
      <c r="F264" s="9"/>
      <c r="G264" s="59"/>
      <c r="H264" s="9"/>
    </row>
    <row r="265">
      <c r="A265" s="9"/>
      <c r="B265" s="9"/>
      <c r="C265" s="9"/>
      <c r="D265" s="50"/>
      <c r="E265" s="9"/>
      <c r="F265" s="9"/>
      <c r="G265" s="59"/>
      <c r="H265" s="9"/>
    </row>
    <row r="266">
      <c r="A266" s="9"/>
      <c r="B266" s="9"/>
      <c r="C266" s="9"/>
      <c r="D266" s="50"/>
      <c r="E266" s="9"/>
      <c r="F266" s="9"/>
      <c r="G266" s="59"/>
      <c r="H266" s="9"/>
    </row>
    <row r="267">
      <c r="A267" s="9"/>
      <c r="B267" s="9"/>
      <c r="C267" s="9"/>
      <c r="D267" s="50"/>
      <c r="E267" s="9"/>
      <c r="F267" s="9"/>
      <c r="G267" s="59"/>
      <c r="H267" s="9"/>
    </row>
    <row r="268">
      <c r="A268" s="9"/>
      <c r="B268" s="9"/>
      <c r="C268" s="9"/>
      <c r="D268" s="50"/>
      <c r="E268" s="9"/>
      <c r="F268" s="9"/>
      <c r="G268" s="59"/>
      <c r="H268" s="9"/>
    </row>
    <row r="269">
      <c r="A269" s="9"/>
      <c r="B269" s="9"/>
      <c r="C269" s="9"/>
      <c r="D269" s="50"/>
      <c r="E269" s="9"/>
      <c r="F269" s="9"/>
      <c r="G269" s="59"/>
      <c r="H269" s="9"/>
    </row>
    <row r="270">
      <c r="A270" s="9"/>
      <c r="B270" s="9"/>
      <c r="C270" s="9"/>
      <c r="D270" s="50"/>
      <c r="E270" s="9"/>
      <c r="F270" s="9"/>
      <c r="G270" s="59"/>
      <c r="H270" s="9"/>
    </row>
    <row r="271">
      <c r="A271" s="9"/>
      <c r="B271" s="9"/>
      <c r="C271" s="9"/>
      <c r="D271" s="50"/>
      <c r="E271" s="9"/>
      <c r="F271" s="9"/>
      <c r="G271" s="59"/>
      <c r="H271" s="9"/>
    </row>
    <row r="272">
      <c r="A272" s="9"/>
      <c r="B272" s="9"/>
      <c r="C272" s="9"/>
      <c r="D272" s="50"/>
      <c r="E272" s="9"/>
      <c r="F272" s="9"/>
      <c r="G272" s="59"/>
      <c r="H272" s="9"/>
    </row>
    <row r="273">
      <c r="A273" s="9"/>
      <c r="B273" s="9"/>
      <c r="C273" s="9"/>
      <c r="D273" s="50"/>
      <c r="E273" s="9"/>
      <c r="F273" s="9"/>
      <c r="G273" s="59"/>
      <c r="H273" s="9"/>
    </row>
    <row r="274">
      <c r="A274" s="9"/>
      <c r="B274" s="9"/>
      <c r="C274" s="9"/>
      <c r="D274" s="50"/>
      <c r="E274" s="9"/>
      <c r="F274" s="9"/>
      <c r="G274" s="59"/>
      <c r="H274" s="9"/>
    </row>
    <row r="275">
      <c r="A275" s="9"/>
      <c r="B275" s="9"/>
      <c r="C275" s="9"/>
      <c r="D275" s="50"/>
      <c r="E275" s="9"/>
      <c r="F275" s="9"/>
      <c r="G275" s="59"/>
      <c r="H275" s="9"/>
    </row>
    <row r="276">
      <c r="A276" s="9"/>
      <c r="B276" s="9"/>
      <c r="C276" s="9"/>
      <c r="D276" s="50"/>
      <c r="E276" s="9"/>
      <c r="F276" s="9"/>
      <c r="G276" s="59"/>
      <c r="H276" s="9"/>
    </row>
    <row r="277">
      <c r="A277" s="9"/>
      <c r="B277" s="9"/>
      <c r="C277" s="9"/>
      <c r="D277" s="50"/>
      <c r="E277" s="9"/>
      <c r="F277" s="9"/>
      <c r="G277" s="59"/>
      <c r="H277" s="9"/>
    </row>
    <row r="278">
      <c r="A278" s="9"/>
      <c r="B278" s="9"/>
      <c r="C278" s="9"/>
      <c r="D278" s="50"/>
      <c r="E278" s="9"/>
      <c r="F278" s="9"/>
      <c r="G278" s="59"/>
      <c r="H278" s="9"/>
    </row>
    <row r="279">
      <c r="A279" s="9"/>
      <c r="B279" s="9"/>
      <c r="C279" s="9"/>
      <c r="D279" s="50"/>
      <c r="E279" s="9"/>
      <c r="F279" s="9"/>
      <c r="G279" s="59"/>
      <c r="H279" s="9"/>
    </row>
    <row r="280">
      <c r="A280" s="9"/>
      <c r="B280" s="9"/>
      <c r="C280" s="9"/>
      <c r="D280" s="50"/>
      <c r="E280" s="9"/>
      <c r="F280" s="9"/>
      <c r="G280" s="59"/>
      <c r="H280" s="9"/>
    </row>
    <row r="281">
      <c r="A281" s="9"/>
      <c r="B281" s="9"/>
      <c r="C281" s="9"/>
      <c r="D281" s="50"/>
      <c r="E281" s="9"/>
      <c r="F281" s="9"/>
      <c r="G281" s="59"/>
      <c r="H281" s="9"/>
    </row>
    <row r="282">
      <c r="A282" s="9"/>
      <c r="B282" s="9"/>
      <c r="C282" s="9"/>
      <c r="D282" s="50"/>
      <c r="E282" s="9"/>
      <c r="F282" s="9"/>
      <c r="G282" s="59"/>
      <c r="H282" s="9"/>
    </row>
    <row r="283">
      <c r="A283" s="9"/>
      <c r="B283" s="9"/>
      <c r="C283" s="9"/>
      <c r="D283" s="50"/>
      <c r="E283" s="9"/>
      <c r="F283" s="9"/>
      <c r="G283" s="59"/>
      <c r="H283" s="9"/>
    </row>
    <row r="284">
      <c r="A284" s="9"/>
      <c r="B284" s="9"/>
      <c r="C284" s="9"/>
      <c r="D284" s="50"/>
      <c r="E284" s="9"/>
      <c r="F284" s="9"/>
      <c r="G284" s="59"/>
      <c r="H284" s="9"/>
    </row>
    <row r="285">
      <c r="A285" s="9"/>
      <c r="B285" s="9"/>
      <c r="C285" s="9"/>
      <c r="D285" s="50"/>
      <c r="E285" s="9"/>
      <c r="F285" s="9"/>
      <c r="G285" s="59"/>
      <c r="H285" s="9"/>
    </row>
    <row r="286">
      <c r="A286" s="9"/>
      <c r="B286" s="9"/>
      <c r="C286" s="9"/>
      <c r="D286" s="50"/>
      <c r="E286" s="9"/>
      <c r="F286" s="9"/>
      <c r="G286" s="59"/>
      <c r="H286" s="9"/>
    </row>
    <row r="287">
      <c r="A287" s="9"/>
      <c r="B287" s="9"/>
      <c r="C287" s="9"/>
      <c r="D287" s="50"/>
      <c r="E287" s="9"/>
      <c r="F287" s="9"/>
      <c r="G287" s="59"/>
      <c r="H287" s="9"/>
    </row>
    <row r="288">
      <c r="A288" s="9"/>
      <c r="B288" s="9"/>
      <c r="C288" s="9"/>
      <c r="D288" s="50"/>
      <c r="E288" s="9"/>
      <c r="F288" s="9"/>
      <c r="G288" s="59"/>
      <c r="H288" s="9"/>
    </row>
    <row r="289">
      <c r="A289" s="9"/>
      <c r="B289" s="9"/>
      <c r="C289" s="9"/>
      <c r="D289" s="50"/>
      <c r="E289" s="9"/>
      <c r="F289" s="9"/>
      <c r="G289" s="59"/>
      <c r="H289" s="9"/>
    </row>
    <row r="290">
      <c r="A290" s="9"/>
      <c r="B290" s="9"/>
      <c r="C290" s="9"/>
      <c r="D290" s="50"/>
      <c r="E290" s="9"/>
      <c r="F290" s="9"/>
      <c r="G290" s="59"/>
      <c r="H290" s="9"/>
    </row>
    <row r="291">
      <c r="A291" s="9"/>
      <c r="B291" s="9"/>
      <c r="C291" s="9"/>
      <c r="D291" s="50"/>
      <c r="E291" s="9"/>
      <c r="F291" s="9"/>
      <c r="G291" s="59"/>
      <c r="H291" s="9"/>
    </row>
    <row r="292">
      <c r="A292" s="9"/>
      <c r="B292" s="9"/>
      <c r="C292" s="9"/>
      <c r="D292" s="50"/>
      <c r="E292" s="9"/>
      <c r="F292" s="9"/>
      <c r="G292" s="59"/>
      <c r="H292" s="9"/>
    </row>
    <row r="293">
      <c r="A293" s="9"/>
      <c r="B293" s="9"/>
      <c r="C293" s="9"/>
      <c r="D293" s="50"/>
      <c r="E293" s="9"/>
      <c r="F293" s="9"/>
      <c r="G293" s="59"/>
      <c r="H293" s="9"/>
    </row>
    <row r="294">
      <c r="A294" s="9"/>
      <c r="B294" s="9"/>
      <c r="C294" s="9"/>
      <c r="D294" s="50"/>
      <c r="E294" s="9"/>
      <c r="F294" s="9"/>
      <c r="G294" s="59"/>
      <c r="H294" s="9"/>
    </row>
    <row r="295">
      <c r="A295" s="9"/>
      <c r="B295" s="9"/>
      <c r="C295" s="9"/>
      <c r="D295" s="50"/>
      <c r="E295" s="9"/>
      <c r="F295" s="9"/>
      <c r="G295" s="59"/>
      <c r="H295" s="9"/>
    </row>
    <row r="296">
      <c r="A296" s="9"/>
      <c r="B296" s="9"/>
      <c r="C296" s="9"/>
      <c r="D296" s="50"/>
      <c r="E296" s="9"/>
      <c r="F296" s="9"/>
      <c r="G296" s="59"/>
      <c r="H296" s="9"/>
    </row>
    <row r="297">
      <c r="A297" s="9"/>
      <c r="B297" s="9"/>
      <c r="C297" s="9"/>
      <c r="D297" s="50"/>
      <c r="E297" s="9"/>
      <c r="F297" s="9"/>
      <c r="G297" s="59"/>
      <c r="H297" s="9"/>
    </row>
    <row r="298">
      <c r="A298" s="9"/>
      <c r="B298" s="9"/>
      <c r="C298" s="9"/>
      <c r="D298" s="50"/>
      <c r="E298" s="9"/>
      <c r="F298" s="9"/>
      <c r="G298" s="59"/>
      <c r="H298" s="9"/>
    </row>
    <row r="299">
      <c r="A299" s="9"/>
      <c r="B299" s="9"/>
      <c r="C299" s="9"/>
      <c r="D299" s="50"/>
      <c r="E299" s="9"/>
      <c r="F299" s="9"/>
      <c r="G299" s="59"/>
      <c r="H299" s="9"/>
    </row>
    <row r="300">
      <c r="A300" s="9"/>
      <c r="B300" s="9"/>
      <c r="C300" s="9"/>
      <c r="D300" s="50"/>
      <c r="E300" s="9"/>
      <c r="F300" s="9"/>
      <c r="G300" s="59"/>
      <c r="H300" s="9"/>
    </row>
    <row r="301">
      <c r="A301" s="9"/>
      <c r="B301" s="9"/>
      <c r="C301" s="9"/>
      <c r="D301" s="50"/>
      <c r="E301" s="9"/>
      <c r="F301" s="9"/>
      <c r="G301" s="59"/>
      <c r="H301" s="9"/>
    </row>
    <row r="302">
      <c r="A302" s="9"/>
      <c r="B302" s="9"/>
      <c r="C302" s="9"/>
      <c r="D302" s="50"/>
      <c r="E302" s="9"/>
      <c r="F302" s="9"/>
      <c r="G302" s="59"/>
      <c r="H302" s="9"/>
    </row>
    <row r="303">
      <c r="A303" s="9"/>
      <c r="B303" s="9"/>
      <c r="C303" s="9"/>
      <c r="D303" s="50"/>
      <c r="E303" s="9"/>
      <c r="F303" s="9"/>
      <c r="G303" s="59"/>
      <c r="H303" s="9"/>
    </row>
    <row r="304">
      <c r="A304" s="9"/>
      <c r="B304" s="9"/>
      <c r="C304" s="9"/>
      <c r="D304" s="50"/>
      <c r="E304" s="9"/>
      <c r="F304" s="9"/>
      <c r="G304" s="59"/>
      <c r="H304" s="9"/>
    </row>
    <row r="305">
      <c r="A305" s="9"/>
      <c r="B305" s="9"/>
      <c r="C305" s="9"/>
      <c r="D305" s="50"/>
      <c r="E305" s="9"/>
      <c r="F305" s="9"/>
      <c r="G305" s="59"/>
      <c r="H305" s="9"/>
    </row>
    <row r="306">
      <c r="A306" s="9"/>
      <c r="B306" s="9"/>
      <c r="C306" s="9"/>
      <c r="D306" s="50"/>
      <c r="E306" s="9"/>
      <c r="F306" s="9"/>
      <c r="G306" s="59"/>
      <c r="H306" s="9"/>
    </row>
    <row r="307">
      <c r="A307" s="9"/>
      <c r="B307" s="9"/>
      <c r="C307" s="9"/>
      <c r="D307" s="50"/>
      <c r="E307" s="9"/>
      <c r="F307" s="9"/>
      <c r="G307" s="59"/>
      <c r="H307" s="9"/>
    </row>
    <row r="308">
      <c r="A308" s="9"/>
      <c r="B308" s="9"/>
      <c r="C308" s="9"/>
      <c r="D308" s="50"/>
      <c r="E308" s="9"/>
      <c r="F308" s="9"/>
      <c r="G308" s="59"/>
      <c r="H308" s="9"/>
    </row>
    <row r="309">
      <c r="A309" s="9"/>
      <c r="B309" s="9"/>
      <c r="C309" s="9"/>
      <c r="D309" s="50"/>
      <c r="E309" s="9"/>
      <c r="F309" s="9"/>
      <c r="G309" s="59"/>
      <c r="H309" s="9"/>
    </row>
    <row r="310">
      <c r="A310" s="9"/>
      <c r="B310" s="9"/>
      <c r="C310" s="9"/>
      <c r="D310" s="50"/>
      <c r="E310" s="9"/>
      <c r="F310" s="9"/>
      <c r="G310" s="59"/>
      <c r="H310" s="9"/>
    </row>
    <row r="311">
      <c r="A311" s="9"/>
      <c r="B311" s="9"/>
      <c r="C311" s="9"/>
      <c r="D311" s="50"/>
      <c r="E311" s="9"/>
      <c r="F311" s="9"/>
      <c r="G311" s="59"/>
      <c r="H311" s="9"/>
    </row>
    <row r="312">
      <c r="A312" s="9"/>
      <c r="B312" s="9"/>
      <c r="C312" s="9"/>
      <c r="D312" s="50"/>
      <c r="E312" s="9"/>
      <c r="F312" s="9"/>
      <c r="G312" s="59"/>
      <c r="H312" s="9"/>
    </row>
    <row r="313">
      <c r="A313" s="9"/>
      <c r="B313" s="9"/>
      <c r="C313" s="9"/>
      <c r="D313" s="50"/>
      <c r="E313" s="9"/>
      <c r="F313" s="9"/>
      <c r="G313" s="59"/>
      <c r="H313" s="9"/>
    </row>
    <row r="314">
      <c r="A314" s="9"/>
      <c r="B314" s="9"/>
      <c r="C314" s="9"/>
      <c r="D314" s="50"/>
      <c r="E314" s="9"/>
      <c r="F314" s="9"/>
      <c r="G314" s="59"/>
      <c r="H314" s="9"/>
    </row>
    <row r="315">
      <c r="A315" s="9"/>
      <c r="B315" s="9"/>
      <c r="C315" s="9"/>
      <c r="D315" s="50"/>
      <c r="E315" s="9"/>
      <c r="F315" s="9"/>
      <c r="G315" s="59"/>
      <c r="H315" s="9"/>
    </row>
    <row r="316">
      <c r="A316" s="9"/>
      <c r="B316" s="9"/>
      <c r="C316" s="9"/>
      <c r="D316" s="50"/>
      <c r="E316" s="9"/>
      <c r="F316" s="9"/>
      <c r="G316" s="59"/>
      <c r="H316" s="9"/>
    </row>
    <row r="317">
      <c r="A317" s="9"/>
      <c r="B317" s="9"/>
      <c r="C317" s="9"/>
      <c r="D317" s="50"/>
      <c r="E317" s="9"/>
      <c r="F317" s="9"/>
      <c r="G317" s="59"/>
      <c r="H317" s="9"/>
    </row>
    <row r="318">
      <c r="A318" s="9"/>
      <c r="B318" s="9"/>
      <c r="C318" s="9"/>
      <c r="D318" s="50"/>
      <c r="E318" s="9"/>
      <c r="F318" s="9"/>
      <c r="G318" s="59"/>
      <c r="H318" s="9"/>
    </row>
    <row r="319">
      <c r="A319" s="9"/>
      <c r="B319" s="9"/>
      <c r="C319" s="9"/>
      <c r="D319" s="50"/>
      <c r="E319" s="9"/>
      <c r="F319" s="9"/>
      <c r="G319" s="59"/>
      <c r="H319" s="9"/>
    </row>
    <row r="320">
      <c r="A320" s="9"/>
      <c r="B320" s="9"/>
      <c r="C320" s="9"/>
      <c r="D320" s="50"/>
      <c r="E320" s="9"/>
      <c r="F320" s="9"/>
      <c r="G320" s="59"/>
      <c r="H320" s="9"/>
    </row>
    <row r="321">
      <c r="A321" s="9"/>
      <c r="B321" s="9"/>
      <c r="C321" s="9"/>
      <c r="D321" s="50"/>
      <c r="E321" s="9"/>
      <c r="F321" s="9"/>
      <c r="G321" s="59"/>
      <c r="H321" s="9"/>
    </row>
    <row r="322">
      <c r="A322" s="9"/>
      <c r="B322" s="9"/>
      <c r="C322" s="9"/>
      <c r="D322" s="50"/>
      <c r="E322" s="9"/>
      <c r="F322" s="9"/>
      <c r="G322" s="59"/>
      <c r="H322" s="9"/>
    </row>
    <row r="323">
      <c r="A323" s="9"/>
      <c r="B323" s="9"/>
      <c r="C323" s="9"/>
      <c r="D323" s="50"/>
      <c r="E323" s="9"/>
      <c r="F323" s="9"/>
      <c r="G323" s="59"/>
      <c r="H323" s="9"/>
    </row>
    <row r="324">
      <c r="A324" s="9"/>
      <c r="B324" s="9"/>
      <c r="C324" s="9"/>
      <c r="D324" s="50"/>
      <c r="E324" s="9"/>
      <c r="F324" s="9"/>
      <c r="G324" s="59"/>
      <c r="H324" s="9"/>
    </row>
    <row r="325">
      <c r="A325" s="9"/>
      <c r="B325" s="9"/>
      <c r="C325" s="9"/>
      <c r="D325" s="50"/>
      <c r="E325" s="9"/>
      <c r="F325" s="9"/>
      <c r="G325" s="59"/>
      <c r="H325" s="9"/>
    </row>
    <row r="326">
      <c r="A326" s="9"/>
      <c r="B326" s="9"/>
      <c r="C326" s="9"/>
      <c r="D326" s="50"/>
      <c r="E326" s="9"/>
      <c r="F326" s="9"/>
      <c r="G326" s="59"/>
      <c r="H326" s="9"/>
    </row>
    <row r="327">
      <c r="A327" s="9"/>
      <c r="B327" s="9"/>
      <c r="C327" s="9"/>
      <c r="D327" s="50"/>
      <c r="E327" s="9"/>
      <c r="F327" s="9"/>
      <c r="G327" s="59"/>
      <c r="H327" s="9"/>
    </row>
    <row r="328">
      <c r="A328" s="9"/>
      <c r="B328" s="9"/>
      <c r="C328" s="9"/>
      <c r="D328" s="50"/>
      <c r="E328" s="9"/>
      <c r="F328" s="9"/>
      <c r="G328" s="59"/>
      <c r="H328" s="9"/>
    </row>
    <row r="329">
      <c r="A329" s="9"/>
      <c r="B329" s="9"/>
      <c r="C329" s="9"/>
      <c r="D329" s="50"/>
      <c r="E329" s="9"/>
      <c r="F329" s="9"/>
      <c r="G329" s="59"/>
      <c r="H329" s="9"/>
    </row>
    <row r="330">
      <c r="A330" s="9"/>
      <c r="B330" s="9"/>
      <c r="C330" s="9"/>
      <c r="D330" s="50"/>
      <c r="E330" s="9"/>
      <c r="F330" s="9"/>
      <c r="G330" s="59"/>
      <c r="H330" s="9"/>
    </row>
    <row r="331">
      <c r="A331" s="9"/>
      <c r="B331" s="9"/>
      <c r="C331" s="9"/>
      <c r="D331" s="50"/>
      <c r="E331" s="9"/>
      <c r="F331" s="9"/>
      <c r="G331" s="59"/>
      <c r="H331" s="9"/>
    </row>
    <row r="332">
      <c r="A332" s="9"/>
      <c r="B332" s="9"/>
      <c r="C332" s="9"/>
      <c r="D332" s="50"/>
      <c r="E332" s="9"/>
      <c r="F332" s="9"/>
      <c r="G332" s="59"/>
      <c r="H332" s="9"/>
    </row>
    <row r="333">
      <c r="A333" s="9"/>
      <c r="B333" s="9"/>
      <c r="C333" s="9"/>
      <c r="D333" s="50"/>
      <c r="E333" s="9"/>
      <c r="F333" s="9"/>
      <c r="G333" s="59"/>
      <c r="H333" s="9"/>
    </row>
    <row r="334">
      <c r="A334" s="9"/>
      <c r="B334" s="9"/>
      <c r="C334" s="9"/>
      <c r="D334" s="50"/>
      <c r="E334" s="9"/>
      <c r="F334" s="9"/>
      <c r="G334" s="59"/>
      <c r="H334" s="9"/>
    </row>
    <row r="335">
      <c r="A335" s="9"/>
      <c r="B335" s="9"/>
      <c r="C335" s="9"/>
      <c r="D335" s="50"/>
      <c r="E335" s="9"/>
      <c r="F335" s="9"/>
      <c r="G335" s="59"/>
      <c r="H335" s="9"/>
    </row>
    <row r="336">
      <c r="A336" s="9"/>
      <c r="B336" s="9"/>
      <c r="C336" s="9"/>
      <c r="D336" s="50"/>
      <c r="E336" s="9"/>
      <c r="F336" s="9"/>
      <c r="G336" s="59"/>
      <c r="H336" s="9"/>
    </row>
    <row r="337">
      <c r="A337" s="9"/>
      <c r="B337" s="9"/>
      <c r="C337" s="9"/>
      <c r="D337" s="50"/>
      <c r="E337" s="9"/>
      <c r="F337" s="9"/>
      <c r="G337" s="59"/>
      <c r="H337" s="9"/>
    </row>
    <row r="338">
      <c r="A338" s="9"/>
      <c r="B338" s="9"/>
      <c r="C338" s="9"/>
      <c r="D338" s="50"/>
      <c r="E338" s="9"/>
      <c r="F338" s="9"/>
      <c r="G338" s="59"/>
      <c r="H338" s="9"/>
    </row>
    <row r="339">
      <c r="A339" s="9"/>
      <c r="B339" s="9"/>
      <c r="C339" s="9"/>
      <c r="D339" s="50"/>
      <c r="E339" s="9"/>
      <c r="F339" s="9"/>
      <c r="G339" s="59"/>
      <c r="H339" s="9"/>
    </row>
    <row r="340">
      <c r="A340" s="9"/>
      <c r="B340" s="9"/>
      <c r="C340" s="9"/>
      <c r="D340" s="50"/>
      <c r="E340" s="9"/>
      <c r="F340" s="9"/>
      <c r="G340" s="59"/>
      <c r="H340" s="9"/>
    </row>
    <row r="341">
      <c r="A341" s="9"/>
      <c r="B341" s="9"/>
      <c r="C341" s="9"/>
      <c r="D341" s="50"/>
      <c r="E341" s="9"/>
      <c r="F341" s="9"/>
      <c r="G341" s="59"/>
      <c r="H341" s="9"/>
    </row>
    <row r="342">
      <c r="A342" s="9"/>
      <c r="B342" s="9"/>
      <c r="C342" s="9"/>
      <c r="D342" s="50"/>
      <c r="E342" s="9"/>
      <c r="F342" s="9"/>
      <c r="G342" s="59"/>
      <c r="H342" s="9"/>
    </row>
    <row r="343">
      <c r="A343" s="9"/>
      <c r="B343" s="9"/>
      <c r="C343" s="9"/>
      <c r="D343" s="50"/>
      <c r="E343" s="9"/>
      <c r="F343" s="9"/>
      <c r="G343" s="59"/>
      <c r="H343" s="9"/>
    </row>
    <row r="344">
      <c r="A344" s="9"/>
      <c r="B344" s="9"/>
      <c r="C344" s="9"/>
      <c r="D344" s="50"/>
      <c r="E344" s="9"/>
      <c r="F344" s="9"/>
      <c r="G344" s="59"/>
      <c r="H344" s="9"/>
    </row>
    <row r="345">
      <c r="A345" s="9"/>
      <c r="B345" s="9"/>
      <c r="C345" s="9"/>
      <c r="D345" s="50"/>
      <c r="E345" s="9"/>
      <c r="F345" s="9"/>
      <c r="G345" s="59"/>
      <c r="H345" s="9"/>
    </row>
    <row r="346">
      <c r="A346" s="9"/>
      <c r="B346" s="9"/>
      <c r="C346" s="9"/>
      <c r="D346" s="50"/>
      <c r="E346" s="9"/>
      <c r="F346" s="9"/>
      <c r="G346" s="59"/>
      <c r="H346" s="9"/>
    </row>
    <row r="347">
      <c r="A347" s="9"/>
      <c r="B347" s="9"/>
      <c r="C347" s="9"/>
      <c r="D347" s="50"/>
      <c r="E347" s="9"/>
      <c r="F347" s="9"/>
      <c r="G347" s="59"/>
      <c r="H347" s="9"/>
    </row>
    <row r="348">
      <c r="A348" s="9"/>
      <c r="B348" s="9"/>
      <c r="C348" s="9"/>
      <c r="D348" s="50"/>
      <c r="E348" s="9"/>
      <c r="F348" s="9"/>
      <c r="G348" s="59"/>
      <c r="H348" s="9"/>
    </row>
    <row r="349">
      <c r="A349" s="9"/>
      <c r="B349" s="9"/>
      <c r="C349" s="9"/>
      <c r="D349" s="50"/>
      <c r="E349" s="9"/>
      <c r="F349" s="9"/>
      <c r="G349" s="59"/>
      <c r="H349" s="9"/>
    </row>
    <row r="350">
      <c r="A350" s="9"/>
      <c r="B350" s="9"/>
      <c r="C350" s="9"/>
      <c r="D350" s="50"/>
      <c r="E350" s="9"/>
      <c r="F350" s="9"/>
      <c r="G350" s="59"/>
      <c r="H350" s="9"/>
    </row>
    <row r="351">
      <c r="A351" s="9"/>
      <c r="B351" s="9"/>
      <c r="C351" s="9"/>
      <c r="D351" s="50"/>
      <c r="E351" s="9"/>
      <c r="F351" s="9"/>
      <c r="G351" s="59"/>
      <c r="H351" s="9"/>
    </row>
    <row r="352">
      <c r="A352" s="9"/>
      <c r="B352" s="9"/>
      <c r="C352" s="9"/>
      <c r="D352" s="50"/>
      <c r="E352" s="9"/>
      <c r="F352" s="9"/>
      <c r="G352" s="59"/>
      <c r="H352" s="9"/>
    </row>
    <row r="353">
      <c r="A353" s="9"/>
      <c r="B353" s="9"/>
      <c r="C353" s="9"/>
      <c r="D353" s="50"/>
      <c r="E353" s="9"/>
      <c r="F353" s="9"/>
      <c r="G353" s="59"/>
      <c r="H353" s="9"/>
    </row>
    <row r="354">
      <c r="A354" s="9"/>
      <c r="B354" s="9"/>
      <c r="C354" s="9"/>
      <c r="D354" s="50"/>
      <c r="E354" s="9"/>
      <c r="F354" s="9"/>
      <c r="G354" s="59"/>
      <c r="H354" s="9"/>
    </row>
    <row r="355">
      <c r="A355" s="9"/>
      <c r="B355" s="9"/>
      <c r="C355" s="9"/>
      <c r="D355" s="50"/>
      <c r="E355" s="9"/>
      <c r="F355" s="9"/>
      <c r="G355" s="59"/>
      <c r="H355" s="9"/>
    </row>
    <row r="356">
      <c r="A356" s="9"/>
      <c r="B356" s="9"/>
      <c r="C356" s="9"/>
      <c r="D356" s="50"/>
      <c r="E356" s="9"/>
      <c r="F356" s="9"/>
      <c r="G356" s="59"/>
      <c r="H356" s="9"/>
    </row>
    <row r="357">
      <c r="A357" s="9"/>
      <c r="B357" s="9"/>
      <c r="C357" s="9"/>
      <c r="D357" s="50"/>
      <c r="E357" s="9"/>
      <c r="F357" s="9"/>
      <c r="G357" s="59"/>
      <c r="H357" s="9"/>
    </row>
    <row r="358">
      <c r="A358" s="9"/>
      <c r="B358" s="9"/>
      <c r="C358" s="9"/>
      <c r="D358" s="50"/>
      <c r="E358" s="9"/>
      <c r="F358" s="9"/>
      <c r="G358" s="59"/>
      <c r="H358" s="9"/>
    </row>
    <row r="359">
      <c r="A359" s="9"/>
      <c r="B359" s="9"/>
      <c r="C359" s="9"/>
      <c r="D359" s="50"/>
      <c r="E359" s="9"/>
      <c r="F359" s="9"/>
      <c r="G359" s="59"/>
      <c r="H359" s="9"/>
    </row>
    <row r="360">
      <c r="A360" s="9"/>
      <c r="B360" s="9"/>
      <c r="C360" s="9"/>
      <c r="D360" s="50"/>
      <c r="E360" s="9"/>
      <c r="F360" s="9"/>
      <c r="G360" s="59"/>
      <c r="H360" s="9"/>
    </row>
    <row r="361">
      <c r="A361" s="9"/>
      <c r="B361" s="9"/>
      <c r="C361" s="9"/>
      <c r="D361" s="50"/>
      <c r="E361" s="9"/>
      <c r="F361" s="9"/>
      <c r="G361" s="59"/>
      <c r="H361" s="9"/>
    </row>
    <row r="362">
      <c r="A362" s="9"/>
      <c r="B362" s="9"/>
      <c r="C362" s="9"/>
      <c r="D362" s="50"/>
      <c r="E362" s="9"/>
      <c r="F362" s="9"/>
      <c r="G362" s="59"/>
      <c r="H362" s="9"/>
    </row>
    <row r="363">
      <c r="A363" s="9"/>
      <c r="B363" s="9"/>
      <c r="C363" s="9"/>
      <c r="D363" s="50"/>
      <c r="E363" s="9"/>
      <c r="F363" s="9"/>
      <c r="G363" s="59"/>
      <c r="H363" s="9"/>
    </row>
    <row r="364">
      <c r="A364" s="9"/>
      <c r="B364" s="9"/>
      <c r="C364" s="9"/>
      <c r="D364" s="50"/>
      <c r="E364" s="9"/>
      <c r="F364" s="9"/>
      <c r="G364" s="59"/>
      <c r="H364" s="9"/>
    </row>
    <row r="365">
      <c r="A365" s="9"/>
      <c r="B365" s="9"/>
      <c r="C365" s="9"/>
      <c r="D365" s="50"/>
      <c r="E365" s="9"/>
      <c r="F365" s="9"/>
      <c r="G365" s="59"/>
      <c r="H365" s="9"/>
    </row>
    <row r="366">
      <c r="A366" s="9"/>
      <c r="B366" s="9"/>
      <c r="C366" s="9"/>
      <c r="D366" s="50"/>
      <c r="E366" s="9"/>
      <c r="F366" s="9"/>
      <c r="G366" s="59"/>
      <c r="H366" s="9"/>
    </row>
    <row r="367">
      <c r="A367" s="9"/>
      <c r="B367" s="9"/>
      <c r="C367" s="9"/>
      <c r="D367" s="50"/>
      <c r="E367" s="9"/>
      <c r="F367" s="9"/>
      <c r="G367" s="59"/>
      <c r="H367" s="9"/>
    </row>
    <row r="368">
      <c r="A368" s="9"/>
      <c r="B368" s="9"/>
      <c r="C368" s="9"/>
      <c r="D368" s="50"/>
      <c r="E368" s="9"/>
      <c r="F368" s="9"/>
      <c r="G368" s="59"/>
      <c r="H368" s="9"/>
    </row>
    <row r="369">
      <c r="A369" s="9"/>
      <c r="B369" s="9"/>
      <c r="C369" s="9"/>
      <c r="D369" s="50"/>
      <c r="E369" s="9"/>
      <c r="F369" s="9"/>
      <c r="G369" s="59"/>
      <c r="H369" s="9"/>
    </row>
    <row r="370">
      <c r="A370" s="9"/>
      <c r="B370" s="9"/>
      <c r="C370" s="9"/>
      <c r="D370" s="50"/>
      <c r="E370" s="9"/>
      <c r="F370" s="9"/>
      <c r="G370" s="59"/>
      <c r="H370" s="9"/>
    </row>
    <row r="371">
      <c r="A371" s="9"/>
      <c r="B371" s="9"/>
      <c r="C371" s="9"/>
      <c r="D371" s="50"/>
      <c r="E371" s="9"/>
      <c r="F371" s="9"/>
      <c r="G371" s="59"/>
      <c r="H371" s="9"/>
    </row>
    <row r="372">
      <c r="A372" s="9"/>
      <c r="B372" s="9"/>
      <c r="C372" s="9"/>
      <c r="D372" s="50"/>
      <c r="E372" s="9"/>
      <c r="F372" s="9"/>
      <c r="G372" s="59"/>
      <c r="H372" s="9"/>
    </row>
    <row r="373">
      <c r="A373" s="9"/>
      <c r="B373" s="9"/>
      <c r="C373" s="9"/>
      <c r="D373" s="50"/>
      <c r="E373" s="9"/>
      <c r="F373" s="9"/>
      <c r="G373" s="59"/>
      <c r="H373" s="9"/>
    </row>
    <row r="374">
      <c r="A374" s="9"/>
      <c r="B374" s="9"/>
      <c r="C374" s="9"/>
      <c r="D374" s="50"/>
      <c r="E374" s="9"/>
      <c r="F374" s="9"/>
      <c r="G374" s="59"/>
      <c r="H374" s="9"/>
    </row>
    <row r="375">
      <c r="A375" s="9"/>
      <c r="B375" s="9"/>
      <c r="C375" s="9"/>
      <c r="D375" s="50"/>
      <c r="E375" s="9"/>
      <c r="F375" s="9"/>
      <c r="G375" s="59"/>
      <c r="H375" s="9"/>
    </row>
    <row r="376">
      <c r="A376" s="9"/>
      <c r="B376" s="9"/>
      <c r="C376" s="9"/>
      <c r="D376" s="50"/>
      <c r="E376" s="9"/>
      <c r="F376" s="9"/>
      <c r="G376" s="59"/>
      <c r="H376" s="9"/>
    </row>
    <row r="377">
      <c r="A377" s="9"/>
      <c r="B377" s="9"/>
      <c r="C377" s="9"/>
      <c r="D377" s="50"/>
      <c r="E377" s="9"/>
      <c r="F377" s="9"/>
      <c r="G377" s="59"/>
      <c r="H377" s="9"/>
    </row>
    <row r="378">
      <c r="A378" s="9"/>
      <c r="B378" s="9"/>
      <c r="C378" s="9"/>
      <c r="D378" s="50"/>
      <c r="E378" s="9"/>
      <c r="F378" s="9"/>
      <c r="G378" s="59"/>
      <c r="H378" s="9"/>
    </row>
    <row r="379">
      <c r="A379" s="9"/>
      <c r="B379" s="9"/>
      <c r="C379" s="9"/>
      <c r="D379" s="50"/>
      <c r="E379" s="9"/>
      <c r="F379" s="9"/>
      <c r="G379" s="59"/>
      <c r="H379" s="9"/>
    </row>
    <row r="380">
      <c r="A380" s="9"/>
      <c r="B380" s="9"/>
      <c r="C380" s="9"/>
      <c r="D380" s="50"/>
      <c r="E380" s="9"/>
      <c r="F380" s="9"/>
      <c r="G380" s="59"/>
      <c r="H380" s="9"/>
    </row>
    <row r="381">
      <c r="A381" s="9"/>
      <c r="B381" s="9"/>
      <c r="C381" s="9"/>
      <c r="D381" s="50"/>
      <c r="E381" s="9"/>
      <c r="F381" s="9"/>
      <c r="G381" s="59"/>
      <c r="H381" s="9"/>
    </row>
    <row r="382">
      <c r="A382" s="9"/>
      <c r="B382" s="9"/>
      <c r="C382" s="9"/>
      <c r="D382" s="50"/>
      <c r="E382" s="9"/>
      <c r="F382" s="9"/>
      <c r="G382" s="59"/>
      <c r="H382" s="9"/>
    </row>
    <row r="383">
      <c r="A383" s="9"/>
      <c r="B383" s="9"/>
      <c r="C383" s="9"/>
      <c r="D383" s="50"/>
      <c r="E383" s="9"/>
      <c r="F383" s="9"/>
      <c r="G383" s="59"/>
      <c r="H383" s="9"/>
    </row>
    <row r="384">
      <c r="A384" s="9"/>
      <c r="B384" s="9"/>
      <c r="C384" s="9"/>
      <c r="D384" s="50"/>
      <c r="E384" s="9"/>
      <c r="F384" s="9"/>
      <c r="G384" s="59"/>
      <c r="H384" s="9"/>
    </row>
    <row r="385">
      <c r="A385" s="9"/>
      <c r="B385" s="9"/>
      <c r="C385" s="9"/>
      <c r="D385" s="50"/>
      <c r="E385" s="9"/>
      <c r="F385" s="9"/>
      <c r="G385" s="59"/>
      <c r="H385" s="9"/>
    </row>
    <row r="386">
      <c r="A386" s="9"/>
      <c r="B386" s="9"/>
      <c r="C386" s="9"/>
      <c r="D386" s="50"/>
      <c r="E386" s="9"/>
      <c r="F386" s="9"/>
      <c r="G386" s="59"/>
      <c r="H386" s="9"/>
    </row>
    <row r="387">
      <c r="A387" s="9"/>
      <c r="B387" s="9"/>
      <c r="C387" s="9"/>
      <c r="D387" s="50"/>
      <c r="E387" s="9"/>
      <c r="F387" s="9"/>
      <c r="G387" s="59"/>
      <c r="H387" s="9"/>
    </row>
    <row r="388">
      <c r="A388" s="9"/>
      <c r="B388" s="9"/>
      <c r="C388" s="9"/>
      <c r="D388" s="50"/>
      <c r="E388" s="9"/>
      <c r="F388" s="9"/>
      <c r="G388" s="59"/>
      <c r="H388" s="9"/>
    </row>
    <row r="389">
      <c r="A389" s="9"/>
      <c r="B389" s="9"/>
      <c r="C389" s="9"/>
      <c r="D389" s="50"/>
      <c r="E389" s="9"/>
      <c r="F389" s="9"/>
      <c r="G389" s="59"/>
      <c r="H389" s="9"/>
    </row>
    <row r="390">
      <c r="A390" s="9"/>
      <c r="B390" s="9"/>
      <c r="C390" s="9"/>
      <c r="D390" s="50"/>
      <c r="E390" s="9"/>
      <c r="F390" s="9"/>
      <c r="G390" s="59"/>
      <c r="H390" s="9"/>
    </row>
    <row r="391">
      <c r="A391" s="9"/>
      <c r="B391" s="9"/>
      <c r="C391" s="9"/>
      <c r="D391" s="50"/>
      <c r="E391" s="9"/>
      <c r="F391" s="9"/>
      <c r="G391" s="59"/>
      <c r="H391" s="9"/>
    </row>
    <row r="392">
      <c r="A392" s="9"/>
      <c r="B392" s="9"/>
      <c r="C392" s="9"/>
      <c r="D392" s="50"/>
      <c r="E392" s="9"/>
      <c r="F392" s="9"/>
      <c r="G392" s="59"/>
      <c r="H392" s="9"/>
    </row>
    <row r="393">
      <c r="A393" s="9"/>
      <c r="B393" s="9"/>
      <c r="C393" s="9"/>
      <c r="D393" s="50"/>
      <c r="E393" s="9"/>
      <c r="F393" s="9"/>
      <c r="G393" s="59"/>
      <c r="H393" s="9"/>
    </row>
    <row r="394">
      <c r="A394" s="9"/>
      <c r="B394" s="9"/>
      <c r="C394" s="9"/>
      <c r="D394" s="50"/>
      <c r="E394" s="9"/>
      <c r="F394" s="9"/>
      <c r="G394" s="59"/>
      <c r="H394" s="9"/>
    </row>
    <row r="395">
      <c r="A395" s="9"/>
      <c r="B395" s="9"/>
      <c r="C395" s="9"/>
      <c r="D395" s="50"/>
      <c r="E395" s="9"/>
      <c r="F395" s="9"/>
      <c r="G395" s="59"/>
      <c r="H395" s="9"/>
    </row>
    <row r="396">
      <c r="A396" s="9"/>
      <c r="B396" s="9"/>
      <c r="C396" s="9"/>
      <c r="D396" s="50"/>
      <c r="E396" s="9"/>
      <c r="F396" s="9"/>
      <c r="G396" s="59"/>
      <c r="H396" s="9"/>
    </row>
    <row r="397">
      <c r="A397" s="9"/>
      <c r="B397" s="9"/>
      <c r="C397" s="9"/>
      <c r="D397" s="50"/>
      <c r="E397" s="9"/>
      <c r="F397" s="9"/>
      <c r="G397" s="59"/>
      <c r="H397" s="9"/>
    </row>
    <row r="398">
      <c r="A398" s="9"/>
      <c r="B398" s="9"/>
      <c r="C398" s="9"/>
      <c r="D398" s="50"/>
      <c r="E398" s="9"/>
      <c r="F398" s="9"/>
      <c r="G398" s="59"/>
      <c r="H398" s="9"/>
    </row>
    <row r="399">
      <c r="A399" s="9"/>
      <c r="B399" s="9"/>
      <c r="C399" s="9"/>
      <c r="D399" s="50"/>
      <c r="E399" s="9"/>
      <c r="F399" s="9"/>
      <c r="G399" s="59"/>
      <c r="H399" s="9"/>
    </row>
    <row r="400">
      <c r="A400" s="9"/>
      <c r="B400" s="9"/>
      <c r="C400" s="9"/>
      <c r="D400" s="50"/>
      <c r="E400" s="9"/>
      <c r="F400" s="9"/>
      <c r="G400" s="59"/>
      <c r="H400" s="9"/>
    </row>
    <row r="401">
      <c r="A401" s="9"/>
      <c r="B401" s="9"/>
      <c r="C401" s="9"/>
      <c r="D401" s="50"/>
      <c r="E401" s="9"/>
      <c r="F401" s="9"/>
      <c r="G401" s="59"/>
      <c r="H401" s="9"/>
    </row>
    <row r="402">
      <c r="A402" s="9"/>
      <c r="B402" s="9"/>
      <c r="C402" s="9"/>
      <c r="D402" s="50"/>
      <c r="E402" s="9"/>
      <c r="F402" s="9"/>
      <c r="G402" s="59"/>
      <c r="H402" s="9"/>
    </row>
    <row r="403">
      <c r="A403" s="9"/>
      <c r="B403" s="9"/>
      <c r="C403" s="9"/>
      <c r="D403" s="50"/>
      <c r="E403" s="9"/>
      <c r="F403" s="9"/>
      <c r="G403" s="59"/>
      <c r="H403" s="9"/>
    </row>
    <row r="404">
      <c r="A404" s="9"/>
      <c r="B404" s="9"/>
      <c r="C404" s="9"/>
      <c r="D404" s="50"/>
      <c r="E404" s="9"/>
      <c r="F404" s="9"/>
      <c r="G404" s="59"/>
      <c r="H404" s="9"/>
    </row>
    <row r="405">
      <c r="A405" s="9"/>
      <c r="B405" s="9"/>
      <c r="C405" s="9"/>
      <c r="D405" s="50"/>
      <c r="E405" s="9"/>
      <c r="F405" s="9"/>
      <c r="G405" s="59"/>
      <c r="H405" s="9"/>
    </row>
    <row r="406">
      <c r="A406" s="9"/>
      <c r="B406" s="9"/>
      <c r="C406" s="9"/>
      <c r="D406" s="50"/>
      <c r="E406" s="9"/>
      <c r="F406" s="9"/>
      <c r="G406" s="59"/>
      <c r="H406" s="9"/>
    </row>
    <row r="407">
      <c r="A407" s="9"/>
      <c r="B407" s="9"/>
      <c r="C407" s="9"/>
      <c r="D407" s="50"/>
      <c r="E407" s="9"/>
      <c r="F407" s="9"/>
      <c r="G407" s="59"/>
      <c r="H407" s="9"/>
    </row>
    <row r="408">
      <c r="A408" s="9"/>
      <c r="B408" s="9"/>
      <c r="C408" s="9"/>
      <c r="D408" s="50"/>
      <c r="E408" s="9"/>
      <c r="F408" s="9"/>
      <c r="G408" s="59"/>
      <c r="H408" s="9"/>
    </row>
    <row r="409">
      <c r="A409" s="9"/>
      <c r="B409" s="9"/>
      <c r="C409" s="9"/>
      <c r="D409" s="50"/>
      <c r="E409" s="9"/>
      <c r="F409" s="9"/>
      <c r="G409" s="59"/>
      <c r="H409" s="9"/>
    </row>
    <row r="410">
      <c r="A410" s="9"/>
      <c r="B410" s="9"/>
      <c r="C410" s="9"/>
      <c r="D410" s="50"/>
      <c r="E410" s="9"/>
      <c r="F410" s="9"/>
      <c r="G410" s="59"/>
      <c r="H410" s="9"/>
    </row>
    <row r="411">
      <c r="A411" s="9"/>
      <c r="B411" s="9"/>
      <c r="C411" s="9"/>
      <c r="D411" s="50"/>
      <c r="E411" s="9"/>
      <c r="F411" s="9"/>
      <c r="G411" s="59"/>
      <c r="H411" s="9"/>
    </row>
    <row r="412">
      <c r="A412" s="9"/>
      <c r="B412" s="9"/>
      <c r="C412" s="9"/>
      <c r="D412" s="50"/>
      <c r="E412" s="9"/>
      <c r="F412" s="9"/>
      <c r="G412" s="59"/>
      <c r="H412" s="9"/>
    </row>
    <row r="413">
      <c r="A413" s="9"/>
      <c r="B413" s="9"/>
      <c r="C413" s="9"/>
      <c r="D413" s="50"/>
      <c r="E413" s="9"/>
      <c r="F413" s="9"/>
      <c r="G413" s="59"/>
      <c r="H413" s="9"/>
    </row>
    <row r="414">
      <c r="A414" s="9"/>
      <c r="B414" s="9"/>
      <c r="C414" s="9"/>
      <c r="D414" s="50"/>
      <c r="E414" s="9"/>
      <c r="F414" s="9"/>
      <c r="G414" s="59"/>
      <c r="H414" s="9"/>
    </row>
    <row r="415">
      <c r="A415" s="9"/>
      <c r="B415" s="9"/>
      <c r="C415" s="9"/>
      <c r="D415" s="50"/>
      <c r="E415" s="9"/>
      <c r="F415" s="9"/>
      <c r="G415" s="59"/>
      <c r="H415" s="9"/>
    </row>
    <row r="416">
      <c r="A416" s="9"/>
      <c r="B416" s="9"/>
      <c r="C416" s="9"/>
      <c r="D416" s="50"/>
      <c r="E416" s="9"/>
      <c r="F416" s="9"/>
      <c r="G416" s="59"/>
      <c r="H416" s="9"/>
    </row>
    <row r="417">
      <c r="A417" s="9"/>
      <c r="B417" s="9"/>
      <c r="C417" s="9"/>
      <c r="D417" s="50"/>
      <c r="E417" s="9"/>
      <c r="F417" s="9"/>
      <c r="G417" s="59"/>
      <c r="H417" s="9"/>
    </row>
    <row r="418">
      <c r="A418" s="9"/>
      <c r="B418" s="9"/>
      <c r="C418" s="9"/>
      <c r="D418" s="50"/>
      <c r="E418" s="9"/>
      <c r="F418" s="9"/>
      <c r="G418" s="59"/>
      <c r="H418" s="9"/>
    </row>
    <row r="419">
      <c r="A419" s="9"/>
      <c r="B419" s="9"/>
      <c r="C419" s="9"/>
      <c r="D419" s="50"/>
      <c r="E419" s="9"/>
      <c r="F419" s="9"/>
      <c r="G419" s="59"/>
      <c r="H419" s="9"/>
    </row>
    <row r="420">
      <c r="A420" s="9"/>
      <c r="B420" s="9"/>
      <c r="C420" s="9"/>
      <c r="D420" s="50"/>
      <c r="E420" s="9"/>
      <c r="F420" s="9"/>
      <c r="G420" s="59"/>
      <c r="H420" s="9"/>
    </row>
    <row r="421">
      <c r="A421" s="9"/>
      <c r="B421" s="9"/>
      <c r="C421" s="9"/>
      <c r="D421" s="50"/>
      <c r="E421" s="9"/>
      <c r="F421" s="9"/>
      <c r="G421" s="59"/>
      <c r="H421" s="9"/>
    </row>
    <row r="422">
      <c r="A422" s="9"/>
      <c r="B422" s="9"/>
      <c r="C422" s="9"/>
      <c r="D422" s="50"/>
      <c r="E422" s="9"/>
      <c r="F422" s="9"/>
      <c r="G422" s="59"/>
      <c r="H422" s="9"/>
    </row>
    <row r="423">
      <c r="A423" s="9"/>
      <c r="B423" s="9"/>
      <c r="C423" s="9"/>
      <c r="D423" s="50"/>
      <c r="E423" s="9"/>
      <c r="F423" s="9"/>
      <c r="G423" s="59"/>
      <c r="H423" s="9"/>
    </row>
    <row r="424">
      <c r="A424" s="9"/>
      <c r="B424" s="9"/>
      <c r="C424" s="9"/>
      <c r="D424" s="50"/>
      <c r="E424" s="9"/>
      <c r="F424" s="9"/>
      <c r="G424" s="59"/>
      <c r="H424" s="9"/>
    </row>
    <row r="425">
      <c r="A425" s="9"/>
      <c r="B425" s="9"/>
      <c r="C425" s="9"/>
      <c r="D425" s="50"/>
      <c r="E425" s="9"/>
      <c r="F425" s="9"/>
      <c r="G425" s="59"/>
      <c r="H425" s="9"/>
    </row>
    <row r="426">
      <c r="A426" s="9"/>
      <c r="B426" s="9"/>
      <c r="C426" s="9"/>
      <c r="D426" s="50"/>
      <c r="E426" s="9"/>
      <c r="F426" s="9"/>
      <c r="G426" s="59"/>
      <c r="H426" s="9"/>
    </row>
    <row r="427">
      <c r="A427" s="9"/>
      <c r="B427" s="9"/>
      <c r="C427" s="9"/>
      <c r="D427" s="50"/>
      <c r="E427" s="9"/>
      <c r="F427" s="9"/>
      <c r="G427" s="59"/>
      <c r="H427" s="9"/>
    </row>
    <row r="428">
      <c r="A428" s="9"/>
      <c r="B428" s="9"/>
      <c r="C428" s="9"/>
      <c r="D428" s="50"/>
      <c r="E428" s="9"/>
      <c r="F428" s="9"/>
      <c r="G428" s="59"/>
      <c r="H428" s="9"/>
    </row>
    <row r="429">
      <c r="A429" s="9"/>
      <c r="B429" s="9"/>
      <c r="C429" s="9"/>
      <c r="D429" s="50"/>
      <c r="E429" s="9"/>
      <c r="F429" s="9"/>
      <c r="G429" s="59"/>
      <c r="H429" s="9"/>
    </row>
    <row r="430">
      <c r="A430" s="9"/>
      <c r="B430" s="9"/>
      <c r="C430" s="9"/>
      <c r="D430" s="50"/>
      <c r="E430" s="9"/>
      <c r="F430" s="9"/>
      <c r="G430" s="59"/>
      <c r="H430" s="9"/>
    </row>
    <row r="431">
      <c r="A431" s="9"/>
      <c r="B431" s="9"/>
      <c r="C431" s="9"/>
      <c r="D431" s="50"/>
      <c r="E431" s="9"/>
      <c r="F431" s="9"/>
      <c r="G431" s="59"/>
      <c r="H431" s="9"/>
    </row>
    <row r="432">
      <c r="A432" s="9"/>
      <c r="B432" s="9"/>
      <c r="C432" s="9"/>
      <c r="D432" s="50"/>
      <c r="E432" s="9"/>
      <c r="F432" s="9"/>
      <c r="G432" s="59"/>
      <c r="H432" s="9"/>
    </row>
    <row r="433">
      <c r="A433" s="9"/>
      <c r="B433" s="9"/>
      <c r="C433" s="9"/>
      <c r="D433" s="50"/>
      <c r="E433" s="9"/>
      <c r="F433" s="9"/>
      <c r="G433" s="59"/>
      <c r="H433" s="9"/>
    </row>
    <row r="434">
      <c r="A434" s="9"/>
      <c r="B434" s="9"/>
      <c r="C434" s="9"/>
      <c r="D434" s="50"/>
      <c r="E434" s="9"/>
      <c r="F434" s="9"/>
      <c r="G434" s="59"/>
      <c r="H434" s="9"/>
    </row>
    <row r="435">
      <c r="A435" s="9"/>
      <c r="B435" s="9"/>
      <c r="C435" s="9"/>
      <c r="D435" s="50"/>
      <c r="E435" s="9"/>
      <c r="F435" s="9"/>
      <c r="G435" s="59"/>
      <c r="H435" s="9"/>
    </row>
    <row r="436">
      <c r="A436" s="9"/>
      <c r="B436" s="9"/>
      <c r="C436" s="9"/>
      <c r="D436" s="50"/>
      <c r="E436" s="9"/>
      <c r="F436" s="9"/>
      <c r="G436" s="59"/>
      <c r="H436" s="9"/>
    </row>
    <row r="437">
      <c r="A437" s="9"/>
      <c r="B437" s="9"/>
      <c r="C437" s="9"/>
      <c r="D437" s="50"/>
      <c r="E437" s="9"/>
      <c r="F437" s="9"/>
      <c r="G437" s="59"/>
      <c r="H437" s="9"/>
    </row>
    <row r="438">
      <c r="A438" s="9"/>
      <c r="B438" s="9"/>
      <c r="C438" s="9"/>
      <c r="D438" s="50"/>
      <c r="E438" s="9"/>
      <c r="F438" s="9"/>
      <c r="G438" s="59"/>
      <c r="H438" s="9"/>
    </row>
    <row r="439">
      <c r="A439" s="9"/>
      <c r="B439" s="9"/>
      <c r="C439" s="9"/>
      <c r="D439" s="50"/>
      <c r="E439" s="9"/>
      <c r="F439" s="9"/>
      <c r="G439" s="59"/>
      <c r="H439" s="9"/>
    </row>
    <row r="440">
      <c r="A440" s="9"/>
      <c r="B440" s="9"/>
      <c r="C440" s="9"/>
      <c r="D440" s="50"/>
      <c r="E440" s="9"/>
      <c r="F440" s="9"/>
      <c r="G440" s="59"/>
      <c r="H440" s="9"/>
    </row>
    <row r="441">
      <c r="A441" s="9"/>
      <c r="B441" s="9"/>
      <c r="C441" s="9"/>
      <c r="D441" s="50"/>
      <c r="E441" s="9"/>
      <c r="F441" s="9"/>
      <c r="G441" s="59"/>
      <c r="H441" s="9"/>
    </row>
    <row r="442">
      <c r="A442" s="9"/>
      <c r="B442" s="9"/>
      <c r="C442" s="9"/>
      <c r="D442" s="50"/>
      <c r="E442" s="9"/>
      <c r="F442" s="9"/>
      <c r="G442" s="59"/>
      <c r="H442" s="9"/>
    </row>
    <row r="443">
      <c r="A443" s="9"/>
      <c r="B443" s="9"/>
      <c r="C443" s="9"/>
      <c r="D443" s="50"/>
      <c r="E443" s="9"/>
      <c r="F443" s="9"/>
      <c r="G443" s="59"/>
      <c r="H443" s="9"/>
    </row>
    <row r="444">
      <c r="A444" s="9"/>
      <c r="B444" s="9"/>
      <c r="C444" s="9"/>
      <c r="D444" s="50"/>
      <c r="E444" s="9"/>
      <c r="F444" s="9"/>
      <c r="G444" s="59"/>
      <c r="H444" s="9"/>
    </row>
    <row r="445">
      <c r="A445" s="9"/>
      <c r="B445" s="9"/>
      <c r="C445" s="9"/>
      <c r="D445" s="50"/>
      <c r="E445" s="9"/>
      <c r="F445" s="9"/>
      <c r="G445" s="59"/>
      <c r="H445" s="9"/>
    </row>
    <row r="446">
      <c r="A446" s="9"/>
      <c r="B446" s="9"/>
      <c r="C446" s="9"/>
      <c r="D446" s="50"/>
      <c r="E446" s="9"/>
      <c r="F446" s="9"/>
      <c r="G446" s="59"/>
      <c r="H446" s="9"/>
    </row>
    <row r="447">
      <c r="A447" s="9"/>
      <c r="B447" s="9"/>
      <c r="C447" s="9"/>
      <c r="D447" s="50"/>
      <c r="E447" s="9"/>
      <c r="F447" s="9"/>
      <c r="G447" s="59"/>
      <c r="H447" s="9"/>
    </row>
    <row r="448">
      <c r="A448" s="9"/>
      <c r="B448" s="9"/>
      <c r="C448" s="9"/>
      <c r="D448" s="50"/>
      <c r="E448" s="9"/>
      <c r="F448" s="9"/>
      <c r="G448" s="59"/>
      <c r="H448" s="9"/>
    </row>
    <row r="449">
      <c r="A449" s="9"/>
      <c r="B449" s="9"/>
      <c r="C449" s="9"/>
      <c r="D449" s="50"/>
      <c r="E449" s="9"/>
      <c r="F449" s="9"/>
      <c r="G449" s="59"/>
      <c r="H449" s="9"/>
    </row>
    <row r="450">
      <c r="A450" s="9"/>
      <c r="B450" s="9"/>
      <c r="C450" s="9"/>
      <c r="D450" s="50"/>
      <c r="E450" s="9"/>
      <c r="F450" s="9"/>
      <c r="G450" s="59"/>
      <c r="H450" s="9"/>
    </row>
    <row r="451">
      <c r="A451" s="9"/>
      <c r="B451" s="9"/>
      <c r="C451" s="9"/>
      <c r="D451" s="50"/>
      <c r="E451" s="9"/>
      <c r="F451" s="9"/>
      <c r="G451" s="59"/>
      <c r="H451" s="9"/>
    </row>
    <row r="452">
      <c r="A452" s="9"/>
      <c r="B452" s="9"/>
      <c r="C452" s="9"/>
      <c r="D452" s="50"/>
      <c r="E452" s="9"/>
      <c r="F452" s="9"/>
      <c r="G452" s="59"/>
      <c r="H452" s="9"/>
    </row>
    <row r="453">
      <c r="A453" s="9"/>
      <c r="B453" s="9"/>
      <c r="C453" s="9"/>
      <c r="D453" s="50"/>
      <c r="E453" s="9"/>
      <c r="F453" s="9"/>
      <c r="G453" s="59"/>
      <c r="H453" s="9"/>
    </row>
    <row r="454">
      <c r="A454" s="9"/>
      <c r="B454" s="9"/>
      <c r="C454" s="9"/>
      <c r="D454" s="50"/>
      <c r="E454" s="9"/>
      <c r="F454" s="9"/>
      <c r="G454" s="59"/>
      <c r="H454" s="9"/>
    </row>
    <row r="455">
      <c r="A455" s="9"/>
      <c r="B455" s="9"/>
      <c r="C455" s="9"/>
      <c r="D455" s="50"/>
      <c r="E455" s="9"/>
      <c r="F455" s="9"/>
      <c r="G455" s="59"/>
      <c r="H455" s="9"/>
    </row>
    <row r="456">
      <c r="A456" s="9"/>
      <c r="B456" s="9"/>
      <c r="C456" s="9"/>
      <c r="D456" s="50"/>
      <c r="E456" s="9"/>
      <c r="F456" s="9"/>
      <c r="G456" s="59"/>
      <c r="H456" s="9"/>
    </row>
    <row r="457">
      <c r="A457" s="9"/>
      <c r="B457" s="9"/>
      <c r="C457" s="9"/>
      <c r="D457" s="50"/>
      <c r="E457" s="9"/>
      <c r="F457" s="9"/>
      <c r="G457" s="59"/>
      <c r="H457" s="9"/>
    </row>
    <row r="458">
      <c r="A458" s="9"/>
      <c r="B458" s="9"/>
      <c r="C458" s="9"/>
      <c r="D458" s="50"/>
      <c r="E458" s="9"/>
      <c r="F458" s="9"/>
      <c r="G458" s="59"/>
      <c r="H458" s="9"/>
    </row>
    <row r="459">
      <c r="A459" s="9"/>
      <c r="B459" s="9"/>
      <c r="C459" s="9"/>
      <c r="D459" s="50"/>
      <c r="E459" s="9"/>
      <c r="F459" s="9"/>
      <c r="G459" s="59"/>
      <c r="H459" s="9"/>
    </row>
    <row r="460">
      <c r="A460" s="9"/>
      <c r="B460" s="9"/>
      <c r="C460" s="9"/>
      <c r="D460" s="50"/>
      <c r="E460" s="9"/>
      <c r="F460" s="9"/>
      <c r="G460" s="59"/>
      <c r="H460" s="9"/>
    </row>
    <row r="461">
      <c r="A461" s="9"/>
      <c r="B461" s="9"/>
      <c r="C461" s="9"/>
      <c r="D461" s="50"/>
      <c r="E461" s="9"/>
      <c r="F461" s="9"/>
      <c r="G461" s="59"/>
      <c r="H461" s="9"/>
    </row>
    <row r="462">
      <c r="A462" s="9"/>
      <c r="B462" s="9"/>
      <c r="C462" s="9"/>
      <c r="D462" s="50"/>
      <c r="E462" s="9"/>
      <c r="F462" s="9"/>
      <c r="G462" s="59"/>
      <c r="H462" s="9"/>
    </row>
    <row r="463">
      <c r="A463" s="9"/>
      <c r="B463" s="9"/>
      <c r="C463" s="9"/>
      <c r="D463" s="50"/>
      <c r="E463" s="9"/>
      <c r="F463" s="9"/>
      <c r="G463" s="59"/>
      <c r="H463" s="9"/>
    </row>
    <row r="464">
      <c r="A464" s="9"/>
      <c r="B464" s="9"/>
      <c r="C464" s="9"/>
      <c r="D464" s="50"/>
      <c r="E464" s="9"/>
      <c r="F464" s="9"/>
      <c r="G464" s="59"/>
      <c r="H464" s="9"/>
    </row>
    <row r="465">
      <c r="A465" s="9"/>
      <c r="B465" s="9"/>
      <c r="C465" s="9"/>
      <c r="D465" s="50"/>
      <c r="E465" s="9"/>
      <c r="F465" s="9"/>
      <c r="G465" s="59"/>
      <c r="H465" s="9"/>
    </row>
    <row r="466">
      <c r="A466" s="9"/>
      <c r="B466" s="9"/>
      <c r="C466" s="9"/>
      <c r="D466" s="50"/>
      <c r="E466" s="9"/>
      <c r="F466" s="9"/>
      <c r="G466" s="59"/>
      <c r="H466" s="9"/>
    </row>
    <row r="467">
      <c r="A467" s="9"/>
      <c r="B467" s="9"/>
      <c r="C467" s="9"/>
      <c r="D467" s="50"/>
      <c r="E467" s="9"/>
      <c r="F467" s="9"/>
      <c r="G467" s="59"/>
      <c r="H467" s="9"/>
    </row>
    <row r="468">
      <c r="A468" s="9"/>
      <c r="B468" s="9"/>
      <c r="C468" s="9"/>
      <c r="D468" s="50"/>
      <c r="E468" s="9"/>
      <c r="F468" s="9"/>
      <c r="G468" s="59"/>
      <c r="H468" s="9"/>
    </row>
    <row r="469">
      <c r="A469" s="9"/>
      <c r="B469" s="9"/>
      <c r="C469" s="9"/>
      <c r="D469" s="50"/>
      <c r="E469" s="9"/>
      <c r="F469" s="9"/>
      <c r="G469" s="59"/>
      <c r="H469" s="9"/>
    </row>
    <row r="470">
      <c r="A470" s="9"/>
      <c r="B470" s="9"/>
      <c r="C470" s="9"/>
      <c r="D470" s="50"/>
      <c r="E470" s="9"/>
      <c r="F470" s="9"/>
      <c r="G470" s="59"/>
      <c r="H470" s="9"/>
    </row>
    <row r="471">
      <c r="A471" s="9"/>
      <c r="B471" s="9"/>
      <c r="C471" s="9"/>
      <c r="D471" s="50"/>
      <c r="E471" s="9"/>
      <c r="F471" s="9"/>
      <c r="G471" s="59"/>
      <c r="H471" s="9"/>
    </row>
    <row r="472">
      <c r="A472" s="9"/>
      <c r="B472" s="9"/>
      <c r="C472" s="9"/>
      <c r="D472" s="50"/>
      <c r="E472" s="9"/>
      <c r="F472" s="9"/>
      <c r="G472" s="59"/>
      <c r="H472" s="9"/>
    </row>
    <row r="473">
      <c r="A473" s="9"/>
      <c r="B473" s="9"/>
      <c r="C473" s="9"/>
      <c r="D473" s="50"/>
      <c r="E473" s="9"/>
      <c r="F473" s="9"/>
      <c r="G473" s="59"/>
      <c r="H473" s="9"/>
    </row>
    <row r="474">
      <c r="A474" s="9"/>
      <c r="B474" s="9"/>
      <c r="C474" s="9"/>
      <c r="D474" s="50"/>
      <c r="E474" s="9"/>
      <c r="F474" s="9"/>
      <c r="G474" s="59"/>
      <c r="H474" s="9"/>
    </row>
    <row r="475">
      <c r="A475" s="9"/>
      <c r="B475" s="9"/>
      <c r="C475" s="9"/>
      <c r="D475" s="50"/>
      <c r="E475" s="9"/>
      <c r="F475" s="9"/>
      <c r="G475" s="59"/>
      <c r="H475" s="9"/>
    </row>
    <row r="476">
      <c r="A476" s="9"/>
      <c r="B476" s="9"/>
      <c r="C476" s="9"/>
      <c r="D476" s="50"/>
      <c r="E476" s="9"/>
      <c r="F476" s="9"/>
      <c r="G476" s="59"/>
      <c r="H476" s="9"/>
    </row>
    <row r="477">
      <c r="A477" s="9"/>
      <c r="B477" s="9"/>
      <c r="C477" s="9"/>
      <c r="D477" s="50"/>
      <c r="E477" s="9"/>
      <c r="F477" s="9"/>
      <c r="G477" s="59"/>
      <c r="H477" s="9"/>
    </row>
    <row r="478">
      <c r="A478" s="9"/>
      <c r="B478" s="9"/>
      <c r="C478" s="9"/>
      <c r="D478" s="50"/>
      <c r="E478" s="9"/>
      <c r="F478" s="9"/>
      <c r="G478" s="59"/>
      <c r="H478" s="9"/>
    </row>
    <row r="479">
      <c r="A479" s="9"/>
      <c r="B479" s="9"/>
      <c r="C479" s="9"/>
      <c r="D479" s="50"/>
      <c r="E479" s="9"/>
      <c r="F479" s="9"/>
      <c r="G479" s="59"/>
      <c r="H479" s="9"/>
    </row>
    <row r="480">
      <c r="A480" s="9"/>
      <c r="B480" s="9"/>
      <c r="C480" s="9"/>
      <c r="D480" s="50"/>
      <c r="E480" s="9"/>
      <c r="F480" s="9"/>
      <c r="G480" s="59"/>
      <c r="H480" s="9"/>
    </row>
    <row r="481">
      <c r="A481" s="9"/>
      <c r="B481" s="9"/>
      <c r="C481" s="9"/>
      <c r="D481" s="50"/>
      <c r="E481" s="9"/>
      <c r="F481" s="9"/>
      <c r="G481" s="59"/>
      <c r="H481" s="9"/>
    </row>
    <row r="482">
      <c r="A482" s="9"/>
      <c r="B482" s="9"/>
      <c r="C482" s="9"/>
      <c r="D482" s="50"/>
      <c r="E482" s="9"/>
      <c r="F482" s="9"/>
      <c r="G482" s="59"/>
      <c r="H482" s="9"/>
    </row>
    <row r="483">
      <c r="A483" s="9"/>
      <c r="B483" s="9"/>
      <c r="C483" s="9"/>
      <c r="D483" s="50"/>
      <c r="E483" s="9"/>
      <c r="F483" s="9"/>
      <c r="G483" s="59"/>
      <c r="H483" s="9"/>
    </row>
    <row r="484">
      <c r="A484" s="9"/>
      <c r="B484" s="9"/>
      <c r="C484" s="9"/>
      <c r="D484" s="50"/>
      <c r="E484" s="9"/>
      <c r="F484" s="9"/>
      <c r="G484" s="59"/>
      <c r="H484" s="9"/>
    </row>
    <row r="485">
      <c r="A485" s="9"/>
      <c r="B485" s="9"/>
      <c r="C485" s="9"/>
      <c r="D485" s="50"/>
      <c r="E485" s="9"/>
      <c r="F485" s="9"/>
      <c r="G485" s="59"/>
      <c r="H485" s="9"/>
    </row>
    <row r="486">
      <c r="A486" s="9"/>
      <c r="B486" s="9"/>
      <c r="C486" s="9"/>
      <c r="D486" s="50"/>
      <c r="E486" s="9"/>
      <c r="F486" s="9"/>
      <c r="G486" s="59"/>
      <c r="H486" s="9"/>
    </row>
    <row r="487">
      <c r="A487" s="9"/>
      <c r="B487" s="9"/>
      <c r="C487" s="9"/>
      <c r="D487" s="50"/>
      <c r="E487" s="9"/>
      <c r="F487" s="9"/>
      <c r="G487" s="59"/>
      <c r="H487" s="9"/>
    </row>
    <row r="488">
      <c r="A488" s="9"/>
      <c r="B488" s="9"/>
      <c r="C488" s="9"/>
      <c r="D488" s="50"/>
      <c r="E488" s="9"/>
      <c r="F488" s="9"/>
      <c r="G488" s="59"/>
      <c r="H488" s="9"/>
    </row>
    <row r="489">
      <c r="A489" s="9"/>
      <c r="B489" s="9"/>
      <c r="C489" s="9"/>
      <c r="D489" s="50"/>
      <c r="E489" s="9"/>
      <c r="F489" s="9"/>
      <c r="G489" s="59"/>
      <c r="H489" s="9"/>
    </row>
    <row r="490">
      <c r="A490" s="9"/>
      <c r="B490" s="9"/>
      <c r="C490" s="9"/>
      <c r="D490" s="50"/>
      <c r="E490" s="9"/>
      <c r="F490" s="9"/>
      <c r="G490" s="59"/>
      <c r="H490" s="9"/>
    </row>
    <row r="491">
      <c r="A491" s="9"/>
      <c r="B491" s="9"/>
      <c r="C491" s="9"/>
      <c r="D491" s="50"/>
      <c r="E491" s="9"/>
      <c r="F491" s="9"/>
      <c r="G491" s="59"/>
      <c r="H491" s="9"/>
    </row>
    <row r="492">
      <c r="A492" s="9"/>
      <c r="B492" s="9"/>
      <c r="C492" s="9"/>
      <c r="D492" s="50"/>
      <c r="E492" s="9"/>
      <c r="F492" s="9"/>
      <c r="G492" s="59"/>
      <c r="H492" s="9"/>
    </row>
    <row r="493">
      <c r="A493" s="9"/>
      <c r="B493" s="9"/>
      <c r="C493" s="9"/>
      <c r="D493" s="50"/>
      <c r="E493" s="9"/>
      <c r="F493" s="9"/>
      <c r="G493" s="59"/>
      <c r="H493" s="9"/>
    </row>
    <row r="494">
      <c r="A494" s="9"/>
      <c r="B494" s="9"/>
      <c r="C494" s="9"/>
      <c r="D494" s="50"/>
      <c r="E494" s="9"/>
      <c r="F494" s="9"/>
      <c r="G494" s="59"/>
      <c r="H494" s="9"/>
    </row>
    <row r="495">
      <c r="A495" s="9"/>
      <c r="B495" s="9"/>
      <c r="C495" s="9"/>
      <c r="D495" s="50"/>
      <c r="E495" s="9"/>
      <c r="F495" s="9"/>
      <c r="G495" s="59"/>
      <c r="H495" s="9"/>
    </row>
    <row r="496">
      <c r="A496" s="9"/>
      <c r="B496" s="9"/>
      <c r="C496" s="9"/>
      <c r="D496" s="50"/>
      <c r="E496" s="9"/>
      <c r="F496" s="9"/>
      <c r="G496" s="59"/>
      <c r="H496" s="9"/>
    </row>
    <row r="497">
      <c r="A497" s="9"/>
      <c r="B497" s="9"/>
      <c r="C497" s="9"/>
      <c r="D497" s="50"/>
      <c r="E497" s="9"/>
      <c r="F497" s="9"/>
      <c r="G497" s="59"/>
      <c r="H497" s="9"/>
    </row>
    <row r="498">
      <c r="A498" s="9"/>
      <c r="B498" s="9"/>
      <c r="C498" s="9"/>
      <c r="D498" s="50"/>
      <c r="E498" s="9"/>
      <c r="F498" s="9"/>
      <c r="G498" s="59"/>
      <c r="H498" s="9"/>
    </row>
    <row r="499">
      <c r="A499" s="9"/>
      <c r="B499" s="9"/>
      <c r="C499" s="9"/>
      <c r="D499" s="50"/>
      <c r="E499" s="9"/>
      <c r="F499" s="9"/>
      <c r="G499" s="59"/>
      <c r="H499" s="9"/>
    </row>
    <row r="500">
      <c r="A500" s="9"/>
      <c r="B500" s="9"/>
      <c r="C500" s="9"/>
      <c r="D500" s="50"/>
      <c r="E500" s="9"/>
      <c r="F500" s="9"/>
      <c r="G500" s="59"/>
      <c r="H500" s="9"/>
    </row>
    <row r="501">
      <c r="A501" s="9"/>
      <c r="B501" s="9"/>
      <c r="C501" s="9"/>
      <c r="D501" s="50"/>
      <c r="E501" s="9"/>
      <c r="F501" s="9"/>
      <c r="G501" s="59"/>
      <c r="H501" s="9"/>
    </row>
    <row r="502">
      <c r="A502" s="9"/>
      <c r="B502" s="9"/>
      <c r="C502" s="9"/>
      <c r="D502" s="50"/>
      <c r="E502" s="9"/>
      <c r="F502" s="9"/>
      <c r="G502" s="59"/>
      <c r="H502" s="9"/>
    </row>
    <row r="503">
      <c r="A503" s="9"/>
      <c r="B503" s="9"/>
      <c r="C503" s="9"/>
      <c r="D503" s="50"/>
      <c r="E503" s="9"/>
      <c r="F503" s="9"/>
      <c r="G503" s="59"/>
      <c r="H503" s="9"/>
    </row>
    <row r="504">
      <c r="A504" s="9"/>
      <c r="B504" s="9"/>
      <c r="C504" s="9"/>
      <c r="D504" s="50"/>
      <c r="E504" s="9"/>
      <c r="F504" s="9"/>
      <c r="G504" s="59"/>
      <c r="H504" s="9"/>
    </row>
    <row r="505">
      <c r="A505" s="9"/>
      <c r="B505" s="9"/>
      <c r="C505" s="9"/>
      <c r="D505" s="50"/>
      <c r="E505" s="9"/>
      <c r="F505" s="9"/>
      <c r="G505" s="59"/>
      <c r="H505" s="9"/>
    </row>
    <row r="506">
      <c r="A506" s="9"/>
      <c r="B506" s="9"/>
      <c r="C506" s="9"/>
      <c r="D506" s="50"/>
      <c r="E506" s="9"/>
      <c r="F506" s="9"/>
      <c r="G506" s="59"/>
      <c r="H506" s="9"/>
    </row>
    <row r="507">
      <c r="A507" s="9"/>
      <c r="B507" s="9"/>
      <c r="C507" s="9"/>
      <c r="D507" s="50"/>
      <c r="E507" s="9"/>
      <c r="F507" s="9"/>
      <c r="G507" s="59"/>
      <c r="H507" s="9"/>
    </row>
    <row r="508">
      <c r="A508" s="9"/>
      <c r="B508" s="9"/>
      <c r="C508" s="9"/>
      <c r="D508" s="50"/>
      <c r="E508" s="9"/>
      <c r="F508" s="9"/>
      <c r="G508" s="59"/>
      <c r="H508" s="9"/>
    </row>
    <row r="509">
      <c r="A509" s="9"/>
      <c r="B509" s="9"/>
      <c r="C509" s="9"/>
      <c r="D509" s="50"/>
      <c r="E509" s="9"/>
      <c r="F509" s="9"/>
      <c r="G509" s="59"/>
      <c r="H509" s="9"/>
    </row>
    <row r="510">
      <c r="A510" s="9"/>
      <c r="B510" s="9"/>
      <c r="C510" s="9"/>
      <c r="D510" s="50"/>
      <c r="E510" s="9"/>
      <c r="F510" s="9"/>
      <c r="G510" s="59"/>
      <c r="H510" s="9"/>
    </row>
    <row r="511">
      <c r="A511" s="9"/>
      <c r="B511" s="9"/>
      <c r="C511" s="9"/>
      <c r="D511" s="50"/>
      <c r="E511" s="9"/>
      <c r="F511" s="9"/>
      <c r="G511" s="59"/>
      <c r="H511" s="9"/>
    </row>
    <row r="512">
      <c r="A512" s="9"/>
      <c r="B512" s="9"/>
      <c r="C512" s="9"/>
      <c r="D512" s="50"/>
      <c r="E512" s="9"/>
      <c r="F512" s="9"/>
      <c r="G512" s="59"/>
      <c r="H512" s="9"/>
    </row>
    <row r="513">
      <c r="A513" s="9"/>
      <c r="B513" s="9"/>
      <c r="C513" s="9"/>
      <c r="D513" s="50"/>
      <c r="E513" s="9"/>
      <c r="F513" s="9"/>
      <c r="G513" s="59"/>
      <c r="H513" s="9"/>
    </row>
    <row r="514">
      <c r="A514" s="9"/>
      <c r="B514" s="9"/>
      <c r="C514" s="9"/>
      <c r="D514" s="50"/>
      <c r="E514" s="9"/>
      <c r="F514" s="9"/>
      <c r="G514" s="59"/>
      <c r="H514" s="9"/>
    </row>
    <row r="515">
      <c r="A515" s="9"/>
      <c r="B515" s="9"/>
      <c r="C515" s="9"/>
      <c r="D515" s="50"/>
      <c r="E515" s="9"/>
      <c r="F515" s="9"/>
      <c r="G515" s="59"/>
      <c r="H515" s="9"/>
    </row>
    <row r="516">
      <c r="A516" s="9"/>
      <c r="B516" s="9"/>
      <c r="C516" s="9"/>
      <c r="D516" s="50"/>
      <c r="E516" s="9"/>
      <c r="F516" s="9"/>
      <c r="G516" s="59"/>
      <c r="H516" s="9"/>
    </row>
    <row r="517">
      <c r="A517" s="9"/>
      <c r="B517" s="9"/>
      <c r="C517" s="9"/>
      <c r="D517" s="50"/>
      <c r="E517" s="9"/>
      <c r="F517" s="9"/>
      <c r="G517" s="59"/>
      <c r="H517" s="9"/>
    </row>
    <row r="518">
      <c r="A518" s="9"/>
      <c r="B518" s="9"/>
      <c r="C518" s="9"/>
      <c r="D518" s="50"/>
      <c r="E518" s="9"/>
      <c r="F518" s="9"/>
      <c r="G518" s="59"/>
      <c r="H518" s="9"/>
    </row>
    <row r="519">
      <c r="A519" s="9"/>
      <c r="B519" s="9"/>
      <c r="C519" s="9"/>
      <c r="D519" s="50"/>
      <c r="E519" s="9"/>
      <c r="F519" s="9"/>
      <c r="G519" s="59"/>
      <c r="H519" s="9"/>
    </row>
    <row r="520">
      <c r="A520" s="9"/>
      <c r="B520" s="9"/>
      <c r="C520" s="9"/>
      <c r="D520" s="50"/>
      <c r="E520" s="9"/>
      <c r="F520" s="9"/>
      <c r="G520" s="59"/>
      <c r="H520" s="9"/>
    </row>
    <row r="521">
      <c r="A521" s="9"/>
      <c r="B521" s="9"/>
      <c r="C521" s="9"/>
      <c r="D521" s="50"/>
      <c r="E521" s="9"/>
      <c r="F521" s="9"/>
      <c r="G521" s="59"/>
      <c r="H521" s="9"/>
    </row>
    <row r="522">
      <c r="A522" s="9"/>
      <c r="B522" s="9"/>
      <c r="C522" s="9"/>
      <c r="D522" s="50"/>
      <c r="E522" s="9"/>
      <c r="F522" s="9"/>
      <c r="G522" s="59"/>
      <c r="H522" s="9"/>
    </row>
    <row r="523">
      <c r="A523" s="9"/>
      <c r="B523" s="9"/>
      <c r="C523" s="9"/>
      <c r="D523" s="50"/>
      <c r="E523" s="9"/>
      <c r="F523" s="9"/>
      <c r="G523" s="59"/>
      <c r="H523" s="9"/>
    </row>
    <row r="524">
      <c r="A524" s="9"/>
      <c r="B524" s="9"/>
      <c r="C524" s="9"/>
      <c r="D524" s="50"/>
      <c r="E524" s="9"/>
      <c r="F524" s="9"/>
      <c r="G524" s="59"/>
      <c r="H524" s="9"/>
    </row>
    <row r="525">
      <c r="A525" s="9"/>
      <c r="B525" s="9"/>
      <c r="C525" s="9"/>
      <c r="D525" s="50"/>
      <c r="E525" s="9"/>
      <c r="F525" s="9"/>
      <c r="G525" s="59"/>
      <c r="H525" s="9"/>
    </row>
    <row r="526">
      <c r="A526" s="9"/>
      <c r="B526" s="9"/>
      <c r="C526" s="9"/>
      <c r="D526" s="50"/>
      <c r="E526" s="9"/>
      <c r="F526" s="9"/>
      <c r="G526" s="59"/>
      <c r="H526" s="9"/>
    </row>
    <row r="527">
      <c r="A527" s="9"/>
      <c r="B527" s="9"/>
      <c r="C527" s="9"/>
      <c r="D527" s="50"/>
      <c r="E527" s="9"/>
      <c r="F527" s="9"/>
      <c r="G527" s="59"/>
      <c r="H527" s="9"/>
    </row>
    <row r="528">
      <c r="A528" s="9"/>
      <c r="B528" s="9"/>
      <c r="C528" s="9"/>
      <c r="D528" s="50"/>
      <c r="E528" s="9"/>
      <c r="F528" s="9"/>
      <c r="G528" s="59"/>
      <c r="H528" s="9"/>
    </row>
    <row r="529">
      <c r="A529" s="9"/>
      <c r="B529" s="9"/>
      <c r="C529" s="9"/>
      <c r="D529" s="50"/>
      <c r="E529" s="9"/>
      <c r="F529" s="9"/>
      <c r="G529" s="59"/>
      <c r="H529" s="9"/>
    </row>
    <row r="530">
      <c r="A530" s="9"/>
      <c r="B530" s="9"/>
      <c r="C530" s="9"/>
      <c r="D530" s="50"/>
      <c r="E530" s="9"/>
      <c r="F530" s="9"/>
      <c r="G530" s="59"/>
      <c r="H530" s="9"/>
    </row>
    <row r="531">
      <c r="A531" s="9"/>
      <c r="B531" s="9"/>
      <c r="C531" s="9"/>
      <c r="D531" s="50"/>
      <c r="E531" s="9"/>
      <c r="F531" s="9"/>
      <c r="G531" s="59"/>
      <c r="H531" s="9"/>
    </row>
    <row r="532">
      <c r="A532" s="9"/>
      <c r="B532" s="9"/>
      <c r="C532" s="9"/>
      <c r="D532" s="50"/>
      <c r="E532" s="9"/>
      <c r="F532" s="9"/>
      <c r="G532" s="59"/>
      <c r="H532" s="9"/>
    </row>
    <row r="533">
      <c r="A533" s="9"/>
      <c r="B533" s="9"/>
      <c r="C533" s="9"/>
      <c r="D533" s="50"/>
      <c r="E533" s="9"/>
      <c r="F533" s="9"/>
      <c r="G533" s="59"/>
      <c r="H533" s="9"/>
    </row>
    <row r="534">
      <c r="A534" s="9"/>
      <c r="B534" s="9"/>
      <c r="C534" s="9"/>
      <c r="D534" s="50"/>
      <c r="E534" s="9"/>
      <c r="F534" s="9"/>
      <c r="G534" s="59"/>
      <c r="H534" s="9"/>
    </row>
    <row r="535">
      <c r="A535" s="9"/>
      <c r="B535" s="9"/>
      <c r="C535" s="9"/>
      <c r="D535" s="50"/>
      <c r="E535" s="9"/>
      <c r="F535" s="9"/>
      <c r="G535" s="59"/>
      <c r="H535" s="9"/>
    </row>
    <row r="536">
      <c r="A536" s="9"/>
      <c r="B536" s="9"/>
      <c r="C536" s="9"/>
      <c r="D536" s="50"/>
      <c r="E536" s="9"/>
      <c r="F536" s="9"/>
      <c r="G536" s="59"/>
      <c r="H536" s="9"/>
    </row>
    <row r="537">
      <c r="A537" s="9"/>
      <c r="B537" s="9"/>
      <c r="C537" s="9"/>
      <c r="D537" s="50"/>
      <c r="E537" s="9"/>
      <c r="F537" s="9"/>
      <c r="G537" s="59"/>
      <c r="H537" s="9"/>
    </row>
    <row r="538">
      <c r="A538" s="9"/>
      <c r="B538" s="9"/>
      <c r="C538" s="9"/>
      <c r="D538" s="50"/>
      <c r="E538" s="9"/>
      <c r="F538" s="9"/>
      <c r="G538" s="59"/>
      <c r="H538" s="9"/>
    </row>
    <row r="539">
      <c r="A539" s="9"/>
      <c r="B539" s="9"/>
      <c r="C539" s="9"/>
      <c r="D539" s="50"/>
      <c r="E539" s="9"/>
      <c r="F539" s="9"/>
      <c r="G539" s="59"/>
      <c r="H539" s="9"/>
    </row>
    <row r="540">
      <c r="A540" s="9"/>
      <c r="B540" s="9"/>
      <c r="C540" s="9"/>
      <c r="D540" s="50"/>
      <c r="E540" s="9"/>
      <c r="F540" s="9"/>
      <c r="G540" s="59"/>
      <c r="H540" s="9"/>
    </row>
    <row r="541">
      <c r="A541" s="9"/>
      <c r="B541" s="9"/>
      <c r="C541" s="9"/>
      <c r="D541" s="50"/>
      <c r="E541" s="9"/>
      <c r="F541" s="9"/>
      <c r="G541" s="59"/>
      <c r="H541" s="9"/>
    </row>
    <row r="542">
      <c r="A542" s="9"/>
      <c r="B542" s="9"/>
      <c r="C542" s="9"/>
      <c r="D542" s="50"/>
      <c r="E542" s="9"/>
      <c r="F542" s="9"/>
      <c r="G542" s="59"/>
      <c r="H542" s="9"/>
    </row>
    <row r="543">
      <c r="A543" s="9"/>
      <c r="B543" s="9"/>
      <c r="C543" s="9"/>
      <c r="D543" s="50"/>
      <c r="E543" s="9"/>
      <c r="F543" s="9"/>
      <c r="G543" s="59"/>
      <c r="H543" s="9"/>
    </row>
    <row r="544">
      <c r="A544" s="9"/>
      <c r="B544" s="9"/>
      <c r="C544" s="9"/>
      <c r="D544" s="50"/>
      <c r="E544" s="9"/>
      <c r="F544" s="9"/>
      <c r="G544" s="59"/>
      <c r="H544" s="9"/>
    </row>
    <row r="545">
      <c r="A545" s="9"/>
      <c r="B545" s="9"/>
      <c r="C545" s="9"/>
      <c r="D545" s="50"/>
      <c r="E545" s="9"/>
      <c r="F545" s="9"/>
      <c r="G545" s="59"/>
      <c r="H545" s="9"/>
    </row>
    <row r="546">
      <c r="A546" s="9"/>
      <c r="B546" s="9"/>
      <c r="C546" s="9"/>
      <c r="D546" s="50"/>
      <c r="E546" s="9"/>
      <c r="F546" s="9"/>
      <c r="G546" s="59"/>
      <c r="H546" s="9"/>
    </row>
    <row r="547">
      <c r="A547" s="9"/>
      <c r="B547" s="9"/>
      <c r="C547" s="9"/>
      <c r="D547" s="50"/>
      <c r="E547" s="9"/>
      <c r="F547" s="9"/>
      <c r="G547" s="59"/>
      <c r="H547" s="9"/>
    </row>
    <row r="548">
      <c r="A548" s="9"/>
      <c r="B548" s="9"/>
      <c r="C548" s="9"/>
      <c r="D548" s="50"/>
      <c r="E548" s="9"/>
      <c r="F548" s="9"/>
      <c r="G548" s="59"/>
      <c r="H548" s="9"/>
    </row>
    <row r="549">
      <c r="A549" s="9"/>
      <c r="B549" s="9"/>
      <c r="C549" s="9"/>
      <c r="D549" s="50"/>
      <c r="E549" s="9"/>
      <c r="F549" s="9"/>
      <c r="G549" s="59"/>
      <c r="H549" s="9"/>
    </row>
    <row r="550">
      <c r="A550" s="9"/>
      <c r="B550" s="9"/>
      <c r="C550" s="9"/>
      <c r="D550" s="50"/>
      <c r="E550" s="9"/>
      <c r="F550" s="9"/>
      <c r="G550" s="59"/>
      <c r="H550" s="9"/>
    </row>
    <row r="551">
      <c r="A551" s="9"/>
      <c r="B551" s="9"/>
      <c r="C551" s="9"/>
      <c r="D551" s="50"/>
      <c r="E551" s="9"/>
      <c r="F551" s="9"/>
      <c r="G551" s="59"/>
      <c r="H551" s="9"/>
    </row>
    <row r="552">
      <c r="A552" s="9"/>
      <c r="B552" s="9"/>
      <c r="C552" s="9"/>
      <c r="D552" s="50"/>
      <c r="E552" s="9"/>
      <c r="F552" s="9"/>
      <c r="G552" s="59"/>
      <c r="H552" s="9"/>
    </row>
    <row r="553">
      <c r="A553" s="9"/>
      <c r="B553" s="9"/>
      <c r="C553" s="9"/>
      <c r="D553" s="50"/>
      <c r="E553" s="9"/>
      <c r="F553" s="9"/>
      <c r="G553" s="59"/>
      <c r="H553" s="9"/>
    </row>
    <row r="554">
      <c r="A554" s="9"/>
      <c r="B554" s="9"/>
      <c r="C554" s="9"/>
      <c r="D554" s="50"/>
      <c r="E554" s="9"/>
      <c r="F554" s="9"/>
      <c r="G554" s="59"/>
      <c r="H554" s="9"/>
    </row>
    <row r="555">
      <c r="A555" s="9"/>
      <c r="B555" s="9"/>
      <c r="C555" s="9"/>
      <c r="D555" s="50"/>
      <c r="E555" s="9"/>
      <c r="F555" s="9"/>
      <c r="G555" s="59"/>
      <c r="H555" s="9"/>
    </row>
    <row r="556">
      <c r="A556" s="9"/>
      <c r="B556" s="9"/>
      <c r="C556" s="9"/>
      <c r="D556" s="50"/>
      <c r="E556" s="9"/>
      <c r="F556" s="9"/>
      <c r="G556" s="59"/>
      <c r="H556" s="9"/>
    </row>
    <row r="557">
      <c r="A557" s="9"/>
      <c r="B557" s="9"/>
      <c r="C557" s="9"/>
      <c r="D557" s="50"/>
      <c r="E557" s="9"/>
      <c r="F557" s="9"/>
      <c r="G557" s="59"/>
      <c r="H557" s="9"/>
    </row>
    <row r="558">
      <c r="A558" s="9"/>
      <c r="B558" s="9"/>
      <c r="C558" s="9"/>
      <c r="D558" s="50"/>
      <c r="E558" s="9"/>
      <c r="F558" s="9"/>
      <c r="G558" s="59"/>
      <c r="H558" s="9"/>
    </row>
    <row r="559">
      <c r="A559" s="9"/>
      <c r="B559" s="9"/>
      <c r="C559" s="9"/>
      <c r="D559" s="50"/>
      <c r="E559" s="9"/>
      <c r="F559" s="9"/>
      <c r="G559" s="59"/>
      <c r="H559" s="9"/>
    </row>
    <row r="560">
      <c r="A560" s="9"/>
      <c r="B560" s="9"/>
      <c r="C560" s="9"/>
      <c r="D560" s="50"/>
      <c r="E560" s="9"/>
      <c r="F560" s="9"/>
      <c r="G560" s="59"/>
      <c r="H560" s="9"/>
    </row>
    <row r="561">
      <c r="A561" s="9"/>
      <c r="B561" s="9"/>
      <c r="C561" s="9"/>
      <c r="D561" s="50"/>
      <c r="E561" s="9"/>
      <c r="F561" s="9"/>
      <c r="G561" s="59"/>
      <c r="H561" s="9"/>
    </row>
    <row r="562">
      <c r="A562" s="9"/>
      <c r="B562" s="9"/>
      <c r="C562" s="9"/>
      <c r="D562" s="50"/>
      <c r="E562" s="9"/>
      <c r="F562" s="9"/>
      <c r="G562" s="59"/>
      <c r="H562" s="9"/>
    </row>
    <row r="563">
      <c r="A563" s="9"/>
      <c r="B563" s="9"/>
      <c r="C563" s="9"/>
      <c r="D563" s="50"/>
      <c r="E563" s="9"/>
      <c r="F563" s="9"/>
      <c r="G563" s="59"/>
      <c r="H563" s="9"/>
    </row>
    <row r="564">
      <c r="A564" s="9"/>
      <c r="B564" s="9"/>
      <c r="C564" s="9"/>
      <c r="D564" s="50"/>
      <c r="E564" s="9"/>
      <c r="F564" s="9"/>
      <c r="G564" s="59"/>
      <c r="H564" s="9"/>
    </row>
    <row r="565">
      <c r="A565" s="9"/>
      <c r="B565" s="9"/>
      <c r="C565" s="9"/>
      <c r="D565" s="50"/>
      <c r="E565" s="9"/>
      <c r="F565" s="9"/>
      <c r="G565" s="59"/>
      <c r="H565" s="9"/>
    </row>
    <row r="566">
      <c r="A566" s="9"/>
      <c r="B566" s="9"/>
      <c r="C566" s="9"/>
      <c r="D566" s="50"/>
      <c r="E566" s="9"/>
      <c r="F566" s="9"/>
      <c r="G566" s="59"/>
      <c r="H566" s="9"/>
    </row>
    <row r="567">
      <c r="A567" s="9"/>
      <c r="B567" s="9"/>
      <c r="C567" s="9"/>
      <c r="D567" s="50"/>
      <c r="E567" s="9"/>
      <c r="F567" s="9"/>
      <c r="G567" s="59"/>
      <c r="H567" s="9"/>
    </row>
    <row r="568">
      <c r="A568" s="9"/>
      <c r="B568" s="9"/>
      <c r="C568" s="9"/>
      <c r="D568" s="50"/>
      <c r="E568" s="9"/>
      <c r="F568" s="9"/>
      <c r="G568" s="59"/>
      <c r="H568" s="9"/>
    </row>
    <row r="569">
      <c r="A569" s="9"/>
      <c r="B569" s="9"/>
      <c r="C569" s="9"/>
      <c r="D569" s="50"/>
      <c r="E569" s="9"/>
      <c r="F569" s="9"/>
      <c r="G569" s="59"/>
      <c r="H569" s="9"/>
    </row>
    <row r="570">
      <c r="A570" s="9"/>
      <c r="B570" s="9"/>
      <c r="C570" s="9"/>
      <c r="D570" s="50"/>
      <c r="E570" s="9"/>
      <c r="F570" s="9"/>
      <c r="G570" s="59"/>
      <c r="H570" s="9"/>
    </row>
    <row r="571">
      <c r="A571" s="9"/>
      <c r="B571" s="9"/>
      <c r="C571" s="9"/>
      <c r="D571" s="50"/>
      <c r="E571" s="9"/>
      <c r="F571" s="9"/>
      <c r="G571" s="59"/>
      <c r="H571" s="9"/>
    </row>
    <row r="572">
      <c r="A572" s="9"/>
      <c r="B572" s="9"/>
      <c r="C572" s="9"/>
      <c r="D572" s="50"/>
      <c r="E572" s="9"/>
      <c r="F572" s="9"/>
      <c r="G572" s="59"/>
      <c r="H572" s="9"/>
    </row>
    <row r="573">
      <c r="A573" s="9"/>
      <c r="B573" s="9"/>
      <c r="C573" s="9"/>
      <c r="D573" s="50"/>
      <c r="E573" s="9"/>
      <c r="F573" s="9"/>
      <c r="G573" s="59"/>
      <c r="H573" s="9"/>
    </row>
    <row r="574">
      <c r="A574" s="9"/>
      <c r="B574" s="9"/>
      <c r="C574" s="9"/>
      <c r="D574" s="50"/>
      <c r="E574" s="9"/>
      <c r="F574" s="9"/>
      <c r="G574" s="59"/>
      <c r="H574" s="9"/>
    </row>
    <row r="575">
      <c r="A575" s="9"/>
      <c r="B575" s="9"/>
      <c r="C575" s="9"/>
      <c r="D575" s="50"/>
      <c r="E575" s="9"/>
      <c r="F575" s="9"/>
      <c r="G575" s="59"/>
      <c r="H575" s="9"/>
    </row>
    <row r="576">
      <c r="A576" s="9"/>
      <c r="B576" s="9"/>
      <c r="C576" s="9"/>
      <c r="D576" s="50"/>
      <c r="E576" s="9"/>
      <c r="F576" s="9"/>
      <c r="G576" s="59"/>
      <c r="H576" s="9"/>
    </row>
    <row r="577">
      <c r="A577" s="9"/>
      <c r="B577" s="9"/>
      <c r="C577" s="9"/>
      <c r="D577" s="50"/>
      <c r="E577" s="9"/>
      <c r="F577" s="9"/>
      <c r="G577" s="59"/>
      <c r="H577" s="9"/>
    </row>
    <row r="578">
      <c r="A578" s="9"/>
      <c r="B578" s="9"/>
      <c r="C578" s="9"/>
      <c r="D578" s="50"/>
      <c r="E578" s="9"/>
      <c r="F578" s="9"/>
      <c r="G578" s="59"/>
      <c r="H578" s="9"/>
    </row>
    <row r="579">
      <c r="A579" s="9"/>
      <c r="B579" s="9"/>
      <c r="C579" s="9"/>
      <c r="D579" s="50"/>
      <c r="E579" s="9"/>
      <c r="F579" s="9"/>
      <c r="G579" s="59"/>
      <c r="H579" s="9"/>
    </row>
    <row r="580">
      <c r="A580" s="9"/>
      <c r="B580" s="9"/>
      <c r="C580" s="9"/>
      <c r="D580" s="50"/>
      <c r="E580" s="9"/>
      <c r="F580" s="9"/>
      <c r="G580" s="59"/>
      <c r="H580" s="9"/>
    </row>
    <row r="581">
      <c r="A581" s="9"/>
      <c r="B581" s="9"/>
      <c r="C581" s="9"/>
      <c r="D581" s="50"/>
      <c r="E581" s="9"/>
      <c r="F581" s="9"/>
      <c r="G581" s="59"/>
      <c r="H581" s="9"/>
    </row>
    <row r="582">
      <c r="A582" s="9"/>
      <c r="B582" s="9"/>
      <c r="C582" s="9"/>
      <c r="D582" s="50"/>
      <c r="E582" s="9"/>
      <c r="F582" s="9"/>
      <c r="G582" s="59"/>
      <c r="H582" s="9"/>
    </row>
    <row r="583">
      <c r="A583" s="9"/>
      <c r="B583" s="9"/>
      <c r="C583" s="9"/>
      <c r="D583" s="50"/>
      <c r="E583" s="9"/>
      <c r="F583" s="9"/>
      <c r="G583" s="59"/>
      <c r="H583" s="9"/>
    </row>
    <row r="584">
      <c r="A584" s="9"/>
      <c r="B584" s="9"/>
      <c r="C584" s="9"/>
      <c r="D584" s="50"/>
      <c r="E584" s="9"/>
      <c r="F584" s="9"/>
      <c r="G584" s="59"/>
      <c r="H584" s="9"/>
    </row>
    <row r="585">
      <c r="A585" s="9"/>
      <c r="B585" s="9"/>
      <c r="C585" s="9"/>
      <c r="D585" s="50"/>
      <c r="E585" s="9"/>
      <c r="F585" s="9"/>
      <c r="G585" s="59"/>
      <c r="H585" s="9"/>
    </row>
    <row r="586">
      <c r="A586" s="9"/>
      <c r="B586" s="9"/>
      <c r="C586" s="9"/>
      <c r="D586" s="50"/>
      <c r="E586" s="9"/>
      <c r="F586" s="9"/>
      <c r="G586" s="59"/>
      <c r="H586" s="9"/>
    </row>
    <row r="587">
      <c r="A587" s="9"/>
      <c r="B587" s="9"/>
      <c r="C587" s="9"/>
      <c r="D587" s="50"/>
      <c r="E587" s="9"/>
      <c r="F587" s="9"/>
      <c r="G587" s="59"/>
      <c r="H587" s="9"/>
    </row>
    <row r="588">
      <c r="A588" s="9"/>
      <c r="B588" s="9"/>
      <c r="C588" s="9"/>
      <c r="D588" s="50"/>
      <c r="E588" s="9"/>
      <c r="F588" s="9"/>
      <c r="G588" s="59"/>
      <c r="H588" s="9"/>
    </row>
    <row r="589">
      <c r="A589" s="9"/>
      <c r="B589" s="9"/>
      <c r="C589" s="9"/>
      <c r="D589" s="50"/>
      <c r="E589" s="9"/>
      <c r="F589" s="9"/>
      <c r="G589" s="59"/>
      <c r="H589" s="9"/>
    </row>
    <row r="590">
      <c r="A590" s="9"/>
      <c r="B590" s="9"/>
      <c r="C590" s="9"/>
      <c r="D590" s="50"/>
      <c r="E590" s="9"/>
      <c r="F590" s="9"/>
      <c r="G590" s="59"/>
      <c r="H590" s="9"/>
    </row>
    <row r="591">
      <c r="A591" s="9"/>
      <c r="B591" s="9"/>
      <c r="C591" s="9"/>
      <c r="D591" s="50"/>
      <c r="E591" s="9"/>
      <c r="F591" s="9"/>
      <c r="G591" s="59"/>
      <c r="H591" s="9"/>
    </row>
    <row r="592">
      <c r="A592" s="9"/>
      <c r="B592" s="9"/>
      <c r="C592" s="9"/>
      <c r="D592" s="50"/>
      <c r="E592" s="9"/>
      <c r="F592" s="9"/>
      <c r="G592" s="59"/>
      <c r="H592" s="9"/>
    </row>
    <row r="593">
      <c r="A593" s="9"/>
      <c r="B593" s="9"/>
      <c r="C593" s="9"/>
      <c r="D593" s="50"/>
      <c r="E593" s="9"/>
      <c r="F593" s="9"/>
      <c r="G593" s="59"/>
      <c r="H593" s="9"/>
    </row>
    <row r="594">
      <c r="A594" s="9"/>
      <c r="B594" s="9"/>
      <c r="C594" s="9"/>
      <c r="D594" s="50"/>
      <c r="E594" s="9"/>
      <c r="F594" s="9"/>
      <c r="G594" s="59"/>
      <c r="H594" s="9"/>
    </row>
    <row r="595">
      <c r="A595" s="9"/>
      <c r="B595" s="9"/>
      <c r="C595" s="9"/>
      <c r="D595" s="50"/>
      <c r="E595" s="9"/>
      <c r="F595" s="9"/>
      <c r="G595" s="59"/>
      <c r="H595" s="9"/>
    </row>
    <row r="596">
      <c r="A596" s="9"/>
      <c r="B596" s="9"/>
      <c r="C596" s="9"/>
      <c r="D596" s="50"/>
      <c r="E596" s="9"/>
      <c r="F596" s="9"/>
      <c r="G596" s="59"/>
      <c r="H596" s="9"/>
    </row>
    <row r="597">
      <c r="A597" s="9"/>
      <c r="B597" s="9"/>
      <c r="C597" s="9"/>
      <c r="D597" s="50"/>
      <c r="E597" s="9"/>
      <c r="F597" s="9"/>
      <c r="G597" s="59"/>
      <c r="H597" s="9"/>
    </row>
    <row r="598">
      <c r="A598" s="9"/>
      <c r="B598" s="9"/>
      <c r="C598" s="9"/>
      <c r="D598" s="50"/>
      <c r="E598" s="9"/>
      <c r="F598" s="9"/>
      <c r="G598" s="59"/>
      <c r="H598" s="9"/>
    </row>
    <row r="599">
      <c r="A599" s="9"/>
      <c r="B599" s="9"/>
      <c r="C599" s="9"/>
      <c r="D599" s="50"/>
      <c r="E599" s="9"/>
      <c r="F599" s="9"/>
      <c r="G599" s="59"/>
      <c r="H599" s="9"/>
    </row>
    <row r="600">
      <c r="A600" s="9"/>
      <c r="B600" s="9"/>
      <c r="C600" s="9"/>
      <c r="D600" s="50"/>
      <c r="E600" s="9"/>
      <c r="F600" s="9"/>
      <c r="G600" s="59"/>
      <c r="H600" s="9"/>
    </row>
    <row r="601">
      <c r="A601" s="9"/>
      <c r="B601" s="9"/>
      <c r="C601" s="9"/>
      <c r="D601" s="50"/>
      <c r="E601" s="9"/>
      <c r="F601" s="9"/>
      <c r="G601" s="59"/>
      <c r="H601" s="9"/>
    </row>
    <row r="602">
      <c r="A602" s="9"/>
      <c r="B602" s="9"/>
      <c r="C602" s="9"/>
      <c r="D602" s="50"/>
      <c r="E602" s="9"/>
      <c r="F602" s="9"/>
      <c r="G602" s="59"/>
      <c r="H602" s="9"/>
    </row>
    <row r="603">
      <c r="A603" s="9"/>
      <c r="B603" s="9"/>
      <c r="C603" s="9"/>
      <c r="D603" s="50"/>
      <c r="E603" s="9"/>
      <c r="F603" s="9"/>
      <c r="G603" s="59"/>
      <c r="H603" s="9"/>
    </row>
    <row r="604">
      <c r="A604" s="9"/>
      <c r="B604" s="9"/>
      <c r="C604" s="9"/>
      <c r="D604" s="50"/>
      <c r="E604" s="9"/>
      <c r="F604" s="9"/>
      <c r="G604" s="59"/>
      <c r="H604" s="9"/>
    </row>
    <row r="605">
      <c r="A605" s="9"/>
      <c r="B605" s="9"/>
      <c r="C605" s="9"/>
      <c r="D605" s="50"/>
      <c r="E605" s="9"/>
      <c r="F605" s="9"/>
      <c r="G605" s="59"/>
      <c r="H605" s="9"/>
    </row>
    <row r="606">
      <c r="A606" s="9"/>
      <c r="B606" s="9"/>
      <c r="C606" s="9"/>
      <c r="D606" s="50"/>
      <c r="E606" s="9"/>
      <c r="F606" s="9"/>
      <c r="G606" s="59"/>
      <c r="H606" s="9"/>
    </row>
    <row r="607">
      <c r="A607" s="9"/>
      <c r="B607" s="9"/>
      <c r="C607" s="9"/>
      <c r="D607" s="50"/>
      <c r="E607" s="9"/>
      <c r="F607" s="9"/>
      <c r="G607" s="59"/>
      <c r="H607" s="9"/>
    </row>
    <row r="608">
      <c r="A608" s="9"/>
      <c r="B608" s="9"/>
      <c r="C608" s="9"/>
      <c r="D608" s="50"/>
      <c r="E608" s="9"/>
      <c r="F608" s="9"/>
      <c r="G608" s="59"/>
      <c r="H608" s="9"/>
    </row>
    <row r="609">
      <c r="A609" s="9"/>
      <c r="B609" s="9"/>
      <c r="C609" s="9"/>
      <c r="D609" s="50"/>
      <c r="E609" s="9"/>
      <c r="F609" s="9"/>
      <c r="G609" s="59"/>
      <c r="H609" s="9"/>
    </row>
    <row r="610">
      <c r="A610" s="9"/>
      <c r="B610" s="9"/>
      <c r="C610" s="9"/>
      <c r="D610" s="50"/>
      <c r="E610" s="9"/>
      <c r="F610" s="9"/>
      <c r="G610" s="59"/>
      <c r="H610" s="9"/>
    </row>
    <row r="611">
      <c r="A611" s="9"/>
      <c r="B611" s="9"/>
      <c r="C611" s="9"/>
      <c r="D611" s="50"/>
      <c r="E611" s="9"/>
      <c r="F611" s="9"/>
      <c r="G611" s="59"/>
      <c r="H611" s="9"/>
    </row>
    <row r="612">
      <c r="A612" s="9"/>
      <c r="B612" s="9"/>
      <c r="C612" s="9"/>
      <c r="D612" s="50"/>
      <c r="E612" s="9"/>
      <c r="F612" s="9"/>
      <c r="G612" s="59"/>
      <c r="H612" s="9"/>
    </row>
    <row r="613">
      <c r="A613" s="9"/>
      <c r="B613" s="9"/>
      <c r="C613" s="9"/>
      <c r="D613" s="50"/>
      <c r="E613" s="9"/>
      <c r="F613" s="9"/>
      <c r="G613" s="59"/>
      <c r="H613" s="9"/>
    </row>
    <row r="614">
      <c r="A614" s="9"/>
      <c r="B614" s="9"/>
      <c r="C614" s="9"/>
      <c r="D614" s="50"/>
      <c r="E614" s="9"/>
      <c r="F614" s="9"/>
      <c r="G614" s="59"/>
      <c r="H614" s="9"/>
    </row>
    <row r="615">
      <c r="A615" s="9"/>
      <c r="B615" s="9"/>
      <c r="C615" s="9"/>
      <c r="D615" s="50"/>
      <c r="E615" s="9"/>
      <c r="F615" s="9"/>
      <c r="G615" s="59"/>
      <c r="H615" s="9"/>
    </row>
    <row r="616">
      <c r="A616" s="9"/>
      <c r="B616" s="9"/>
      <c r="C616" s="9"/>
      <c r="D616" s="50"/>
      <c r="E616" s="9"/>
      <c r="F616" s="9"/>
      <c r="G616" s="59"/>
      <c r="H616" s="9"/>
    </row>
    <row r="617">
      <c r="A617" s="9"/>
      <c r="B617" s="9"/>
      <c r="C617" s="9"/>
      <c r="D617" s="50"/>
      <c r="E617" s="9"/>
      <c r="F617" s="9"/>
      <c r="G617" s="59"/>
      <c r="H617" s="9"/>
    </row>
    <row r="618">
      <c r="A618" s="9"/>
      <c r="B618" s="9"/>
      <c r="C618" s="9"/>
      <c r="D618" s="50"/>
      <c r="E618" s="9"/>
      <c r="F618" s="9"/>
      <c r="G618" s="59"/>
      <c r="H618" s="9"/>
    </row>
    <row r="619">
      <c r="A619" s="9"/>
      <c r="B619" s="9"/>
      <c r="C619" s="9"/>
      <c r="D619" s="50"/>
      <c r="E619" s="9"/>
      <c r="F619" s="9"/>
      <c r="G619" s="59"/>
      <c r="H619" s="9"/>
    </row>
    <row r="620">
      <c r="A620" s="9"/>
      <c r="B620" s="9"/>
      <c r="C620" s="9"/>
      <c r="D620" s="50"/>
      <c r="E620" s="9"/>
      <c r="F620" s="9"/>
      <c r="G620" s="59"/>
      <c r="H620" s="9"/>
    </row>
    <row r="621">
      <c r="A621" s="9"/>
      <c r="B621" s="9"/>
      <c r="C621" s="9"/>
      <c r="D621" s="50"/>
      <c r="E621" s="9"/>
      <c r="F621" s="9"/>
      <c r="G621" s="59"/>
      <c r="H621" s="9"/>
    </row>
    <row r="622">
      <c r="A622" s="9"/>
      <c r="B622" s="9"/>
      <c r="C622" s="9"/>
      <c r="D622" s="50"/>
      <c r="E622" s="9"/>
      <c r="F622" s="9"/>
      <c r="G622" s="59"/>
      <c r="H622" s="9"/>
    </row>
    <row r="623">
      <c r="A623" s="9"/>
      <c r="B623" s="9"/>
      <c r="C623" s="9"/>
      <c r="D623" s="50"/>
      <c r="E623" s="9"/>
      <c r="F623" s="9"/>
      <c r="G623" s="59"/>
      <c r="H623" s="9"/>
    </row>
    <row r="624">
      <c r="A624" s="9"/>
      <c r="B624" s="9"/>
      <c r="C624" s="9"/>
      <c r="D624" s="50"/>
      <c r="E624" s="9"/>
      <c r="F624" s="9"/>
      <c r="G624" s="59"/>
      <c r="H624" s="9"/>
    </row>
    <row r="625">
      <c r="A625" s="9"/>
      <c r="B625" s="9"/>
      <c r="C625" s="9"/>
      <c r="D625" s="50"/>
      <c r="E625" s="9"/>
      <c r="F625" s="9"/>
      <c r="G625" s="59"/>
      <c r="H625" s="9"/>
    </row>
    <row r="626">
      <c r="A626" s="9"/>
      <c r="B626" s="9"/>
      <c r="C626" s="9"/>
      <c r="D626" s="50"/>
      <c r="E626" s="9"/>
      <c r="F626" s="9"/>
      <c r="G626" s="59"/>
      <c r="H626" s="9"/>
    </row>
    <row r="627">
      <c r="A627" s="9"/>
      <c r="B627" s="9"/>
      <c r="C627" s="9"/>
      <c r="D627" s="50"/>
      <c r="E627" s="9"/>
      <c r="F627" s="9"/>
      <c r="G627" s="59"/>
      <c r="H627" s="9"/>
    </row>
    <row r="628">
      <c r="A628" s="9"/>
      <c r="B628" s="9"/>
      <c r="C628" s="9"/>
      <c r="D628" s="50"/>
      <c r="E628" s="9"/>
      <c r="F628" s="9"/>
      <c r="G628" s="59"/>
      <c r="H628" s="9"/>
    </row>
    <row r="629">
      <c r="A629" s="9"/>
      <c r="B629" s="9"/>
      <c r="C629" s="9"/>
      <c r="D629" s="50"/>
      <c r="E629" s="9"/>
      <c r="F629" s="9"/>
      <c r="G629" s="59"/>
      <c r="H629" s="9"/>
    </row>
    <row r="630">
      <c r="A630" s="9"/>
      <c r="B630" s="9"/>
      <c r="C630" s="9"/>
      <c r="D630" s="50"/>
      <c r="E630" s="9"/>
      <c r="F630" s="9"/>
      <c r="G630" s="59"/>
      <c r="H630" s="9"/>
    </row>
    <row r="631">
      <c r="A631" s="9"/>
      <c r="B631" s="9"/>
      <c r="C631" s="9"/>
      <c r="D631" s="50"/>
      <c r="E631" s="9"/>
      <c r="F631" s="9"/>
      <c r="G631" s="59"/>
      <c r="H631" s="9"/>
    </row>
    <row r="632">
      <c r="A632" s="9"/>
      <c r="B632" s="9"/>
      <c r="C632" s="9"/>
      <c r="D632" s="50"/>
      <c r="E632" s="9"/>
      <c r="F632" s="9"/>
      <c r="G632" s="59"/>
      <c r="H632" s="9"/>
    </row>
    <row r="633">
      <c r="A633" s="9"/>
      <c r="B633" s="9"/>
      <c r="C633" s="9"/>
      <c r="D633" s="50"/>
      <c r="E633" s="9"/>
      <c r="F633" s="9"/>
      <c r="G633" s="59"/>
      <c r="H633" s="9"/>
    </row>
    <row r="634">
      <c r="A634" s="9"/>
      <c r="B634" s="9"/>
      <c r="C634" s="9"/>
      <c r="D634" s="50"/>
      <c r="E634" s="9"/>
      <c r="F634" s="9"/>
      <c r="G634" s="59"/>
      <c r="H634" s="9"/>
    </row>
    <row r="635">
      <c r="A635" s="9"/>
      <c r="B635" s="9"/>
      <c r="C635" s="9"/>
      <c r="D635" s="50"/>
      <c r="E635" s="9"/>
      <c r="F635" s="9"/>
      <c r="G635" s="59"/>
      <c r="H635" s="9"/>
    </row>
    <row r="636">
      <c r="A636" s="9"/>
      <c r="B636" s="9"/>
      <c r="C636" s="9"/>
      <c r="D636" s="50"/>
      <c r="E636" s="9"/>
      <c r="F636" s="9"/>
      <c r="G636" s="59"/>
      <c r="H636" s="9"/>
    </row>
    <row r="637">
      <c r="A637" s="9"/>
      <c r="B637" s="9"/>
      <c r="C637" s="9"/>
      <c r="D637" s="50"/>
      <c r="E637" s="9"/>
      <c r="F637" s="9"/>
      <c r="G637" s="59"/>
      <c r="H637" s="9"/>
    </row>
    <row r="638">
      <c r="A638" s="9"/>
      <c r="B638" s="9"/>
      <c r="C638" s="9"/>
      <c r="D638" s="50"/>
      <c r="E638" s="9"/>
      <c r="F638" s="9"/>
      <c r="G638" s="59"/>
      <c r="H638" s="9"/>
    </row>
    <row r="639">
      <c r="A639" s="9"/>
      <c r="B639" s="9"/>
      <c r="C639" s="9"/>
      <c r="D639" s="50"/>
      <c r="E639" s="9"/>
      <c r="F639" s="9"/>
      <c r="G639" s="59"/>
      <c r="H639" s="9"/>
    </row>
    <row r="640">
      <c r="A640" s="9"/>
      <c r="B640" s="9"/>
      <c r="C640" s="9"/>
      <c r="D640" s="50"/>
      <c r="E640" s="9"/>
      <c r="F640" s="9"/>
      <c r="G640" s="59"/>
      <c r="H640" s="9"/>
    </row>
    <row r="641">
      <c r="A641" s="9"/>
      <c r="B641" s="9"/>
      <c r="C641" s="9"/>
      <c r="D641" s="50"/>
      <c r="E641" s="9"/>
      <c r="F641" s="9"/>
      <c r="G641" s="59"/>
      <c r="H641" s="9"/>
    </row>
    <row r="642">
      <c r="A642" s="9"/>
      <c r="B642" s="9"/>
      <c r="C642" s="9"/>
      <c r="D642" s="50"/>
      <c r="E642" s="9"/>
      <c r="F642" s="9"/>
      <c r="G642" s="59"/>
      <c r="H642" s="9"/>
    </row>
    <row r="643">
      <c r="A643" s="9"/>
      <c r="B643" s="9"/>
      <c r="C643" s="9"/>
      <c r="D643" s="50"/>
      <c r="E643" s="9"/>
      <c r="F643" s="9"/>
      <c r="G643" s="59"/>
      <c r="H643" s="9"/>
    </row>
    <row r="644">
      <c r="A644" s="9"/>
      <c r="B644" s="9"/>
      <c r="C644" s="9"/>
      <c r="D644" s="50"/>
      <c r="E644" s="9"/>
      <c r="F644" s="9"/>
      <c r="G644" s="59"/>
      <c r="H644" s="9"/>
    </row>
    <row r="645">
      <c r="A645" s="9"/>
      <c r="B645" s="9"/>
      <c r="C645" s="9"/>
      <c r="D645" s="50"/>
      <c r="E645" s="9"/>
      <c r="F645" s="9"/>
      <c r="G645" s="59"/>
      <c r="H645" s="9"/>
    </row>
    <row r="646">
      <c r="A646" s="9"/>
      <c r="B646" s="9"/>
      <c r="C646" s="9"/>
      <c r="D646" s="50"/>
      <c r="E646" s="9"/>
      <c r="F646" s="9"/>
      <c r="G646" s="59"/>
      <c r="H646" s="9"/>
    </row>
    <row r="647">
      <c r="A647" s="9"/>
      <c r="B647" s="9"/>
      <c r="C647" s="9"/>
      <c r="D647" s="50"/>
      <c r="E647" s="9"/>
      <c r="F647" s="9"/>
      <c r="G647" s="59"/>
      <c r="H647" s="9"/>
    </row>
    <row r="648">
      <c r="A648" s="9"/>
      <c r="B648" s="9"/>
      <c r="C648" s="9"/>
      <c r="D648" s="50"/>
      <c r="E648" s="9"/>
      <c r="F648" s="9"/>
      <c r="G648" s="59"/>
      <c r="H648" s="9"/>
    </row>
    <row r="649">
      <c r="A649" s="9"/>
      <c r="B649" s="9"/>
      <c r="C649" s="9"/>
      <c r="D649" s="50"/>
      <c r="E649" s="9"/>
      <c r="F649" s="9"/>
      <c r="G649" s="59"/>
      <c r="H649" s="9"/>
    </row>
    <row r="650">
      <c r="A650" s="9"/>
      <c r="B650" s="9"/>
      <c r="C650" s="9"/>
      <c r="D650" s="50"/>
      <c r="E650" s="9"/>
      <c r="F650" s="9"/>
      <c r="G650" s="59"/>
      <c r="H650" s="9"/>
    </row>
    <row r="651">
      <c r="A651" s="9"/>
      <c r="B651" s="9"/>
      <c r="C651" s="9"/>
      <c r="D651" s="50"/>
      <c r="E651" s="9"/>
      <c r="F651" s="9"/>
      <c r="G651" s="59"/>
      <c r="H651" s="9"/>
    </row>
    <row r="652">
      <c r="A652" s="9"/>
      <c r="B652" s="9"/>
      <c r="C652" s="9"/>
      <c r="D652" s="50"/>
      <c r="E652" s="9"/>
      <c r="F652" s="9"/>
      <c r="G652" s="59"/>
      <c r="H652" s="9"/>
    </row>
    <row r="653">
      <c r="A653" s="9"/>
      <c r="B653" s="9"/>
      <c r="C653" s="9"/>
      <c r="D653" s="50"/>
      <c r="E653" s="9"/>
      <c r="F653" s="9"/>
      <c r="G653" s="59"/>
      <c r="H653" s="9"/>
    </row>
    <row r="654">
      <c r="A654" s="9"/>
      <c r="B654" s="9"/>
      <c r="C654" s="9"/>
      <c r="D654" s="50"/>
      <c r="E654" s="9"/>
      <c r="F654" s="9"/>
      <c r="G654" s="59"/>
      <c r="H654" s="9"/>
    </row>
    <row r="655">
      <c r="A655" s="9"/>
      <c r="B655" s="9"/>
      <c r="C655" s="9"/>
      <c r="D655" s="50"/>
      <c r="E655" s="9"/>
      <c r="F655" s="9"/>
      <c r="G655" s="59"/>
      <c r="H655" s="9"/>
    </row>
    <row r="656">
      <c r="A656" s="9"/>
      <c r="B656" s="9"/>
      <c r="C656" s="9"/>
      <c r="D656" s="50"/>
      <c r="E656" s="9"/>
      <c r="F656" s="9"/>
      <c r="G656" s="59"/>
      <c r="H656" s="9"/>
    </row>
    <row r="657">
      <c r="A657" s="9"/>
      <c r="B657" s="9"/>
      <c r="C657" s="9"/>
      <c r="D657" s="50"/>
      <c r="E657" s="9"/>
      <c r="F657" s="9"/>
      <c r="G657" s="59"/>
      <c r="H657" s="9"/>
    </row>
    <row r="658">
      <c r="A658" s="9"/>
      <c r="B658" s="9"/>
      <c r="C658" s="9"/>
      <c r="D658" s="50"/>
      <c r="E658" s="9"/>
      <c r="F658" s="9"/>
      <c r="G658" s="59"/>
      <c r="H658" s="9"/>
    </row>
    <row r="659">
      <c r="A659" s="9"/>
      <c r="B659" s="9"/>
      <c r="C659" s="9"/>
      <c r="D659" s="50"/>
      <c r="E659" s="9"/>
      <c r="F659" s="9"/>
      <c r="G659" s="59"/>
      <c r="H659" s="9"/>
    </row>
    <row r="660">
      <c r="A660" s="9"/>
      <c r="B660" s="9"/>
      <c r="C660" s="9"/>
      <c r="D660" s="50"/>
      <c r="E660" s="9"/>
      <c r="F660" s="9"/>
      <c r="G660" s="59"/>
      <c r="H660" s="9"/>
    </row>
    <row r="661">
      <c r="A661" s="9"/>
      <c r="B661" s="9"/>
      <c r="C661" s="9"/>
      <c r="D661" s="50"/>
      <c r="E661" s="9"/>
      <c r="F661" s="9"/>
      <c r="G661" s="59"/>
      <c r="H661" s="9"/>
    </row>
    <row r="662">
      <c r="A662" s="9"/>
      <c r="B662" s="9"/>
      <c r="C662" s="9"/>
      <c r="D662" s="50"/>
      <c r="E662" s="9"/>
      <c r="F662" s="9"/>
      <c r="G662" s="59"/>
      <c r="H662" s="9"/>
    </row>
    <row r="663">
      <c r="A663" s="9"/>
      <c r="B663" s="9"/>
      <c r="C663" s="9"/>
      <c r="D663" s="50"/>
      <c r="E663" s="9"/>
      <c r="F663" s="9"/>
      <c r="G663" s="59"/>
      <c r="H663" s="9"/>
    </row>
    <row r="664">
      <c r="A664" s="9"/>
      <c r="B664" s="9"/>
      <c r="C664" s="9"/>
      <c r="D664" s="50"/>
      <c r="E664" s="9"/>
      <c r="F664" s="9"/>
      <c r="G664" s="59"/>
      <c r="H664" s="9"/>
    </row>
    <row r="665">
      <c r="A665" s="9"/>
      <c r="B665" s="9"/>
      <c r="C665" s="9"/>
      <c r="D665" s="50"/>
      <c r="E665" s="9"/>
      <c r="F665" s="9"/>
      <c r="G665" s="59"/>
      <c r="H665" s="9"/>
    </row>
    <row r="666">
      <c r="A666" s="9"/>
      <c r="B666" s="9"/>
      <c r="C666" s="9"/>
      <c r="D666" s="50"/>
      <c r="E666" s="9"/>
      <c r="F666" s="9"/>
      <c r="G666" s="59"/>
      <c r="H666" s="9"/>
    </row>
    <row r="667">
      <c r="A667" s="9"/>
      <c r="B667" s="9"/>
      <c r="C667" s="9"/>
      <c r="D667" s="50"/>
      <c r="E667" s="9"/>
      <c r="F667" s="9"/>
      <c r="G667" s="59"/>
      <c r="H667" s="9"/>
    </row>
    <row r="668">
      <c r="A668" s="9"/>
      <c r="B668" s="9"/>
      <c r="C668" s="9"/>
      <c r="D668" s="50"/>
      <c r="E668" s="9"/>
      <c r="F668" s="9"/>
      <c r="G668" s="59"/>
      <c r="H668" s="9"/>
    </row>
    <row r="669">
      <c r="A669" s="9"/>
      <c r="B669" s="9"/>
      <c r="C669" s="9"/>
      <c r="D669" s="50"/>
      <c r="E669" s="9"/>
      <c r="F669" s="9"/>
      <c r="G669" s="59"/>
      <c r="H669" s="9"/>
    </row>
    <row r="670">
      <c r="A670" s="9"/>
      <c r="B670" s="9"/>
      <c r="C670" s="9"/>
      <c r="D670" s="50"/>
      <c r="E670" s="9"/>
      <c r="F670" s="9"/>
      <c r="G670" s="59"/>
      <c r="H670" s="9"/>
    </row>
    <row r="671">
      <c r="A671" s="9"/>
      <c r="B671" s="9"/>
      <c r="C671" s="9"/>
      <c r="D671" s="50"/>
      <c r="E671" s="9"/>
      <c r="F671" s="9"/>
      <c r="G671" s="59"/>
      <c r="H671" s="9"/>
    </row>
    <row r="672">
      <c r="A672" s="9"/>
      <c r="B672" s="9"/>
      <c r="C672" s="9"/>
      <c r="D672" s="50"/>
      <c r="E672" s="9"/>
      <c r="F672" s="9"/>
      <c r="G672" s="59"/>
      <c r="H672" s="9"/>
    </row>
    <row r="673">
      <c r="A673" s="9"/>
      <c r="B673" s="9"/>
      <c r="C673" s="9"/>
      <c r="D673" s="50"/>
      <c r="E673" s="9"/>
      <c r="F673" s="9"/>
      <c r="G673" s="59"/>
      <c r="H673" s="9"/>
    </row>
    <row r="674">
      <c r="A674" s="9"/>
      <c r="B674" s="9"/>
      <c r="C674" s="9"/>
      <c r="D674" s="50"/>
      <c r="E674" s="9"/>
      <c r="F674" s="9"/>
      <c r="G674" s="59"/>
      <c r="H674" s="9"/>
    </row>
    <row r="675">
      <c r="A675" s="9"/>
      <c r="B675" s="9"/>
      <c r="C675" s="9"/>
      <c r="D675" s="50"/>
      <c r="E675" s="9"/>
      <c r="F675" s="9"/>
      <c r="G675" s="59"/>
      <c r="H675" s="9"/>
    </row>
    <row r="676">
      <c r="A676" s="9"/>
      <c r="B676" s="9"/>
      <c r="C676" s="9"/>
      <c r="D676" s="50"/>
      <c r="E676" s="9"/>
      <c r="F676" s="9"/>
      <c r="G676" s="59"/>
      <c r="H676" s="9"/>
    </row>
    <row r="677">
      <c r="A677" s="9"/>
      <c r="B677" s="9"/>
      <c r="C677" s="9"/>
      <c r="D677" s="50"/>
      <c r="E677" s="9"/>
      <c r="F677" s="9"/>
      <c r="G677" s="59"/>
      <c r="H677" s="9"/>
    </row>
    <row r="678">
      <c r="A678" s="9"/>
      <c r="B678" s="9"/>
      <c r="C678" s="9"/>
      <c r="D678" s="50"/>
      <c r="E678" s="9"/>
      <c r="F678" s="9"/>
      <c r="G678" s="59"/>
      <c r="H678" s="9"/>
    </row>
    <row r="679">
      <c r="A679" s="9"/>
      <c r="B679" s="9"/>
      <c r="C679" s="9"/>
      <c r="D679" s="50"/>
      <c r="E679" s="9"/>
      <c r="F679" s="9"/>
      <c r="G679" s="59"/>
      <c r="H679" s="9"/>
    </row>
    <row r="680">
      <c r="A680" s="9"/>
      <c r="B680" s="9"/>
      <c r="C680" s="9"/>
      <c r="D680" s="50"/>
      <c r="E680" s="9"/>
      <c r="F680" s="9"/>
      <c r="G680" s="59"/>
      <c r="H680" s="9"/>
    </row>
    <row r="681">
      <c r="A681" s="9"/>
      <c r="B681" s="9"/>
      <c r="C681" s="9"/>
      <c r="D681" s="50"/>
      <c r="E681" s="9"/>
      <c r="F681" s="9"/>
      <c r="G681" s="59"/>
      <c r="H681" s="9"/>
    </row>
    <row r="682">
      <c r="A682" s="9"/>
      <c r="B682" s="9"/>
      <c r="C682" s="9"/>
      <c r="D682" s="50"/>
      <c r="E682" s="9"/>
      <c r="F682" s="9"/>
      <c r="G682" s="59"/>
      <c r="H682" s="9"/>
    </row>
    <row r="683">
      <c r="A683" s="9"/>
      <c r="B683" s="9"/>
      <c r="C683" s="9"/>
      <c r="D683" s="50"/>
      <c r="E683" s="9"/>
      <c r="F683" s="9"/>
      <c r="G683" s="59"/>
      <c r="H683" s="9"/>
    </row>
    <row r="684">
      <c r="A684" s="9"/>
      <c r="B684" s="9"/>
      <c r="C684" s="9"/>
      <c r="D684" s="50"/>
      <c r="E684" s="9"/>
      <c r="F684" s="9"/>
      <c r="G684" s="59"/>
      <c r="H684" s="9"/>
    </row>
    <row r="685">
      <c r="A685" s="9"/>
      <c r="B685" s="9"/>
      <c r="C685" s="9"/>
      <c r="D685" s="50"/>
      <c r="E685" s="9"/>
      <c r="F685" s="9"/>
      <c r="G685" s="59"/>
      <c r="H685" s="9"/>
    </row>
    <row r="686">
      <c r="A686" s="9"/>
      <c r="B686" s="9"/>
      <c r="C686" s="9"/>
      <c r="D686" s="50"/>
      <c r="E686" s="9"/>
      <c r="F686" s="9"/>
      <c r="G686" s="59"/>
      <c r="H686" s="9"/>
    </row>
    <row r="687">
      <c r="A687" s="9"/>
      <c r="B687" s="9"/>
      <c r="C687" s="9"/>
      <c r="D687" s="50"/>
      <c r="E687" s="9"/>
      <c r="F687" s="9"/>
      <c r="G687" s="59"/>
      <c r="H687" s="9"/>
    </row>
    <row r="688">
      <c r="A688" s="9"/>
      <c r="B688" s="9"/>
      <c r="C688" s="9"/>
      <c r="D688" s="50"/>
      <c r="E688" s="9"/>
      <c r="F688" s="9"/>
      <c r="G688" s="59"/>
      <c r="H688" s="9"/>
    </row>
    <row r="689">
      <c r="A689" s="9"/>
      <c r="B689" s="9"/>
      <c r="C689" s="9"/>
      <c r="D689" s="50"/>
      <c r="E689" s="9"/>
      <c r="F689" s="9"/>
      <c r="G689" s="59"/>
      <c r="H689" s="9"/>
    </row>
    <row r="690">
      <c r="A690" s="9"/>
      <c r="B690" s="9"/>
      <c r="C690" s="9"/>
      <c r="D690" s="50"/>
      <c r="E690" s="9"/>
      <c r="F690" s="9"/>
      <c r="G690" s="59"/>
      <c r="H690" s="9"/>
    </row>
    <row r="691">
      <c r="A691" s="9"/>
      <c r="B691" s="9"/>
      <c r="C691" s="9"/>
      <c r="D691" s="50"/>
      <c r="E691" s="9"/>
      <c r="F691" s="9"/>
      <c r="G691" s="59"/>
      <c r="H691" s="9"/>
    </row>
    <row r="692">
      <c r="A692" s="9"/>
      <c r="B692" s="9"/>
      <c r="C692" s="9"/>
      <c r="D692" s="50"/>
      <c r="E692" s="9"/>
      <c r="F692" s="9"/>
      <c r="G692" s="59"/>
      <c r="H692" s="9"/>
    </row>
    <row r="693">
      <c r="A693" s="9"/>
      <c r="B693" s="9"/>
      <c r="C693" s="9"/>
      <c r="D693" s="50"/>
      <c r="E693" s="9"/>
      <c r="F693" s="9"/>
      <c r="G693" s="59"/>
      <c r="H693" s="9"/>
    </row>
    <row r="694">
      <c r="A694" s="9"/>
      <c r="B694" s="9"/>
      <c r="C694" s="9"/>
      <c r="D694" s="50"/>
      <c r="E694" s="9"/>
      <c r="F694" s="9"/>
      <c r="G694" s="59"/>
      <c r="H694" s="9"/>
    </row>
    <row r="695">
      <c r="A695" s="9"/>
      <c r="B695" s="9"/>
      <c r="C695" s="9"/>
      <c r="D695" s="50"/>
      <c r="E695" s="9"/>
      <c r="F695" s="9"/>
      <c r="G695" s="59"/>
      <c r="H695" s="9"/>
    </row>
    <row r="696">
      <c r="A696" s="9"/>
      <c r="B696" s="9"/>
      <c r="C696" s="9"/>
      <c r="D696" s="50"/>
      <c r="E696" s="9"/>
      <c r="F696" s="9"/>
      <c r="G696" s="59"/>
      <c r="H696" s="9"/>
    </row>
    <row r="697">
      <c r="A697" s="9"/>
      <c r="B697" s="9"/>
      <c r="C697" s="9"/>
      <c r="D697" s="50"/>
      <c r="E697" s="9"/>
      <c r="F697" s="9"/>
      <c r="G697" s="59"/>
      <c r="H697" s="9"/>
    </row>
    <row r="698">
      <c r="A698" s="9"/>
      <c r="B698" s="9"/>
      <c r="C698" s="9"/>
      <c r="D698" s="50"/>
      <c r="E698" s="9"/>
      <c r="F698" s="9"/>
      <c r="G698" s="59"/>
      <c r="H698" s="9"/>
    </row>
    <row r="699">
      <c r="A699" s="9"/>
      <c r="B699" s="9"/>
      <c r="C699" s="9"/>
      <c r="D699" s="50"/>
      <c r="E699" s="9"/>
      <c r="F699" s="9"/>
      <c r="G699" s="59"/>
      <c r="H699" s="9"/>
    </row>
    <row r="700">
      <c r="A700" s="9"/>
      <c r="B700" s="9"/>
      <c r="C700" s="9"/>
      <c r="D700" s="50"/>
      <c r="E700" s="9"/>
      <c r="F700" s="9"/>
      <c r="G700" s="59"/>
      <c r="H700" s="9"/>
    </row>
    <row r="701">
      <c r="A701" s="9"/>
      <c r="B701" s="9"/>
      <c r="C701" s="9"/>
      <c r="D701" s="50"/>
      <c r="E701" s="9"/>
      <c r="F701" s="9"/>
      <c r="G701" s="59"/>
      <c r="H701" s="9"/>
    </row>
    <row r="702">
      <c r="A702" s="9"/>
      <c r="B702" s="9"/>
      <c r="C702" s="9"/>
      <c r="D702" s="50"/>
      <c r="E702" s="9"/>
      <c r="F702" s="9"/>
      <c r="G702" s="59"/>
      <c r="H702" s="9"/>
    </row>
    <row r="703">
      <c r="A703" s="9"/>
      <c r="B703" s="9"/>
      <c r="C703" s="9"/>
      <c r="D703" s="50"/>
      <c r="E703" s="9"/>
      <c r="F703" s="9"/>
      <c r="G703" s="59"/>
      <c r="H703" s="9"/>
    </row>
    <row r="704">
      <c r="A704" s="9"/>
      <c r="B704" s="9"/>
      <c r="C704" s="9"/>
      <c r="D704" s="50"/>
      <c r="E704" s="9"/>
      <c r="F704" s="9"/>
      <c r="G704" s="59"/>
      <c r="H704" s="9"/>
    </row>
    <row r="705">
      <c r="A705" s="9"/>
      <c r="B705" s="9"/>
      <c r="C705" s="9"/>
      <c r="D705" s="50"/>
      <c r="E705" s="9"/>
      <c r="F705" s="9"/>
      <c r="G705" s="59"/>
      <c r="H705" s="9"/>
    </row>
    <row r="706">
      <c r="A706" s="9"/>
      <c r="B706" s="9"/>
      <c r="C706" s="9"/>
      <c r="D706" s="50"/>
      <c r="E706" s="9"/>
      <c r="F706" s="9"/>
      <c r="G706" s="59"/>
      <c r="H706" s="9"/>
    </row>
    <row r="707">
      <c r="A707" s="9"/>
      <c r="B707" s="9"/>
      <c r="C707" s="9"/>
      <c r="D707" s="50"/>
      <c r="E707" s="9"/>
      <c r="F707" s="9"/>
      <c r="G707" s="59"/>
      <c r="H707" s="9"/>
    </row>
    <row r="708">
      <c r="A708" s="9"/>
      <c r="B708" s="9"/>
      <c r="C708" s="9"/>
      <c r="D708" s="50"/>
      <c r="E708" s="9"/>
      <c r="F708" s="9"/>
      <c r="G708" s="59"/>
      <c r="H708" s="9"/>
    </row>
    <row r="709">
      <c r="A709" s="9"/>
      <c r="B709" s="9"/>
      <c r="C709" s="9"/>
      <c r="D709" s="50"/>
      <c r="E709" s="9"/>
      <c r="F709" s="9"/>
      <c r="G709" s="59"/>
      <c r="H709" s="9"/>
    </row>
    <row r="710">
      <c r="A710" s="9"/>
      <c r="B710" s="9"/>
      <c r="C710" s="9"/>
      <c r="D710" s="50"/>
      <c r="E710" s="9"/>
      <c r="F710" s="9"/>
      <c r="G710" s="59"/>
      <c r="H710" s="9"/>
    </row>
    <row r="711">
      <c r="A711" s="9"/>
      <c r="B711" s="9"/>
      <c r="C711" s="9"/>
      <c r="D711" s="50"/>
      <c r="E711" s="9"/>
      <c r="F711" s="9"/>
      <c r="G711" s="59"/>
      <c r="H711" s="9"/>
    </row>
    <row r="712">
      <c r="A712" s="9"/>
      <c r="B712" s="9"/>
      <c r="C712" s="9"/>
      <c r="D712" s="50"/>
      <c r="E712" s="9"/>
      <c r="F712" s="9"/>
      <c r="G712" s="59"/>
      <c r="H712" s="9"/>
    </row>
    <row r="713">
      <c r="A713" s="9"/>
      <c r="B713" s="9"/>
      <c r="C713" s="9"/>
      <c r="D713" s="50"/>
      <c r="E713" s="9"/>
      <c r="F713" s="9"/>
      <c r="G713" s="59"/>
      <c r="H713" s="9"/>
    </row>
    <row r="714">
      <c r="A714" s="9"/>
      <c r="B714" s="9"/>
      <c r="C714" s="9"/>
      <c r="D714" s="50"/>
      <c r="E714" s="9"/>
      <c r="F714" s="9"/>
      <c r="G714" s="59"/>
      <c r="H714" s="9"/>
    </row>
    <row r="715">
      <c r="A715" s="9"/>
      <c r="B715" s="9"/>
      <c r="C715" s="9"/>
      <c r="D715" s="50"/>
      <c r="E715" s="9"/>
      <c r="F715" s="9"/>
      <c r="G715" s="59"/>
      <c r="H715" s="9"/>
    </row>
    <row r="716">
      <c r="A716" s="9"/>
      <c r="B716" s="9"/>
      <c r="C716" s="9"/>
      <c r="D716" s="50"/>
      <c r="E716" s="9"/>
      <c r="F716" s="9"/>
      <c r="G716" s="59"/>
      <c r="H716" s="9"/>
    </row>
    <row r="717">
      <c r="A717" s="9"/>
      <c r="B717" s="9"/>
      <c r="C717" s="9"/>
      <c r="D717" s="50"/>
      <c r="E717" s="9"/>
      <c r="F717" s="9"/>
      <c r="G717" s="59"/>
      <c r="H717" s="9"/>
    </row>
    <row r="718">
      <c r="A718" s="9"/>
      <c r="B718" s="9"/>
      <c r="C718" s="9"/>
      <c r="D718" s="50"/>
      <c r="E718" s="9"/>
      <c r="F718" s="9"/>
      <c r="G718" s="59"/>
      <c r="H718" s="9"/>
    </row>
    <row r="719">
      <c r="A719" s="9"/>
      <c r="B719" s="9"/>
      <c r="C719" s="9"/>
      <c r="D719" s="50"/>
      <c r="E719" s="9"/>
      <c r="F719" s="9"/>
      <c r="G719" s="59"/>
      <c r="H719" s="9"/>
    </row>
    <row r="720">
      <c r="A720" s="9"/>
      <c r="B720" s="9"/>
      <c r="C720" s="9"/>
      <c r="D720" s="50"/>
      <c r="E720" s="9"/>
      <c r="F720" s="9"/>
      <c r="G720" s="59"/>
      <c r="H720" s="9"/>
    </row>
    <row r="721">
      <c r="A721" s="9"/>
      <c r="B721" s="9"/>
      <c r="C721" s="9"/>
      <c r="D721" s="50"/>
      <c r="E721" s="9"/>
      <c r="F721" s="9"/>
      <c r="G721" s="59"/>
      <c r="H721" s="9"/>
    </row>
    <row r="722">
      <c r="A722" s="9"/>
      <c r="B722" s="9"/>
      <c r="C722" s="9"/>
      <c r="D722" s="50"/>
      <c r="E722" s="9"/>
      <c r="F722" s="9"/>
      <c r="G722" s="59"/>
      <c r="H722" s="9"/>
    </row>
    <row r="723">
      <c r="A723" s="9"/>
      <c r="B723" s="9"/>
      <c r="C723" s="9"/>
      <c r="D723" s="50"/>
      <c r="E723" s="9"/>
      <c r="F723" s="9"/>
      <c r="G723" s="59"/>
      <c r="H723" s="9"/>
    </row>
    <row r="724">
      <c r="A724" s="9"/>
      <c r="B724" s="9"/>
      <c r="C724" s="9"/>
      <c r="D724" s="50"/>
      <c r="E724" s="9"/>
      <c r="F724" s="9"/>
      <c r="G724" s="59"/>
      <c r="H724" s="9"/>
    </row>
    <row r="725">
      <c r="A725" s="9"/>
      <c r="B725" s="9"/>
      <c r="C725" s="9"/>
      <c r="D725" s="50"/>
      <c r="E725" s="9"/>
      <c r="F725" s="9"/>
      <c r="G725" s="59"/>
      <c r="H725" s="9"/>
    </row>
    <row r="726">
      <c r="A726" s="9"/>
      <c r="B726" s="9"/>
      <c r="C726" s="9"/>
      <c r="D726" s="50"/>
      <c r="E726" s="9"/>
      <c r="F726" s="9"/>
      <c r="G726" s="59"/>
      <c r="H726" s="9"/>
    </row>
    <row r="727">
      <c r="A727" s="9"/>
      <c r="B727" s="9"/>
      <c r="C727" s="9"/>
      <c r="D727" s="50"/>
      <c r="E727" s="9"/>
      <c r="F727" s="9"/>
      <c r="G727" s="59"/>
      <c r="H727" s="9"/>
    </row>
    <row r="728">
      <c r="A728" s="9"/>
      <c r="B728" s="9"/>
      <c r="C728" s="9"/>
      <c r="D728" s="50"/>
      <c r="E728" s="9"/>
      <c r="F728" s="9"/>
      <c r="G728" s="59"/>
      <c r="H728" s="9"/>
    </row>
    <row r="729">
      <c r="A729" s="9"/>
      <c r="B729" s="9"/>
      <c r="C729" s="9"/>
      <c r="D729" s="50"/>
      <c r="E729" s="9"/>
      <c r="F729" s="9"/>
      <c r="G729" s="59"/>
      <c r="H729" s="9"/>
    </row>
    <row r="730">
      <c r="A730" s="9"/>
      <c r="B730" s="9"/>
      <c r="C730" s="9"/>
      <c r="D730" s="50"/>
      <c r="E730" s="9"/>
      <c r="F730" s="9"/>
      <c r="G730" s="59"/>
      <c r="H730" s="9"/>
    </row>
    <row r="731">
      <c r="A731" s="9"/>
      <c r="B731" s="9"/>
      <c r="C731" s="9"/>
      <c r="D731" s="50"/>
      <c r="E731" s="9"/>
      <c r="F731" s="9"/>
      <c r="G731" s="59"/>
      <c r="H731" s="9"/>
    </row>
    <row r="732">
      <c r="A732" s="9"/>
      <c r="B732" s="9"/>
      <c r="C732" s="9"/>
      <c r="D732" s="50"/>
      <c r="E732" s="9"/>
      <c r="F732" s="9"/>
      <c r="G732" s="59"/>
      <c r="H732" s="9"/>
    </row>
    <row r="733">
      <c r="A733" s="9"/>
      <c r="B733" s="9"/>
      <c r="C733" s="9"/>
      <c r="D733" s="50"/>
      <c r="E733" s="9"/>
      <c r="F733" s="9"/>
      <c r="G733" s="59"/>
      <c r="H733" s="9"/>
    </row>
    <row r="734">
      <c r="A734" s="9"/>
      <c r="B734" s="9"/>
      <c r="C734" s="9"/>
      <c r="D734" s="50"/>
      <c r="E734" s="9"/>
      <c r="F734" s="9"/>
      <c r="G734" s="59"/>
      <c r="H734" s="9"/>
    </row>
    <row r="735">
      <c r="A735" s="9"/>
      <c r="B735" s="9"/>
      <c r="C735" s="9"/>
      <c r="D735" s="50"/>
      <c r="E735" s="9"/>
      <c r="F735" s="9"/>
      <c r="G735" s="59"/>
      <c r="H735" s="9"/>
    </row>
    <row r="736">
      <c r="A736" s="9"/>
      <c r="B736" s="9"/>
      <c r="C736" s="9"/>
      <c r="D736" s="50"/>
      <c r="E736" s="9"/>
      <c r="F736" s="9"/>
      <c r="G736" s="59"/>
      <c r="H736" s="9"/>
    </row>
    <row r="737">
      <c r="A737" s="9"/>
      <c r="B737" s="9"/>
      <c r="C737" s="9"/>
      <c r="D737" s="50"/>
      <c r="E737" s="9"/>
      <c r="F737" s="9"/>
      <c r="G737" s="59"/>
      <c r="H737" s="9"/>
    </row>
    <row r="738">
      <c r="A738" s="9"/>
      <c r="B738" s="9"/>
      <c r="C738" s="9"/>
      <c r="D738" s="50"/>
      <c r="E738" s="9"/>
      <c r="F738" s="9"/>
      <c r="G738" s="59"/>
      <c r="H738" s="9"/>
    </row>
    <row r="739">
      <c r="A739" s="9"/>
      <c r="B739" s="9"/>
      <c r="C739" s="9"/>
      <c r="D739" s="50"/>
      <c r="E739" s="9"/>
      <c r="F739" s="9"/>
      <c r="G739" s="59"/>
      <c r="H739" s="9"/>
    </row>
    <row r="740">
      <c r="A740" s="9"/>
      <c r="B740" s="9"/>
      <c r="C740" s="9"/>
      <c r="D740" s="50"/>
      <c r="E740" s="9"/>
      <c r="F740" s="9"/>
      <c r="G740" s="59"/>
      <c r="H740" s="9"/>
    </row>
    <row r="741">
      <c r="A741" s="9"/>
      <c r="B741" s="9"/>
      <c r="C741" s="9"/>
      <c r="D741" s="50"/>
      <c r="E741" s="9"/>
      <c r="F741" s="9"/>
      <c r="G741" s="59"/>
      <c r="H741" s="9"/>
    </row>
    <row r="742">
      <c r="A742" s="9"/>
      <c r="B742" s="9"/>
      <c r="C742" s="9"/>
      <c r="D742" s="50"/>
      <c r="E742" s="9"/>
      <c r="F742" s="9"/>
      <c r="G742" s="59"/>
      <c r="H742" s="9"/>
    </row>
    <row r="743">
      <c r="A743" s="9"/>
      <c r="B743" s="9"/>
      <c r="C743" s="9"/>
      <c r="D743" s="50"/>
      <c r="E743" s="9"/>
      <c r="F743" s="9"/>
      <c r="G743" s="59"/>
      <c r="H743" s="9"/>
    </row>
    <row r="744">
      <c r="A744" s="9"/>
      <c r="B744" s="9"/>
      <c r="C744" s="9"/>
      <c r="D744" s="50"/>
      <c r="E744" s="9"/>
      <c r="F744" s="9"/>
      <c r="G744" s="59"/>
      <c r="H744" s="9"/>
    </row>
    <row r="745">
      <c r="A745" s="9"/>
      <c r="B745" s="9"/>
      <c r="C745" s="9"/>
      <c r="D745" s="50"/>
      <c r="E745" s="9"/>
      <c r="F745" s="9"/>
      <c r="G745" s="59"/>
      <c r="H745" s="9"/>
    </row>
    <row r="746">
      <c r="A746" s="9"/>
      <c r="B746" s="9"/>
      <c r="C746" s="9"/>
      <c r="D746" s="50"/>
      <c r="E746" s="9"/>
      <c r="F746" s="9"/>
      <c r="G746" s="59"/>
      <c r="H746" s="9"/>
    </row>
    <row r="747">
      <c r="A747" s="9"/>
      <c r="B747" s="9"/>
      <c r="C747" s="9"/>
      <c r="D747" s="50"/>
      <c r="E747" s="9"/>
      <c r="F747" s="9"/>
      <c r="G747" s="59"/>
      <c r="H747" s="9"/>
    </row>
    <row r="748">
      <c r="A748" s="9"/>
      <c r="B748" s="9"/>
      <c r="C748" s="9"/>
      <c r="D748" s="50"/>
      <c r="E748" s="9"/>
      <c r="F748" s="9"/>
      <c r="G748" s="59"/>
      <c r="H748" s="9"/>
    </row>
    <row r="749">
      <c r="A749" s="9"/>
      <c r="B749" s="9"/>
      <c r="C749" s="9"/>
      <c r="D749" s="50"/>
      <c r="E749" s="9"/>
      <c r="F749" s="9"/>
      <c r="G749" s="59"/>
      <c r="H749" s="9"/>
    </row>
    <row r="750">
      <c r="A750" s="9"/>
      <c r="B750" s="9"/>
      <c r="C750" s="9"/>
      <c r="D750" s="50"/>
      <c r="E750" s="9"/>
      <c r="F750" s="9"/>
      <c r="G750" s="59"/>
      <c r="H750" s="9"/>
    </row>
    <row r="751">
      <c r="A751" s="9"/>
      <c r="B751" s="9"/>
      <c r="C751" s="9"/>
      <c r="D751" s="50"/>
      <c r="E751" s="9"/>
      <c r="F751" s="9"/>
      <c r="G751" s="59"/>
      <c r="H751" s="9"/>
    </row>
    <row r="752">
      <c r="A752" s="9"/>
      <c r="B752" s="9"/>
      <c r="C752" s="9"/>
      <c r="D752" s="50"/>
      <c r="E752" s="9"/>
      <c r="F752" s="9"/>
      <c r="G752" s="59"/>
      <c r="H752" s="9"/>
    </row>
    <row r="753">
      <c r="A753" s="9"/>
      <c r="B753" s="9"/>
      <c r="C753" s="9"/>
      <c r="D753" s="50"/>
      <c r="E753" s="9"/>
      <c r="F753" s="9"/>
      <c r="G753" s="59"/>
      <c r="H753" s="9"/>
    </row>
    <row r="754">
      <c r="A754" s="9"/>
      <c r="B754" s="9"/>
      <c r="C754" s="9"/>
      <c r="D754" s="50"/>
      <c r="E754" s="9"/>
      <c r="F754" s="9"/>
      <c r="G754" s="59"/>
      <c r="H754" s="9"/>
    </row>
    <row r="755">
      <c r="A755" s="9"/>
      <c r="B755" s="9"/>
      <c r="C755" s="9"/>
      <c r="D755" s="50"/>
      <c r="E755" s="9"/>
      <c r="F755" s="9"/>
      <c r="G755" s="59"/>
      <c r="H755" s="9"/>
    </row>
    <row r="756">
      <c r="A756" s="9"/>
      <c r="B756" s="9"/>
      <c r="C756" s="9"/>
      <c r="D756" s="50"/>
      <c r="E756" s="9"/>
      <c r="F756" s="9"/>
      <c r="G756" s="59"/>
      <c r="H756" s="9"/>
    </row>
    <row r="757">
      <c r="A757" s="9"/>
      <c r="B757" s="9"/>
      <c r="C757" s="9"/>
      <c r="D757" s="50"/>
      <c r="E757" s="9"/>
      <c r="F757" s="9"/>
      <c r="G757" s="59"/>
      <c r="H757" s="9"/>
    </row>
    <row r="758">
      <c r="A758" s="9"/>
      <c r="B758" s="9"/>
      <c r="C758" s="9"/>
      <c r="D758" s="50"/>
      <c r="E758" s="9"/>
      <c r="F758" s="9"/>
      <c r="G758" s="59"/>
      <c r="H758" s="9"/>
    </row>
    <row r="759">
      <c r="A759" s="9"/>
      <c r="B759" s="9"/>
      <c r="C759" s="9"/>
      <c r="D759" s="50"/>
      <c r="E759" s="9"/>
      <c r="F759" s="9"/>
      <c r="G759" s="59"/>
      <c r="H759" s="9"/>
    </row>
    <row r="760">
      <c r="A760" s="9"/>
      <c r="B760" s="9"/>
      <c r="C760" s="9"/>
      <c r="D760" s="50"/>
      <c r="E760" s="9"/>
      <c r="F760" s="9"/>
      <c r="G760" s="59"/>
      <c r="H760" s="9"/>
    </row>
    <row r="761">
      <c r="A761" s="9"/>
      <c r="B761" s="9"/>
      <c r="C761" s="9"/>
      <c r="D761" s="50"/>
      <c r="E761" s="9"/>
      <c r="F761" s="9"/>
      <c r="G761" s="59"/>
      <c r="H761" s="9"/>
    </row>
    <row r="762">
      <c r="A762" s="9"/>
      <c r="B762" s="9"/>
      <c r="C762" s="9"/>
      <c r="D762" s="50"/>
      <c r="E762" s="9"/>
      <c r="F762" s="9"/>
      <c r="G762" s="59"/>
      <c r="H762" s="9"/>
    </row>
    <row r="763">
      <c r="A763" s="9"/>
      <c r="B763" s="9"/>
      <c r="C763" s="9"/>
      <c r="D763" s="50"/>
      <c r="E763" s="9"/>
      <c r="F763" s="9"/>
      <c r="G763" s="59"/>
      <c r="H763" s="9"/>
    </row>
    <row r="764">
      <c r="A764" s="9"/>
      <c r="B764" s="9"/>
      <c r="C764" s="9"/>
      <c r="D764" s="50"/>
      <c r="E764" s="9"/>
      <c r="F764" s="9"/>
      <c r="G764" s="59"/>
      <c r="H764" s="9"/>
    </row>
    <row r="765">
      <c r="A765" s="9"/>
      <c r="B765" s="9"/>
      <c r="C765" s="9"/>
      <c r="D765" s="50"/>
      <c r="E765" s="9"/>
      <c r="F765" s="9"/>
      <c r="G765" s="59"/>
      <c r="H765" s="9"/>
    </row>
    <row r="766">
      <c r="A766" s="9"/>
      <c r="B766" s="9"/>
      <c r="C766" s="9"/>
      <c r="D766" s="50"/>
      <c r="E766" s="9"/>
      <c r="F766" s="9"/>
      <c r="G766" s="59"/>
      <c r="H766" s="9"/>
    </row>
    <row r="767">
      <c r="A767" s="9"/>
      <c r="B767" s="9"/>
      <c r="C767" s="9"/>
      <c r="D767" s="50"/>
      <c r="E767" s="9"/>
      <c r="F767" s="9"/>
      <c r="G767" s="59"/>
      <c r="H767" s="9"/>
    </row>
    <row r="768">
      <c r="A768" s="9"/>
      <c r="B768" s="9"/>
      <c r="C768" s="9"/>
      <c r="D768" s="50"/>
      <c r="E768" s="9"/>
      <c r="F768" s="9"/>
      <c r="G768" s="59"/>
      <c r="H768" s="9"/>
    </row>
    <row r="769">
      <c r="A769" s="9"/>
      <c r="B769" s="9"/>
      <c r="C769" s="9"/>
      <c r="D769" s="50"/>
      <c r="E769" s="9"/>
      <c r="F769" s="9"/>
      <c r="G769" s="59"/>
      <c r="H769" s="9"/>
    </row>
    <row r="770">
      <c r="A770" s="9"/>
      <c r="B770" s="9"/>
      <c r="C770" s="9"/>
      <c r="D770" s="50"/>
      <c r="E770" s="9"/>
      <c r="F770" s="9"/>
      <c r="G770" s="59"/>
      <c r="H770" s="9"/>
    </row>
    <row r="771">
      <c r="A771" s="9"/>
      <c r="B771" s="9"/>
      <c r="C771" s="9"/>
      <c r="D771" s="50"/>
      <c r="E771" s="9"/>
      <c r="F771" s="9"/>
      <c r="G771" s="59"/>
      <c r="H771" s="9"/>
    </row>
    <row r="772">
      <c r="A772" s="9"/>
      <c r="B772" s="9"/>
      <c r="C772" s="9"/>
      <c r="D772" s="50"/>
      <c r="E772" s="9"/>
      <c r="F772" s="9"/>
      <c r="G772" s="59"/>
      <c r="H772" s="9"/>
    </row>
    <row r="773">
      <c r="A773" s="9"/>
      <c r="B773" s="9"/>
      <c r="C773" s="9"/>
      <c r="D773" s="50"/>
      <c r="E773" s="9"/>
      <c r="F773" s="9"/>
      <c r="G773" s="59"/>
      <c r="H773" s="9"/>
    </row>
    <row r="774">
      <c r="A774" s="9"/>
      <c r="B774" s="9"/>
      <c r="C774" s="9"/>
      <c r="D774" s="50"/>
      <c r="E774" s="9"/>
      <c r="F774" s="9"/>
      <c r="G774" s="59"/>
      <c r="H774" s="9"/>
    </row>
    <row r="775">
      <c r="A775" s="9"/>
      <c r="B775" s="9"/>
      <c r="C775" s="9"/>
      <c r="D775" s="50"/>
      <c r="E775" s="9"/>
      <c r="F775" s="9"/>
      <c r="G775" s="59"/>
      <c r="H775" s="9"/>
    </row>
    <row r="776">
      <c r="A776" s="9"/>
      <c r="B776" s="9"/>
      <c r="C776" s="9"/>
      <c r="D776" s="50"/>
      <c r="E776" s="9"/>
      <c r="F776" s="9"/>
      <c r="G776" s="59"/>
      <c r="H776" s="9"/>
    </row>
    <row r="777">
      <c r="A777" s="9"/>
      <c r="B777" s="9"/>
      <c r="C777" s="9"/>
      <c r="D777" s="50"/>
      <c r="E777" s="9"/>
      <c r="F777" s="9"/>
      <c r="G777" s="59"/>
      <c r="H777" s="9"/>
    </row>
    <row r="778">
      <c r="A778" s="9"/>
      <c r="B778" s="9"/>
      <c r="C778" s="9"/>
      <c r="D778" s="50"/>
      <c r="E778" s="9"/>
      <c r="F778" s="9"/>
      <c r="G778" s="59"/>
      <c r="H778" s="9"/>
    </row>
    <row r="779">
      <c r="A779" s="9"/>
      <c r="B779" s="9"/>
      <c r="C779" s="9"/>
      <c r="D779" s="50"/>
      <c r="E779" s="9"/>
      <c r="F779" s="9"/>
      <c r="G779" s="59"/>
      <c r="H779" s="9"/>
    </row>
    <row r="780">
      <c r="A780" s="9"/>
      <c r="B780" s="9"/>
      <c r="C780" s="9"/>
      <c r="D780" s="50"/>
      <c r="E780" s="9"/>
      <c r="F780" s="9"/>
      <c r="G780" s="59"/>
      <c r="H780" s="9"/>
    </row>
    <row r="781">
      <c r="A781" s="9"/>
      <c r="B781" s="9"/>
      <c r="C781" s="9"/>
      <c r="D781" s="50"/>
      <c r="E781" s="9"/>
      <c r="F781" s="9"/>
      <c r="G781" s="59"/>
      <c r="H781" s="9"/>
    </row>
    <row r="782">
      <c r="A782" s="9"/>
      <c r="B782" s="9"/>
      <c r="C782" s="9"/>
      <c r="D782" s="50"/>
      <c r="E782" s="9"/>
      <c r="F782" s="9"/>
      <c r="G782" s="59"/>
      <c r="H782" s="9"/>
    </row>
    <row r="783">
      <c r="A783" s="9"/>
      <c r="B783" s="9"/>
      <c r="C783" s="9"/>
      <c r="D783" s="50"/>
      <c r="E783" s="9"/>
      <c r="F783" s="9"/>
      <c r="G783" s="59"/>
      <c r="H783" s="9"/>
    </row>
    <row r="784">
      <c r="A784" s="9"/>
      <c r="B784" s="9"/>
      <c r="C784" s="9"/>
      <c r="D784" s="50"/>
      <c r="E784" s="9"/>
      <c r="F784" s="9"/>
      <c r="G784" s="59"/>
      <c r="H784" s="9"/>
    </row>
    <row r="785">
      <c r="A785" s="9"/>
      <c r="B785" s="9"/>
      <c r="C785" s="9"/>
      <c r="D785" s="50"/>
      <c r="E785" s="9"/>
      <c r="F785" s="9"/>
      <c r="G785" s="59"/>
      <c r="H785" s="9"/>
    </row>
    <row r="786">
      <c r="A786" s="9"/>
      <c r="B786" s="9"/>
      <c r="C786" s="9"/>
      <c r="D786" s="50"/>
      <c r="E786" s="9"/>
      <c r="F786" s="9"/>
      <c r="G786" s="59"/>
      <c r="H786" s="9"/>
    </row>
    <row r="787">
      <c r="A787" s="9"/>
      <c r="B787" s="9"/>
      <c r="C787" s="9"/>
      <c r="D787" s="50"/>
      <c r="E787" s="9"/>
      <c r="F787" s="9"/>
      <c r="G787" s="59"/>
      <c r="H787" s="9"/>
    </row>
    <row r="788">
      <c r="A788" s="9"/>
      <c r="B788" s="9"/>
      <c r="C788" s="9"/>
      <c r="D788" s="50"/>
      <c r="E788" s="9"/>
      <c r="F788" s="9"/>
      <c r="G788" s="59"/>
      <c r="H788" s="9"/>
    </row>
    <row r="789">
      <c r="A789" s="9"/>
      <c r="B789" s="9"/>
      <c r="C789" s="9"/>
      <c r="D789" s="50"/>
      <c r="E789" s="9"/>
      <c r="F789" s="9"/>
      <c r="G789" s="59"/>
      <c r="H789" s="9"/>
    </row>
    <row r="790">
      <c r="A790" s="9"/>
      <c r="B790" s="9"/>
      <c r="C790" s="9"/>
      <c r="D790" s="50"/>
      <c r="E790" s="9"/>
      <c r="F790" s="9"/>
      <c r="G790" s="59"/>
      <c r="H790" s="9"/>
    </row>
    <row r="791">
      <c r="A791" s="9"/>
      <c r="B791" s="9"/>
      <c r="C791" s="9"/>
      <c r="D791" s="50"/>
      <c r="E791" s="9"/>
      <c r="F791" s="9"/>
      <c r="G791" s="59"/>
      <c r="H791" s="9"/>
    </row>
    <row r="792">
      <c r="A792" s="9"/>
      <c r="B792" s="9"/>
      <c r="C792" s="9"/>
      <c r="D792" s="50"/>
      <c r="E792" s="9"/>
      <c r="F792" s="9"/>
      <c r="G792" s="59"/>
      <c r="H792" s="9"/>
    </row>
    <row r="793">
      <c r="A793" s="9"/>
      <c r="B793" s="9"/>
      <c r="C793" s="9"/>
      <c r="D793" s="50"/>
      <c r="E793" s="9"/>
      <c r="F793" s="9"/>
      <c r="G793" s="59"/>
      <c r="H793" s="9"/>
    </row>
    <row r="794">
      <c r="A794" s="9"/>
      <c r="B794" s="9"/>
      <c r="C794" s="9"/>
      <c r="D794" s="50"/>
      <c r="E794" s="9"/>
      <c r="F794" s="9"/>
      <c r="G794" s="59"/>
      <c r="H794" s="9"/>
    </row>
    <row r="795">
      <c r="A795" s="9"/>
      <c r="B795" s="9"/>
      <c r="C795" s="9"/>
      <c r="D795" s="50"/>
      <c r="E795" s="9"/>
      <c r="F795" s="9"/>
      <c r="G795" s="59"/>
      <c r="H795" s="9"/>
    </row>
    <row r="796">
      <c r="A796" s="9"/>
      <c r="B796" s="9"/>
      <c r="C796" s="9"/>
      <c r="D796" s="50"/>
      <c r="E796" s="9"/>
      <c r="F796" s="9"/>
      <c r="G796" s="59"/>
      <c r="H796" s="9"/>
    </row>
    <row r="797">
      <c r="A797" s="9"/>
      <c r="B797" s="9"/>
      <c r="C797" s="9"/>
      <c r="D797" s="50"/>
      <c r="E797" s="9"/>
      <c r="F797" s="9"/>
      <c r="G797" s="59"/>
      <c r="H797" s="9"/>
    </row>
    <row r="798">
      <c r="A798" s="9"/>
      <c r="B798" s="9"/>
      <c r="C798" s="9"/>
      <c r="D798" s="50"/>
      <c r="E798" s="9"/>
      <c r="F798" s="9"/>
      <c r="G798" s="59"/>
      <c r="H798" s="9"/>
    </row>
    <row r="799">
      <c r="A799" s="9"/>
      <c r="B799" s="9"/>
      <c r="C799" s="9"/>
      <c r="D799" s="50"/>
      <c r="E799" s="9"/>
      <c r="F799" s="9"/>
      <c r="G799" s="59"/>
      <c r="H799" s="9"/>
    </row>
    <row r="800">
      <c r="A800" s="9"/>
      <c r="B800" s="9"/>
      <c r="C800" s="9"/>
      <c r="D800" s="50"/>
      <c r="E800" s="9"/>
      <c r="F800" s="9"/>
      <c r="G800" s="59"/>
      <c r="H800" s="9"/>
    </row>
    <row r="801">
      <c r="A801" s="9"/>
      <c r="B801" s="9"/>
      <c r="C801" s="9"/>
      <c r="D801" s="50"/>
      <c r="E801" s="9"/>
      <c r="F801" s="9"/>
      <c r="G801" s="59"/>
      <c r="H801" s="9"/>
    </row>
    <row r="802">
      <c r="A802" s="9"/>
      <c r="B802" s="9"/>
      <c r="C802" s="9"/>
      <c r="D802" s="50"/>
      <c r="E802" s="9"/>
      <c r="F802" s="9"/>
      <c r="G802" s="59"/>
      <c r="H802" s="9"/>
    </row>
    <row r="803">
      <c r="A803" s="9"/>
      <c r="B803" s="9"/>
      <c r="C803" s="9"/>
      <c r="D803" s="50"/>
      <c r="E803" s="9"/>
      <c r="F803" s="9"/>
      <c r="G803" s="59"/>
      <c r="H803" s="9"/>
    </row>
    <row r="804">
      <c r="A804" s="9"/>
      <c r="B804" s="9"/>
      <c r="C804" s="9"/>
      <c r="D804" s="50"/>
      <c r="E804" s="9"/>
      <c r="F804" s="9"/>
      <c r="G804" s="59"/>
      <c r="H804" s="9"/>
    </row>
    <row r="805">
      <c r="A805" s="9"/>
      <c r="B805" s="9"/>
      <c r="C805" s="9"/>
      <c r="D805" s="50"/>
      <c r="E805" s="9"/>
      <c r="F805" s="9"/>
      <c r="G805" s="59"/>
      <c r="H805" s="9"/>
    </row>
    <row r="806">
      <c r="A806" s="9"/>
      <c r="B806" s="9"/>
      <c r="C806" s="9"/>
      <c r="D806" s="50"/>
      <c r="E806" s="9"/>
      <c r="F806" s="9"/>
      <c r="G806" s="59"/>
      <c r="H806" s="9"/>
    </row>
    <row r="807">
      <c r="A807" s="9"/>
      <c r="B807" s="9"/>
      <c r="C807" s="9"/>
      <c r="D807" s="50"/>
      <c r="E807" s="9"/>
      <c r="F807" s="9"/>
      <c r="G807" s="59"/>
      <c r="H807" s="9"/>
    </row>
    <row r="808">
      <c r="A808" s="9"/>
      <c r="B808" s="9"/>
      <c r="C808" s="9"/>
      <c r="D808" s="50"/>
      <c r="E808" s="9"/>
      <c r="F808" s="9"/>
      <c r="G808" s="59"/>
      <c r="H808" s="9"/>
    </row>
    <row r="809">
      <c r="A809" s="9"/>
      <c r="B809" s="9"/>
      <c r="C809" s="9"/>
      <c r="D809" s="50"/>
      <c r="E809" s="9"/>
      <c r="F809" s="9"/>
      <c r="G809" s="59"/>
      <c r="H809" s="9"/>
    </row>
    <row r="810">
      <c r="A810" s="9"/>
      <c r="B810" s="9"/>
      <c r="C810" s="9"/>
      <c r="D810" s="50"/>
      <c r="E810" s="9"/>
      <c r="F810" s="9"/>
      <c r="G810" s="59"/>
      <c r="H810" s="9"/>
    </row>
    <row r="811">
      <c r="A811" s="9"/>
      <c r="B811" s="9"/>
      <c r="C811" s="9"/>
      <c r="D811" s="50"/>
      <c r="E811" s="9"/>
      <c r="F811" s="9"/>
      <c r="G811" s="59"/>
      <c r="H811" s="9"/>
    </row>
    <row r="812">
      <c r="A812" s="9"/>
      <c r="B812" s="9"/>
      <c r="C812" s="9"/>
      <c r="D812" s="50"/>
      <c r="E812" s="9"/>
      <c r="F812" s="9"/>
      <c r="G812" s="59"/>
      <c r="H812" s="9"/>
    </row>
    <row r="813">
      <c r="A813" s="9"/>
      <c r="B813" s="9"/>
      <c r="C813" s="9"/>
      <c r="D813" s="50"/>
      <c r="E813" s="9"/>
      <c r="F813" s="9"/>
      <c r="G813" s="59"/>
      <c r="H813" s="9"/>
    </row>
    <row r="814">
      <c r="A814" s="9"/>
      <c r="B814" s="9"/>
      <c r="C814" s="9"/>
      <c r="D814" s="50"/>
      <c r="E814" s="9"/>
      <c r="F814" s="9"/>
      <c r="G814" s="59"/>
      <c r="H814" s="9"/>
    </row>
    <row r="815">
      <c r="A815" s="9"/>
      <c r="B815" s="9"/>
      <c r="C815" s="9"/>
      <c r="D815" s="50"/>
      <c r="E815" s="9"/>
      <c r="F815" s="9"/>
      <c r="G815" s="59"/>
      <c r="H815" s="9"/>
    </row>
    <row r="816">
      <c r="A816" s="9"/>
      <c r="B816" s="9"/>
      <c r="C816" s="9"/>
      <c r="D816" s="50"/>
      <c r="E816" s="9"/>
      <c r="F816" s="9"/>
      <c r="G816" s="59"/>
      <c r="H816" s="9"/>
    </row>
    <row r="817">
      <c r="A817" s="9"/>
      <c r="B817" s="9"/>
      <c r="C817" s="9"/>
      <c r="D817" s="50"/>
      <c r="E817" s="9"/>
      <c r="F817" s="9"/>
      <c r="G817" s="59"/>
      <c r="H817" s="9"/>
    </row>
    <row r="818">
      <c r="A818" s="9"/>
      <c r="B818" s="9"/>
      <c r="C818" s="9"/>
      <c r="D818" s="50"/>
      <c r="E818" s="9"/>
      <c r="F818" s="9"/>
      <c r="G818" s="59"/>
      <c r="H818" s="9"/>
    </row>
    <row r="819">
      <c r="A819" s="9"/>
      <c r="B819" s="9"/>
      <c r="C819" s="9"/>
      <c r="D819" s="50"/>
      <c r="E819" s="9"/>
      <c r="F819" s="9"/>
      <c r="G819" s="59"/>
      <c r="H819" s="9"/>
    </row>
    <row r="820">
      <c r="A820" s="9"/>
      <c r="B820" s="9"/>
      <c r="C820" s="9"/>
      <c r="D820" s="50"/>
      <c r="E820" s="9"/>
      <c r="F820" s="9"/>
      <c r="G820" s="59"/>
      <c r="H820" s="9"/>
    </row>
    <row r="821">
      <c r="A821" s="9"/>
      <c r="B821" s="9"/>
      <c r="C821" s="9"/>
      <c r="D821" s="50"/>
      <c r="E821" s="9"/>
      <c r="F821" s="9"/>
      <c r="G821" s="59"/>
      <c r="H821" s="9"/>
    </row>
    <row r="822">
      <c r="A822" s="9"/>
      <c r="B822" s="9"/>
      <c r="C822" s="9"/>
      <c r="D822" s="50"/>
      <c r="E822" s="9"/>
      <c r="F822" s="9"/>
      <c r="G822" s="59"/>
      <c r="H822" s="9"/>
    </row>
    <row r="823">
      <c r="A823" s="9"/>
      <c r="B823" s="9"/>
      <c r="C823" s="9"/>
      <c r="D823" s="50"/>
      <c r="E823" s="9"/>
      <c r="F823" s="9"/>
      <c r="G823" s="59"/>
      <c r="H823" s="9"/>
    </row>
    <row r="824">
      <c r="A824" s="9"/>
      <c r="B824" s="9"/>
      <c r="C824" s="9"/>
      <c r="D824" s="50"/>
      <c r="E824" s="9"/>
      <c r="F824" s="9"/>
      <c r="G824" s="59"/>
      <c r="H824" s="9"/>
    </row>
    <row r="825">
      <c r="A825" s="9"/>
      <c r="B825" s="9"/>
      <c r="C825" s="9"/>
      <c r="D825" s="50"/>
      <c r="E825" s="9"/>
      <c r="F825" s="9"/>
      <c r="G825" s="59"/>
      <c r="H825" s="9"/>
    </row>
    <row r="826">
      <c r="A826" s="9"/>
      <c r="B826" s="9"/>
      <c r="C826" s="9"/>
      <c r="D826" s="50"/>
      <c r="E826" s="9"/>
      <c r="F826" s="9"/>
      <c r="G826" s="59"/>
      <c r="H826" s="9"/>
    </row>
    <row r="827">
      <c r="A827" s="9"/>
      <c r="B827" s="9"/>
      <c r="C827" s="9"/>
      <c r="D827" s="50"/>
      <c r="E827" s="9"/>
      <c r="F827" s="9"/>
      <c r="G827" s="59"/>
      <c r="H827" s="9"/>
    </row>
    <row r="828">
      <c r="A828" s="9"/>
      <c r="B828" s="9"/>
      <c r="C828" s="9"/>
      <c r="D828" s="50"/>
      <c r="E828" s="9"/>
      <c r="F828" s="9"/>
      <c r="G828" s="59"/>
      <c r="H828" s="9"/>
    </row>
    <row r="829">
      <c r="A829" s="9"/>
      <c r="B829" s="9"/>
      <c r="C829" s="9"/>
      <c r="D829" s="50"/>
      <c r="E829" s="9"/>
      <c r="F829" s="9"/>
      <c r="G829" s="59"/>
      <c r="H829" s="9"/>
    </row>
    <row r="830">
      <c r="A830" s="9"/>
      <c r="B830" s="9"/>
      <c r="C830" s="9"/>
      <c r="D830" s="50"/>
      <c r="E830" s="9"/>
      <c r="F830" s="9"/>
      <c r="G830" s="59"/>
      <c r="H830" s="9"/>
    </row>
    <row r="831">
      <c r="A831" s="9"/>
      <c r="B831" s="9"/>
      <c r="C831" s="9"/>
      <c r="D831" s="50"/>
      <c r="E831" s="9"/>
      <c r="F831" s="9"/>
      <c r="G831" s="59"/>
      <c r="H831" s="9"/>
    </row>
    <row r="832">
      <c r="A832" s="9"/>
      <c r="B832" s="9"/>
      <c r="C832" s="9"/>
      <c r="D832" s="50"/>
      <c r="E832" s="9"/>
      <c r="F832" s="9"/>
      <c r="G832" s="59"/>
      <c r="H832" s="9"/>
    </row>
    <row r="833">
      <c r="A833" s="9"/>
      <c r="B833" s="9"/>
      <c r="C833" s="9"/>
      <c r="D833" s="50"/>
      <c r="E833" s="9"/>
      <c r="F833" s="9"/>
      <c r="G833" s="59"/>
      <c r="H833" s="9"/>
    </row>
    <row r="834">
      <c r="A834" s="9"/>
      <c r="B834" s="9"/>
      <c r="C834" s="9"/>
      <c r="D834" s="50"/>
      <c r="E834" s="9"/>
      <c r="F834" s="9"/>
      <c r="G834" s="59"/>
      <c r="H834" s="9"/>
    </row>
    <row r="835">
      <c r="A835" s="9"/>
      <c r="B835" s="9"/>
      <c r="C835" s="9"/>
      <c r="D835" s="50"/>
      <c r="E835" s="9"/>
      <c r="F835" s="9"/>
      <c r="G835" s="59"/>
      <c r="H835" s="9"/>
    </row>
    <row r="836">
      <c r="A836" s="9"/>
      <c r="B836" s="9"/>
      <c r="C836" s="9"/>
      <c r="D836" s="50"/>
      <c r="E836" s="9"/>
      <c r="F836" s="9"/>
      <c r="G836" s="59"/>
      <c r="H836" s="9"/>
    </row>
    <row r="837">
      <c r="A837" s="9"/>
      <c r="B837" s="9"/>
      <c r="C837" s="9"/>
      <c r="D837" s="50"/>
      <c r="E837" s="9"/>
      <c r="F837" s="9"/>
      <c r="G837" s="59"/>
      <c r="H837" s="9"/>
    </row>
    <row r="838">
      <c r="A838" s="9"/>
      <c r="B838" s="9"/>
      <c r="C838" s="9"/>
      <c r="D838" s="50"/>
      <c r="E838" s="9"/>
      <c r="F838" s="9"/>
      <c r="G838" s="59"/>
      <c r="H838" s="9"/>
    </row>
    <row r="839">
      <c r="A839" s="9"/>
      <c r="B839" s="9"/>
      <c r="C839" s="9"/>
      <c r="D839" s="50"/>
      <c r="E839" s="9"/>
      <c r="F839" s="9"/>
      <c r="G839" s="59"/>
      <c r="H839" s="9"/>
    </row>
    <row r="840">
      <c r="A840" s="9"/>
      <c r="B840" s="9"/>
      <c r="C840" s="9"/>
      <c r="D840" s="50"/>
      <c r="E840" s="9"/>
      <c r="F840" s="9"/>
      <c r="G840" s="59"/>
      <c r="H840" s="9"/>
    </row>
    <row r="841">
      <c r="A841" s="9"/>
      <c r="B841" s="9"/>
      <c r="C841" s="9"/>
      <c r="D841" s="50"/>
      <c r="E841" s="9"/>
      <c r="F841" s="9"/>
      <c r="G841" s="59"/>
      <c r="H841" s="9"/>
    </row>
    <row r="842">
      <c r="A842" s="9"/>
      <c r="B842" s="9"/>
      <c r="C842" s="9"/>
      <c r="D842" s="50"/>
      <c r="E842" s="9"/>
      <c r="F842" s="9"/>
      <c r="G842" s="59"/>
      <c r="H842" s="9"/>
    </row>
    <row r="843">
      <c r="A843" s="9"/>
      <c r="B843" s="9"/>
      <c r="C843" s="9"/>
      <c r="D843" s="50"/>
      <c r="E843" s="9"/>
      <c r="F843" s="9"/>
      <c r="G843" s="59"/>
      <c r="H843" s="9"/>
    </row>
    <row r="844">
      <c r="A844" s="9"/>
      <c r="B844" s="9"/>
      <c r="C844" s="9"/>
      <c r="D844" s="50"/>
      <c r="E844" s="9"/>
      <c r="F844" s="9"/>
      <c r="G844" s="59"/>
      <c r="H844" s="9"/>
    </row>
    <row r="845">
      <c r="A845" s="9"/>
      <c r="B845" s="9"/>
      <c r="C845" s="9"/>
      <c r="D845" s="50"/>
      <c r="E845" s="9"/>
      <c r="F845" s="9"/>
      <c r="G845" s="59"/>
      <c r="H845" s="9"/>
    </row>
    <row r="846">
      <c r="A846" s="9"/>
      <c r="B846" s="9"/>
      <c r="C846" s="9"/>
      <c r="D846" s="50"/>
      <c r="E846" s="9"/>
      <c r="F846" s="9"/>
      <c r="G846" s="59"/>
      <c r="H846" s="9"/>
    </row>
    <row r="847">
      <c r="A847" s="9"/>
      <c r="B847" s="9"/>
      <c r="C847" s="9"/>
      <c r="D847" s="50"/>
      <c r="E847" s="9"/>
      <c r="F847" s="9"/>
      <c r="G847" s="59"/>
      <c r="H847" s="9"/>
    </row>
    <row r="848">
      <c r="A848" s="9"/>
      <c r="B848" s="9"/>
      <c r="C848" s="9"/>
      <c r="D848" s="50"/>
      <c r="E848" s="9"/>
      <c r="F848" s="9"/>
      <c r="G848" s="59"/>
      <c r="H848" s="9"/>
    </row>
    <row r="849">
      <c r="A849" s="9"/>
      <c r="B849" s="9"/>
      <c r="C849" s="9"/>
      <c r="D849" s="50"/>
      <c r="E849" s="9"/>
      <c r="F849" s="9"/>
      <c r="G849" s="59"/>
      <c r="H849" s="9"/>
    </row>
    <row r="850">
      <c r="A850" s="9"/>
      <c r="B850" s="9"/>
      <c r="C850" s="9"/>
      <c r="D850" s="50"/>
      <c r="E850" s="9"/>
      <c r="F850" s="9"/>
      <c r="G850" s="59"/>
      <c r="H850" s="9"/>
    </row>
    <row r="851">
      <c r="A851" s="9"/>
      <c r="B851" s="9"/>
      <c r="C851" s="9"/>
      <c r="D851" s="50"/>
      <c r="E851" s="9"/>
      <c r="F851" s="9"/>
      <c r="G851" s="59"/>
      <c r="H851" s="9"/>
    </row>
    <row r="852">
      <c r="A852" s="9"/>
      <c r="B852" s="9"/>
      <c r="C852" s="9"/>
      <c r="D852" s="50"/>
      <c r="E852" s="9"/>
      <c r="F852" s="9"/>
      <c r="G852" s="59"/>
      <c r="H852" s="9"/>
    </row>
    <row r="853">
      <c r="A853" s="9"/>
      <c r="B853" s="9"/>
      <c r="C853" s="9"/>
      <c r="D853" s="50"/>
      <c r="E853" s="9"/>
      <c r="F853" s="9"/>
      <c r="G853" s="59"/>
      <c r="H853" s="9"/>
    </row>
    <row r="854">
      <c r="A854" s="9"/>
      <c r="B854" s="9"/>
      <c r="C854" s="9"/>
      <c r="D854" s="50"/>
      <c r="E854" s="9"/>
      <c r="F854" s="9"/>
      <c r="G854" s="59"/>
      <c r="H854" s="9"/>
    </row>
    <row r="855">
      <c r="A855" s="9"/>
      <c r="B855" s="9"/>
      <c r="C855" s="9"/>
      <c r="D855" s="50"/>
      <c r="E855" s="9"/>
      <c r="F855" s="9"/>
      <c r="G855" s="59"/>
      <c r="H855" s="9"/>
    </row>
    <row r="856">
      <c r="A856" s="9"/>
      <c r="B856" s="9"/>
      <c r="C856" s="9"/>
      <c r="D856" s="50"/>
      <c r="E856" s="9"/>
      <c r="F856" s="9"/>
      <c r="G856" s="59"/>
      <c r="H856" s="9"/>
    </row>
    <row r="857">
      <c r="A857" s="9"/>
      <c r="B857" s="9"/>
      <c r="C857" s="9"/>
      <c r="D857" s="50"/>
      <c r="E857" s="9"/>
      <c r="F857" s="9"/>
      <c r="G857" s="59"/>
      <c r="H857" s="9"/>
    </row>
    <row r="858">
      <c r="A858" s="9"/>
      <c r="B858" s="9"/>
      <c r="C858" s="9"/>
      <c r="D858" s="50"/>
      <c r="E858" s="9"/>
      <c r="F858" s="9"/>
      <c r="G858" s="59"/>
      <c r="H858" s="9"/>
    </row>
    <row r="859">
      <c r="A859" s="9"/>
      <c r="B859" s="9"/>
      <c r="C859" s="9"/>
      <c r="D859" s="50"/>
      <c r="E859" s="9"/>
      <c r="F859" s="9"/>
      <c r="G859" s="59"/>
      <c r="H859" s="9"/>
    </row>
    <row r="860">
      <c r="A860" s="9"/>
      <c r="B860" s="9"/>
      <c r="C860" s="9"/>
      <c r="D860" s="50"/>
      <c r="E860" s="9"/>
      <c r="F860" s="9"/>
      <c r="G860" s="59"/>
      <c r="H860" s="9"/>
    </row>
    <row r="861">
      <c r="A861" s="9"/>
      <c r="B861" s="9"/>
      <c r="C861" s="9"/>
      <c r="D861" s="50"/>
      <c r="E861" s="9"/>
      <c r="F861" s="9"/>
      <c r="G861" s="59"/>
      <c r="H861" s="9"/>
    </row>
    <row r="862">
      <c r="A862" s="9"/>
      <c r="B862" s="9"/>
      <c r="C862" s="9"/>
      <c r="D862" s="50"/>
      <c r="E862" s="9"/>
      <c r="F862" s="9"/>
      <c r="G862" s="59"/>
      <c r="H862" s="9"/>
    </row>
    <row r="863">
      <c r="A863" s="9"/>
      <c r="B863" s="9"/>
      <c r="C863" s="9"/>
      <c r="D863" s="50"/>
      <c r="E863" s="9"/>
      <c r="F863" s="9"/>
      <c r="G863" s="59"/>
      <c r="H863" s="9"/>
    </row>
    <row r="864">
      <c r="A864" s="9"/>
      <c r="B864" s="9"/>
      <c r="C864" s="9"/>
      <c r="D864" s="50"/>
      <c r="E864" s="9"/>
      <c r="F864" s="9"/>
      <c r="G864" s="59"/>
      <c r="H864" s="9"/>
    </row>
    <row r="865">
      <c r="A865" s="9"/>
      <c r="B865" s="9"/>
      <c r="C865" s="9"/>
      <c r="D865" s="50"/>
      <c r="E865" s="9"/>
      <c r="F865" s="9"/>
      <c r="G865" s="59"/>
      <c r="H865" s="9"/>
    </row>
    <row r="866">
      <c r="A866" s="9"/>
      <c r="B866" s="9"/>
      <c r="C866" s="9"/>
      <c r="D866" s="50"/>
      <c r="E866" s="9"/>
      <c r="F866" s="9"/>
      <c r="G866" s="59"/>
      <c r="H866" s="9"/>
    </row>
    <row r="867">
      <c r="A867" s="9"/>
      <c r="B867" s="9"/>
      <c r="C867" s="9"/>
      <c r="D867" s="50"/>
      <c r="E867" s="9"/>
      <c r="F867" s="9"/>
      <c r="G867" s="59"/>
      <c r="H867" s="9"/>
    </row>
    <row r="868">
      <c r="A868" s="9"/>
      <c r="B868" s="9"/>
      <c r="C868" s="9"/>
      <c r="D868" s="50"/>
      <c r="E868" s="9"/>
      <c r="F868" s="9"/>
      <c r="G868" s="59"/>
      <c r="H868" s="9"/>
    </row>
    <row r="869">
      <c r="A869" s="9"/>
      <c r="B869" s="9"/>
      <c r="C869" s="9"/>
      <c r="D869" s="50"/>
      <c r="E869" s="9"/>
      <c r="F869" s="9"/>
      <c r="G869" s="59"/>
      <c r="H869" s="9"/>
    </row>
    <row r="870">
      <c r="A870" s="9"/>
      <c r="B870" s="9"/>
      <c r="C870" s="9"/>
      <c r="D870" s="50"/>
      <c r="E870" s="9"/>
      <c r="F870" s="9"/>
      <c r="G870" s="59"/>
      <c r="H870" s="9"/>
    </row>
    <row r="871">
      <c r="A871" s="9"/>
      <c r="B871" s="9"/>
      <c r="C871" s="9"/>
      <c r="D871" s="50"/>
      <c r="E871" s="9"/>
      <c r="F871" s="9"/>
      <c r="G871" s="59"/>
      <c r="H871" s="9"/>
    </row>
    <row r="872">
      <c r="A872" s="9"/>
      <c r="B872" s="9"/>
      <c r="C872" s="9"/>
      <c r="D872" s="50"/>
      <c r="E872" s="9"/>
      <c r="F872" s="9"/>
      <c r="G872" s="59"/>
      <c r="H872" s="9"/>
    </row>
    <row r="873">
      <c r="A873" s="9"/>
      <c r="B873" s="9"/>
      <c r="C873" s="9"/>
      <c r="D873" s="50"/>
      <c r="E873" s="9"/>
      <c r="F873" s="9"/>
      <c r="G873" s="59"/>
      <c r="H873" s="9"/>
    </row>
    <row r="874">
      <c r="A874" s="9"/>
      <c r="B874" s="9"/>
      <c r="C874" s="9"/>
      <c r="D874" s="50"/>
      <c r="E874" s="9"/>
      <c r="F874" s="9"/>
      <c r="G874" s="59"/>
      <c r="H874" s="9"/>
    </row>
    <row r="875">
      <c r="A875" s="9"/>
      <c r="B875" s="9"/>
      <c r="C875" s="9"/>
      <c r="D875" s="50"/>
      <c r="E875" s="9"/>
      <c r="F875" s="9"/>
      <c r="G875" s="59"/>
      <c r="H875" s="9"/>
    </row>
    <row r="876">
      <c r="A876" s="9"/>
      <c r="B876" s="9"/>
      <c r="C876" s="9"/>
      <c r="D876" s="50"/>
      <c r="E876" s="9"/>
      <c r="F876" s="9"/>
      <c r="G876" s="59"/>
      <c r="H876" s="9"/>
    </row>
    <row r="877">
      <c r="A877" s="9"/>
      <c r="B877" s="9"/>
      <c r="C877" s="9"/>
      <c r="D877" s="50"/>
      <c r="E877" s="9"/>
      <c r="F877" s="9"/>
      <c r="G877" s="59"/>
      <c r="H877" s="9"/>
    </row>
    <row r="878">
      <c r="A878" s="9"/>
      <c r="B878" s="9"/>
      <c r="C878" s="9"/>
      <c r="D878" s="50"/>
      <c r="E878" s="9"/>
      <c r="F878" s="9"/>
      <c r="G878" s="59"/>
      <c r="H878" s="9"/>
    </row>
    <row r="879">
      <c r="A879" s="9"/>
      <c r="B879" s="9"/>
      <c r="C879" s="9"/>
      <c r="D879" s="50"/>
      <c r="E879" s="9"/>
      <c r="F879" s="9"/>
      <c r="G879" s="59"/>
      <c r="H879" s="9"/>
    </row>
    <row r="880">
      <c r="A880" s="9"/>
      <c r="B880" s="9"/>
      <c r="C880" s="9"/>
      <c r="D880" s="50"/>
      <c r="E880" s="9"/>
      <c r="F880" s="9"/>
      <c r="G880" s="59"/>
      <c r="H880" s="9"/>
    </row>
    <row r="881">
      <c r="A881" s="9"/>
      <c r="B881" s="9"/>
      <c r="C881" s="9"/>
      <c r="D881" s="50"/>
      <c r="E881" s="9"/>
      <c r="F881" s="9"/>
      <c r="G881" s="59"/>
      <c r="H881" s="9"/>
    </row>
    <row r="882">
      <c r="A882" s="9"/>
      <c r="B882" s="9"/>
      <c r="C882" s="9"/>
      <c r="D882" s="50"/>
      <c r="E882" s="9"/>
      <c r="F882" s="9"/>
      <c r="G882" s="59"/>
      <c r="H882" s="9"/>
    </row>
    <row r="883">
      <c r="A883" s="9"/>
      <c r="B883" s="9"/>
      <c r="C883" s="9"/>
      <c r="D883" s="50"/>
      <c r="E883" s="9"/>
      <c r="F883" s="9"/>
      <c r="G883" s="59"/>
      <c r="H883" s="9"/>
    </row>
    <row r="884">
      <c r="A884" s="9"/>
      <c r="B884" s="9"/>
      <c r="C884" s="9"/>
      <c r="D884" s="50"/>
      <c r="E884" s="9"/>
      <c r="F884" s="9"/>
      <c r="G884" s="59"/>
      <c r="H884" s="9"/>
    </row>
    <row r="885">
      <c r="A885" s="9"/>
      <c r="B885" s="9"/>
      <c r="C885" s="9"/>
      <c r="D885" s="50"/>
      <c r="E885" s="9"/>
      <c r="F885" s="9"/>
      <c r="G885" s="59"/>
      <c r="H885" s="9"/>
    </row>
    <row r="886">
      <c r="A886" s="9"/>
      <c r="B886" s="9"/>
      <c r="C886" s="9"/>
      <c r="D886" s="50"/>
      <c r="E886" s="9"/>
      <c r="F886" s="9"/>
      <c r="G886" s="59"/>
      <c r="H886" s="9"/>
    </row>
    <row r="887">
      <c r="A887" s="9"/>
      <c r="B887" s="9"/>
      <c r="C887" s="9"/>
      <c r="D887" s="50"/>
      <c r="E887" s="9"/>
      <c r="F887" s="9"/>
      <c r="G887" s="59"/>
      <c r="H887" s="9"/>
    </row>
    <row r="888">
      <c r="A888" s="9"/>
      <c r="B888" s="9"/>
      <c r="C888" s="9"/>
      <c r="D888" s="50"/>
      <c r="E888" s="9"/>
      <c r="F888" s="9"/>
      <c r="G888" s="59"/>
      <c r="H888" s="9"/>
    </row>
    <row r="889">
      <c r="A889" s="9"/>
      <c r="B889" s="9"/>
      <c r="C889" s="9"/>
      <c r="D889" s="50"/>
      <c r="E889" s="9"/>
      <c r="F889" s="9"/>
      <c r="G889" s="59"/>
      <c r="H889" s="9"/>
    </row>
    <row r="890">
      <c r="A890" s="9"/>
      <c r="B890" s="9"/>
      <c r="C890" s="9"/>
      <c r="D890" s="50"/>
      <c r="E890" s="9"/>
      <c r="F890" s="9"/>
      <c r="G890" s="59"/>
      <c r="H890" s="9"/>
    </row>
    <row r="891">
      <c r="A891" s="9"/>
      <c r="B891" s="9"/>
      <c r="C891" s="9"/>
      <c r="D891" s="50"/>
      <c r="E891" s="9"/>
      <c r="F891" s="9"/>
      <c r="G891" s="59"/>
      <c r="H891" s="9"/>
    </row>
    <row r="892">
      <c r="A892" s="9"/>
      <c r="B892" s="9"/>
      <c r="C892" s="9"/>
      <c r="D892" s="50"/>
      <c r="E892" s="9"/>
      <c r="F892" s="9"/>
      <c r="G892" s="59"/>
      <c r="H892" s="9"/>
    </row>
    <row r="893">
      <c r="A893" s="9"/>
      <c r="B893" s="9"/>
      <c r="C893" s="9"/>
      <c r="D893" s="50"/>
      <c r="E893" s="9"/>
      <c r="F893" s="9"/>
      <c r="G893" s="59"/>
      <c r="H893" s="9"/>
    </row>
    <row r="894">
      <c r="A894" s="9"/>
      <c r="B894" s="9"/>
      <c r="C894" s="9"/>
      <c r="D894" s="50"/>
      <c r="E894" s="9"/>
      <c r="F894" s="9"/>
      <c r="G894" s="59"/>
      <c r="H894" s="9"/>
    </row>
    <row r="895">
      <c r="A895" s="9"/>
      <c r="B895" s="9"/>
      <c r="C895" s="9"/>
      <c r="D895" s="50"/>
      <c r="E895" s="9"/>
      <c r="F895" s="9"/>
      <c r="G895" s="59"/>
      <c r="H895" s="9"/>
    </row>
    <row r="896">
      <c r="A896" s="9"/>
      <c r="B896" s="9"/>
      <c r="C896" s="9"/>
      <c r="D896" s="50"/>
      <c r="E896" s="9"/>
      <c r="F896" s="9"/>
      <c r="G896" s="59"/>
      <c r="H896" s="9"/>
    </row>
    <row r="897">
      <c r="A897" s="9"/>
      <c r="B897" s="9"/>
      <c r="C897" s="9"/>
      <c r="D897" s="50"/>
      <c r="E897" s="9"/>
      <c r="F897" s="9"/>
      <c r="G897" s="59"/>
      <c r="H897" s="9"/>
    </row>
    <row r="898">
      <c r="A898" s="9"/>
      <c r="B898" s="9"/>
      <c r="C898" s="9"/>
      <c r="D898" s="50"/>
      <c r="E898" s="9"/>
      <c r="F898" s="9"/>
      <c r="G898" s="59"/>
      <c r="H898" s="9"/>
    </row>
    <row r="899">
      <c r="A899" s="9"/>
      <c r="B899" s="9"/>
      <c r="C899" s="9"/>
      <c r="D899" s="50"/>
      <c r="E899" s="9"/>
      <c r="F899" s="9"/>
      <c r="G899" s="59"/>
      <c r="H899" s="9"/>
    </row>
    <row r="900">
      <c r="A900" s="9"/>
      <c r="B900" s="9"/>
      <c r="C900" s="9"/>
      <c r="D900" s="50"/>
      <c r="E900" s="9"/>
      <c r="F900" s="9"/>
      <c r="G900" s="59"/>
      <c r="H900" s="9"/>
    </row>
    <row r="901">
      <c r="A901" s="9"/>
      <c r="B901" s="9"/>
      <c r="C901" s="9"/>
      <c r="D901" s="50"/>
      <c r="E901" s="9"/>
      <c r="F901" s="9"/>
      <c r="G901" s="59"/>
      <c r="H901" s="9"/>
    </row>
    <row r="902">
      <c r="A902" s="9"/>
      <c r="B902" s="9"/>
      <c r="C902" s="9"/>
      <c r="D902" s="50"/>
      <c r="E902" s="9"/>
      <c r="F902" s="9"/>
      <c r="G902" s="59"/>
      <c r="H902" s="9"/>
    </row>
    <row r="903">
      <c r="A903" s="9"/>
      <c r="B903" s="9"/>
      <c r="C903" s="9"/>
      <c r="D903" s="50"/>
      <c r="E903" s="9"/>
      <c r="F903" s="9"/>
      <c r="G903" s="59"/>
      <c r="H903" s="9"/>
    </row>
    <row r="904">
      <c r="A904" s="9"/>
      <c r="B904" s="9"/>
      <c r="C904" s="9"/>
      <c r="D904" s="50"/>
      <c r="E904" s="9"/>
      <c r="F904" s="9"/>
      <c r="G904" s="59"/>
      <c r="H904" s="9"/>
    </row>
    <row r="905">
      <c r="A905" s="9"/>
      <c r="B905" s="9"/>
      <c r="C905" s="9"/>
      <c r="D905" s="50"/>
      <c r="E905" s="9"/>
      <c r="F905" s="9"/>
      <c r="G905" s="59"/>
      <c r="H905" s="9"/>
    </row>
    <row r="906">
      <c r="A906" s="9"/>
      <c r="B906" s="9"/>
      <c r="C906" s="9"/>
      <c r="D906" s="50"/>
      <c r="E906" s="9"/>
      <c r="F906" s="9"/>
      <c r="G906" s="59"/>
      <c r="H906" s="9"/>
    </row>
    <row r="907">
      <c r="A907" s="9"/>
      <c r="B907" s="9"/>
      <c r="C907" s="9"/>
      <c r="D907" s="50"/>
      <c r="E907" s="9"/>
      <c r="F907" s="9"/>
      <c r="G907" s="59"/>
      <c r="H907" s="9"/>
    </row>
    <row r="908">
      <c r="A908" s="9"/>
      <c r="B908" s="9"/>
      <c r="C908" s="9"/>
      <c r="D908" s="50"/>
      <c r="E908" s="9"/>
      <c r="F908" s="9"/>
      <c r="G908" s="59"/>
      <c r="H908" s="9"/>
    </row>
    <row r="909">
      <c r="A909" s="9"/>
      <c r="B909" s="9"/>
      <c r="C909" s="9"/>
      <c r="D909" s="50"/>
      <c r="E909" s="9"/>
      <c r="F909" s="9"/>
      <c r="G909" s="59"/>
      <c r="H909" s="9"/>
    </row>
    <row r="910">
      <c r="A910" s="9"/>
      <c r="B910" s="9"/>
      <c r="C910" s="9"/>
      <c r="D910" s="50"/>
      <c r="E910" s="9"/>
      <c r="F910" s="9"/>
      <c r="G910" s="59"/>
      <c r="H910" s="9"/>
    </row>
    <row r="911">
      <c r="A911" s="9"/>
      <c r="B911" s="9"/>
      <c r="C911" s="9"/>
      <c r="D911" s="50"/>
      <c r="E911" s="9"/>
      <c r="F911" s="9"/>
      <c r="G911" s="59"/>
      <c r="H911" s="9"/>
    </row>
    <row r="912">
      <c r="A912" s="9"/>
      <c r="B912" s="9"/>
      <c r="C912" s="9"/>
      <c r="D912" s="50"/>
      <c r="E912" s="9"/>
      <c r="F912" s="9"/>
      <c r="G912" s="59"/>
      <c r="H912" s="9"/>
    </row>
    <row r="913">
      <c r="A913" s="9"/>
      <c r="B913" s="9"/>
      <c r="C913" s="9"/>
      <c r="D913" s="50"/>
      <c r="E913" s="9"/>
      <c r="F913" s="9"/>
      <c r="G913" s="59"/>
      <c r="H913" s="9"/>
    </row>
    <row r="914">
      <c r="A914" s="9"/>
      <c r="B914" s="9"/>
      <c r="C914" s="9"/>
      <c r="D914" s="50"/>
      <c r="E914" s="9"/>
      <c r="F914" s="9"/>
      <c r="G914" s="59"/>
      <c r="H914" s="9"/>
    </row>
    <row r="915">
      <c r="A915" s="9"/>
      <c r="B915" s="9"/>
      <c r="C915" s="9"/>
      <c r="D915" s="50"/>
      <c r="E915" s="9"/>
      <c r="F915" s="9"/>
      <c r="G915" s="59"/>
      <c r="H915" s="9"/>
    </row>
    <row r="916">
      <c r="A916" s="9"/>
      <c r="B916" s="9"/>
      <c r="C916" s="9"/>
      <c r="D916" s="50"/>
      <c r="E916" s="9"/>
      <c r="F916" s="9"/>
      <c r="G916" s="59"/>
      <c r="H916" s="9"/>
    </row>
    <row r="917">
      <c r="A917" s="9"/>
      <c r="B917" s="9"/>
      <c r="C917" s="9"/>
      <c r="D917" s="50"/>
      <c r="E917" s="9"/>
      <c r="F917" s="9"/>
      <c r="G917" s="59"/>
      <c r="H917" s="9"/>
    </row>
    <row r="918">
      <c r="A918" s="9"/>
      <c r="B918" s="9"/>
      <c r="C918" s="9"/>
      <c r="D918" s="50"/>
      <c r="E918" s="9"/>
      <c r="F918" s="9"/>
      <c r="G918" s="59"/>
      <c r="H918" s="9"/>
    </row>
    <row r="919">
      <c r="A919" s="9"/>
      <c r="B919" s="9"/>
      <c r="C919" s="9"/>
      <c r="D919" s="50"/>
      <c r="E919" s="9"/>
      <c r="F919" s="9"/>
      <c r="G919" s="59"/>
      <c r="H919" s="9"/>
    </row>
    <row r="920">
      <c r="A920" s="9"/>
      <c r="B920" s="9"/>
      <c r="C920" s="9"/>
      <c r="D920" s="50"/>
      <c r="E920" s="9"/>
      <c r="F920" s="9"/>
      <c r="G920" s="59"/>
      <c r="H920" s="9"/>
    </row>
    <row r="921">
      <c r="A921" s="9"/>
      <c r="B921" s="9"/>
      <c r="C921" s="9"/>
      <c r="D921" s="50"/>
      <c r="E921" s="9"/>
      <c r="F921" s="9"/>
      <c r="G921" s="59"/>
      <c r="H921" s="9"/>
    </row>
    <row r="922">
      <c r="A922" s="9"/>
      <c r="B922" s="9"/>
      <c r="C922" s="9"/>
      <c r="D922" s="50"/>
      <c r="E922" s="9"/>
      <c r="F922" s="9"/>
      <c r="G922" s="59"/>
      <c r="H922" s="9"/>
    </row>
    <row r="923">
      <c r="A923" s="9"/>
      <c r="B923" s="9"/>
      <c r="C923" s="9"/>
      <c r="D923" s="50"/>
      <c r="E923" s="9"/>
      <c r="F923" s="9"/>
      <c r="G923" s="59"/>
      <c r="H923" s="9"/>
    </row>
    <row r="924">
      <c r="A924" s="9"/>
      <c r="B924" s="9"/>
      <c r="C924" s="9"/>
      <c r="D924" s="50"/>
      <c r="E924" s="9"/>
      <c r="F924" s="9"/>
      <c r="G924" s="59"/>
      <c r="H924" s="9"/>
    </row>
    <row r="925">
      <c r="A925" s="9"/>
      <c r="B925" s="9"/>
      <c r="C925" s="9"/>
      <c r="D925" s="50"/>
      <c r="E925" s="9"/>
      <c r="F925" s="9"/>
      <c r="G925" s="59"/>
      <c r="H925" s="9"/>
    </row>
    <row r="926">
      <c r="A926" s="9"/>
      <c r="B926" s="9"/>
      <c r="C926" s="9"/>
      <c r="D926" s="50"/>
      <c r="E926" s="9"/>
      <c r="F926" s="9"/>
      <c r="G926" s="59"/>
      <c r="H926" s="9"/>
    </row>
    <row r="927">
      <c r="A927" s="9"/>
      <c r="B927" s="9"/>
      <c r="C927" s="9"/>
      <c r="D927" s="50"/>
      <c r="E927" s="9"/>
      <c r="F927" s="9"/>
      <c r="G927" s="59"/>
      <c r="H927" s="9"/>
    </row>
    <row r="928">
      <c r="A928" s="9"/>
      <c r="B928" s="9"/>
      <c r="C928" s="9"/>
      <c r="D928" s="50"/>
      <c r="E928" s="9"/>
      <c r="F928" s="9"/>
      <c r="G928" s="59"/>
      <c r="H928" s="9"/>
    </row>
    <row r="929">
      <c r="A929" s="9"/>
      <c r="B929" s="9"/>
      <c r="C929" s="9"/>
      <c r="D929" s="50"/>
      <c r="E929" s="9"/>
      <c r="F929" s="9"/>
      <c r="G929" s="59"/>
      <c r="H929" s="9"/>
    </row>
    <row r="930">
      <c r="A930" s="9"/>
      <c r="B930" s="9"/>
      <c r="C930" s="9"/>
      <c r="D930" s="50"/>
      <c r="E930" s="9"/>
      <c r="F930" s="9"/>
      <c r="G930" s="59"/>
      <c r="H930" s="9"/>
    </row>
    <row r="931">
      <c r="A931" s="9"/>
      <c r="B931" s="9"/>
      <c r="C931" s="9"/>
      <c r="D931" s="50"/>
      <c r="E931" s="9"/>
      <c r="F931" s="9"/>
      <c r="G931" s="59"/>
      <c r="H931" s="9"/>
    </row>
    <row r="932">
      <c r="A932" s="9"/>
      <c r="B932" s="9"/>
      <c r="C932" s="9"/>
      <c r="D932" s="50"/>
      <c r="E932" s="9"/>
      <c r="F932" s="9"/>
      <c r="G932" s="59"/>
      <c r="H932" s="9"/>
    </row>
    <row r="933">
      <c r="A933" s="9"/>
      <c r="B933" s="9"/>
      <c r="C933" s="9"/>
      <c r="D933" s="50"/>
      <c r="E933" s="9"/>
      <c r="F933" s="9"/>
      <c r="G933" s="59"/>
      <c r="H933" s="9"/>
    </row>
    <row r="934">
      <c r="A934" s="9"/>
      <c r="B934" s="9"/>
      <c r="C934" s="9"/>
      <c r="D934" s="50"/>
      <c r="E934" s="9"/>
      <c r="F934" s="9"/>
      <c r="G934" s="59"/>
      <c r="H934" s="9"/>
    </row>
    <row r="935">
      <c r="A935" s="9"/>
      <c r="B935" s="9"/>
      <c r="C935" s="9"/>
      <c r="D935" s="50"/>
      <c r="E935" s="9"/>
      <c r="F935" s="9"/>
      <c r="G935" s="59"/>
      <c r="H935" s="9"/>
    </row>
    <row r="936">
      <c r="A936" s="9"/>
      <c r="B936" s="9"/>
      <c r="C936" s="9"/>
      <c r="D936" s="50"/>
      <c r="E936" s="9"/>
      <c r="F936" s="9"/>
      <c r="G936" s="59"/>
      <c r="H936" s="9"/>
    </row>
    <row r="937">
      <c r="A937" s="9"/>
      <c r="B937" s="9"/>
      <c r="C937" s="9"/>
      <c r="D937" s="50"/>
      <c r="E937" s="9"/>
      <c r="F937" s="9"/>
      <c r="G937" s="59"/>
      <c r="H937" s="9"/>
    </row>
    <row r="938">
      <c r="A938" s="9"/>
      <c r="B938" s="9"/>
      <c r="C938" s="9"/>
      <c r="D938" s="50"/>
      <c r="E938" s="9"/>
      <c r="F938" s="9"/>
      <c r="G938" s="59"/>
      <c r="H938" s="9"/>
    </row>
    <row r="939">
      <c r="A939" s="9"/>
      <c r="B939" s="9"/>
      <c r="C939" s="9"/>
      <c r="D939" s="50"/>
      <c r="E939" s="9"/>
      <c r="F939" s="9"/>
      <c r="G939" s="59"/>
      <c r="H939" s="9"/>
    </row>
    <row r="940">
      <c r="A940" s="9"/>
      <c r="B940" s="9"/>
      <c r="C940" s="9"/>
      <c r="D940" s="50"/>
      <c r="E940" s="9"/>
      <c r="F940" s="9"/>
      <c r="G940" s="59"/>
      <c r="H940" s="9"/>
    </row>
    <row r="941">
      <c r="A941" s="9"/>
      <c r="B941" s="9"/>
      <c r="C941" s="9"/>
      <c r="D941" s="50"/>
      <c r="E941" s="9"/>
      <c r="F941" s="9"/>
      <c r="G941" s="59"/>
      <c r="H941" s="9"/>
    </row>
    <row r="942">
      <c r="A942" s="9"/>
      <c r="B942" s="9"/>
      <c r="C942" s="9"/>
      <c r="D942" s="50"/>
      <c r="E942" s="9"/>
      <c r="F942" s="9"/>
      <c r="G942" s="59"/>
      <c r="H942" s="9"/>
    </row>
    <row r="943">
      <c r="A943" s="9"/>
      <c r="B943" s="9"/>
      <c r="C943" s="9"/>
      <c r="D943" s="50"/>
      <c r="E943" s="9"/>
      <c r="F943" s="9"/>
      <c r="G943" s="59"/>
      <c r="H943" s="9"/>
    </row>
    <row r="944">
      <c r="A944" s="9"/>
      <c r="B944" s="9"/>
      <c r="C944" s="9"/>
      <c r="D944" s="50"/>
      <c r="E944" s="9"/>
      <c r="F944" s="9"/>
      <c r="G944" s="59"/>
      <c r="H944" s="9"/>
    </row>
    <row r="945">
      <c r="A945" s="9"/>
      <c r="B945" s="9"/>
      <c r="C945" s="9"/>
      <c r="D945" s="50"/>
      <c r="E945" s="9"/>
      <c r="F945" s="9"/>
      <c r="G945" s="59"/>
      <c r="H945" s="9"/>
    </row>
    <row r="946">
      <c r="A946" s="9"/>
      <c r="B946" s="9"/>
      <c r="C946" s="9"/>
      <c r="D946" s="50"/>
      <c r="E946" s="9"/>
      <c r="F946" s="9"/>
      <c r="G946" s="59"/>
      <c r="H946" s="9"/>
    </row>
    <row r="947">
      <c r="A947" s="9"/>
      <c r="B947" s="9"/>
      <c r="C947" s="9"/>
      <c r="D947" s="50"/>
      <c r="E947" s="9"/>
      <c r="F947" s="9"/>
      <c r="G947" s="59"/>
      <c r="H947" s="9"/>
    </row>
    <row r="948">
      <c r="A948" s="9"/>
      <c r="B948" s="9"/>
      <c r="C948" s="9"/>
      <c r="D948" s="50"/>
      <c r="E948" s="9"/>
      <c r="F948" s="9"/>
      <c r="G948" s="59"/>
      <c r="H948" s="9"/>
    </row>
    <row r="949">
      <c r="A949" s="9"/>
      <c r="B949" s="9"/>
      <c r="C949" s="9"/>
      <c r="D949" s="50"/>
      <c r="E949" s="9"/>
      <c r="F949" s="9"/>
      <c r="G949" s="59"/>
      <c r="H949" s="9"/>
    </row>
    <row r="950">
      <c r="A950" s="9"/>
      <c r="B950" s="9"/>
      <c r="C950" s="9"/>
      <c r="D950" s="50"/>
      <c r="E950" s="9"/>
      <c r="F950" s="9"/>
      <c r="G950" s="59"/>
      <c r="H950" s="9"/>
    </row>
    <row r="951">
      <c r="A951" s="9"/>
      <c r="B951" s="9"/>
      <c r="C951" s="9"/>
      <c r="D951" s="50"/>
      <c r="E951" s="9"/>
      <c r="F951" s="9"/>
      <c r="G951" s="59"/>
      <c r="H951" s="9"/>
    </row>
    <row r="952">
      <c r="A952" s="9"/>
      <c r="B952" s="9"/>
      <c r="C952" s="9"/>
      <c r="D952" s="50"/>
      <c r="E952" s="9"/>
      <c r="F952" s="9"/>
      <c r="G952" s="59"/>
      <c r="H952" s="9"/>
    </row>
    <row r="953">
      <c r="A953" s="9"/>
      <c r="B953" s="9"/>
      <c r="C953" s="9"/>
      <c r="D953" s="50"/>
      <c r="E953" s="9"/>
      <c r="F953" s="9"/>
      <c r="G953" s="59"/>
      <c r="H953" s="9"/>
    </row>
    <row r="954">
      <c r="A954" s="9"/>
      <c r="B954" s="9"/>
      <c r="C954" s="9"/>
      <c r="D954" s="50"/>
      <c r="E954" s="9"/>
      <c r="F954" s="9"/>
      <c r="G954" s="59"/>
      <c r="H954" s="9"/>
    </row>
    <row r="955">
      <c r="A955" s="9"/>
      <c r="B955" s="9"/>
      <c r="C955" s="9"/>
      <c r="D955" s="50"/>
      <c r="E955" s="9"/>
      <c r="F955" s="9"/>
      <c r="G955" s="59"/>
      <c r="H955" s="9"/>
    </row>
    <row r="956">
      <c r="A956" s="9"/>
      <c r="B956" s="9"/>
      <c r="C956" s="9"/>
      <c r="D956" s="50"/>
      <c r="E956" s="9"/>
      <c r="F956" s="9"/>
      <c r="G956" s="59"/>
      <c r="H956" s="9"/>
    </row>
    <row r="957">
      <c r="A957" s="9"/>
      <c r="B957" s="9"/>
      <c r="C957" s="9"/>
      <c r="D957" s="50"/>
      <c r="E957" s="9"/>
      <c r="F957" s="9"/>
      <c r="G957" s="59"/>
      <c r="H957" s="9"/>
    </row>
    <row r="958">
      <c r="A958" s="9"/>
      <c r="B958" s="9"/>
      <c r="C958" s="9"/>
      <c r="D958" s="50"/>
      <c r="E958" s="9"/>
      <c r="F958" s="9"/>
      <c r="G958" s="59"/>
      <c r="H958" s="9"/>
    </row>
    <row r="959">
      <c r="A959" s="9"/>
      <c r="B959" s="9"/>
      <c r="C959" s="9"/>
      <c r="D959" s="50"/>
      <c r="E959" s="9"/>
      <c r="F959" s="9"/>
      <c r="G959" s="59"/>
      <c r="H959" s="9"/>
    </row>
    <row r="960">
      <c r="A960" s="9"/>
      <c r="B960" s="9"/>
      <c r="C960" s="9"/>
      <c r="D960" s="50"/>
      <c r="E960" s="9"/>
      <c r="F960" s="9"/>
      <c r="G960" s="59"/>
      <c r="H960" s="9"/>
    </row>
    <row r="961">
      <c r="A961" s="9"/>
      <c r="B961" s="9"/>
      <c r="C961" s="9"/>
      <c r="D961" s="50"/>
      <c r="E961" s="9"/>
      <c r="F961" s="9"/>
      <c r="G961" s="59"/>
      <c r="H961" s="9"/>
    </row>
    <row r="962">
      <c r="A962" s="9"/>
      <c r="B962" s="9"/>
      <c r="C962" s="9"/>
      <c r="D962" s="50"/>
      <c r="E962" s="9"/>
      <c r="F962" s="9"/>
      <c r="G962" s="59"/>
      <c r="H962" s="9"/>
    </row>
    <row r="963">
      <c r="A963" s="9"/>
      <c r="B963" s="9"/>
      <c r="C963" s="9"/>
      <c r="D963" s="50"/>
      <c r="E963" s="9"/>
      <c r="F963" s="9"/>
      <c r="G963" s="59"/>
      <c r="H963" s="9"/>
    </row>
    <row r="964">
      <c r="A964" s="9"/>
      <c r="B964" s="9"/>
      <c r="C964" s="9"/>
      <c r="D964" s="50"/>
      <c r="E964" s="9"/>
      <c r="F964" s="9"/>
      <c r="G964" s="59"/>
      <c r="H964" s="9"/>
    </row>
    <row r="965">
      <c r="A965" s="9"/>
      <c r="B965" s="9"/>
      <c r="C965" s="9"/>
      <c r="D965" s="50"/>
      <c r="E965" s="9"/>
      <c r="F965" s="9"/>
      <c r="G965" s="59"/>
      <c r="H965" s="9"/>
    </row>
    <row r="966">
      <c r="A966" s="9"/>
      <c r="B966" s="9"/>
      <c r="C966" s="9"/>
      <c r="D966" s="50"/>
      <c r="E966" s="9"/>
      <c r="F966" s="9"/>
      <c r="G966" s="59"/>
      <c r="H966" s="9"/>
    </row>
    <row r="967">
      <c r="A967" s="9"/>
      <c r="B967" s="9"/>
      <c r="C967" s="9"/>
      <c r="D967" s="50"/>
      <c r="E967" s="9"/>
      <c r="F967" s="9"/>
      <c r="G967" s="59"/>
      <c r="H967" s="9"/>
    </row>
    <row r="968">
      <c r="A968" s="9"/>
      <c r="B968" s="9"/>
      <c r="C968" s="9"/>
      <c r="D968" s="50"/>
      <c r="E968" s="9"/>
      <c r="F968" s="9"/>
      <c r="G968" s="59"/>
      <c r="H968" s="9"/>
    </row>
    <row r="969">
      <c r="A969" s="9"/>
      <c r="B969" s="9"/>
      <c r="C969" s="9"/>
      <c r="D969" s="50"/>
      <c r="E969" s="9"/>
      <c r="F969" s="9"/>
      <c r="G969" s="59"/>
      <c r="H969" s="9"/>
    </row>
    <row r="970">
      <c r="A970" s="9"/>
      <c r="B970" s="9"/>
      <c r="C970" s="9"/>
      <c r="D970" s="50"/>
      <c r="E970" s="9"/>
      <c r="F970" s="9"/>
      <c r="G970" s="59"/>
      <c r="H970" s="9"/>
    </row>
    <row r="971">
      <c r="A971" s="9"/>
      <c r="B971" s="9"/>
      <c r="C971" s="9"/>
      <c r="D971" s="50"/>
      <c r="E971" s="9"/>
      <c r="F971" s="9"/>
      <c r="G971" s="59"/>
      <c r="H971" s="9"/>
    </row>
    <row r="972">
      <c r="A972" s="9"/>
      <c r="B972" s="9"/>
      <c r="C972" s="9"/>
      <c r="D972" s="50"/>
      <c r="E972" s="9"/>
      <c r="F972" s="9"/>
      <c r="G972" s="59"/>
      <c r="H972" s="9"/>
    </row>
    <row r="973">
      <c r="A973" s="9"/>
      <c r="B973" s="9"/>
      <c r="C973" s="9"/>
      <c r="D973" s="50"/>
      <c r="E973" s="9"/>
      <c r="F973" s="9"/>
      <c r="G973" s="59"/>
      <c r="H973" s="9"/>
    </row>
    <row r="974">
      <c r="A974" s="9"/>
      <c r="B974" s="9"/>
      <c r="C974" s="9"/>
      <c r="D974" s="50"/>
      <c r="E974" s="9"/>
      <c r="F974" s="9"/>
      <c r="G974" s="59"/>
      <c r="H974" s="9"/>
    </row>
    <row r="975">
      <c r="A975" s="9"/>
      <c r="B975" s="9"/>
      <c r="C975" s="9"/>
      <c r="D975" s="50"/>
      <c r="E975" s="9"/>
      <c r="F975" s="9"/>
      <c r="G975" s="59"/>
      <c r="H975" s="9"/>
    </row>
    <row r="976">
      <c r="A976" s="9"/>
      <c r="B976" s="9"/>
      <c r="C976" s="9"/>
      <c r="D976" s="50"/>
      <c r="E976" s="9"/>
      <c r="F976" s="9"/>
      <c r="G976" s="59"/>
      <c r="H976" s="9"/>
    </row>
    <row r="977">
      <c r="A977" s="9"/>
      <c r="B977" s="9"/>
      <c r="C977" s="9"/>
      <c r="D977" s="50"/>
      <c r="E977" s="9"/>
      <c r="F977" s="9"/>
      <c r="G977" s="59"/>
      <c r="H977" s="9"/>
    </row>
    <row r="978">
      <c r="A978" s="9"/>
      <c r="B978" s="9"/>
      <c r="C978" s="9"/>
      <c r="D978" s="50"/>
      <c r="E978" s="9"/>
      <c r="F978" s="9"/>
      <c r="G978" s="59"/>
      <c r="H978" s="9"/>
    </row>
    <row r="979">
      <c r="A979" s="9"/>
      <c r="B979" s="9"/>
      <c r="C979" s="9"/>
      <c r="D979" s="50"/>
      <c r="E979" s="9"/>
      <c r="F979" s="9"/>
      <c r="G979" s="59"/>
      <c r="H979" s="9"/>
    </row>
    <row r="980">
      <c r="A980" s="9"/>
      <c r="B980" s="9"/>
      <c r="C980" s="9"/>
      <c r="D980" s="50"/>
      <c r="E980" s="9"/>
      <c r="F980" s="9"/>
      <c r="G980" s="59"/>
      <c r="H980" s="9"/>
    </row>
    <row r="981">
      <c r="A981" s="9"/>
      <c r="B981" s="9"/>
      <c r="C981" s="9"/>
      <c r="D981" s="50"/>
      <c r="E981" s="9"/>
      <c r="F981" s="9"/>
      <c r="G981" s="59"/>
      <c r="H981" s="9"/>
    </row>
    <row r="982">
      <c r="A982" s="9"/>
      <c r="B982" s="9"/>
      <c r="C982" s="9"/>
      <c r="D982" s="50"/>
      <c r="E982" s="9"/>
      <c r="F982" s="9"/>
      <c r="G982" s="59"/>
      <c r="H982" s="9"/>
    </row>
    <row r="983">
      <c r="A983" s="9"/>
      <c r="B983" s="9"/>
      <c r="C983" s="9"/>
      <c r="D983" s="50"/>
      <c r="E983" s="9"/>
      <c r="F983" s="9"/>
      <c r="G983" s="59"/>
      <c r="H983" s="9"/>
    </row>
    <row r="984">
      <c r="A984" s="9"/>
      <c r="B984" s="9"/>
      <c r="C984" s="9"/>
      <c r="D984" s="50"/>
      <c r="E984" s="9"/>
      <c r="F984" s="9"/>
      <c r="G984" s="59"/>
      <c r="H984" s="9"/>
    </row>
    <row r="985">
      <c r="A985" s="9"/>
      <c r="B985" s="9"/>
      <c r="C985" s="9"/>
      <c r="D985" s="50"/>
      <c r="E985" s="9"/>
      <c r="F985" s="9"/>
      <c r="G985" s="59"/>
      <c r="H985" s="9"/>
    </row>
    <row r="986">
      <c r="A986" s="9"/>
      <c r="B986" s="9"/>
      <c r="C986" s="9"/>
      <c r="D986" s="50"/>
      <c r="E986" s="9"/>
      <c r="F986" s="9"/>
      <c r="G986" s="59"/>
      <c r="H986" s="9"/>
    </row>
    <row r="987">
      <c r="A987" s="9"/>
      <c r="B987" s="9"/>
      <c r="C987" s="9"/>
      <c r="D987" s="50"/>
      <c r="E987" s="9"/>
      <c r="F987" s="9"/>
      <c r="G987" s="59"/>
      <c r="H987" s="9"/>
    </row>
    <row r="988">
      <c r="A988" s="9"/>
      <c r="B988" s="9"/>
      <c r="C988" s="9"/>
      <c r="D988" s="50"/>
      <c r="E988" s="9"/>
      <c r="F988" s="9"/>
      <c r="G988" s="59"/>
      <c r="H988" s="9"/>
    </row>
    <row r="989">
      <c r="A989" s="9"/>
      <c r="B989" s="9"/>
      <c r="C989" s="9"/>
      <c r="D989" s="50"/>
      <c r="E989" s="9"/>
      <c r="F989" s="9"/>
      <c r="G989" s="59"/>
      <c r="H989" s="9"/>
    </row>
    <row r="990">
      <c r="A990" s="9"/>
      <c r="B990" s="9"/>
      <c r="C990" s="9"/>
      <c r="D990" s="50"/>
      <c r="E990" s="9"/>
      <c r="F990" s="9"/>
      <c r="G990" s="59"/>
      <c r="H990" s="9"/>
    </row>
    <row r="991">
      <c r="A991" s="9"/>
      <c r="B991" s="9"/>
      <c r="C991" s="9"/>
      <c r="D991" s="50"/>
      <c r="E991" s="9"/>
      <c r="F991" s="9"/>
      <c r="G991" s="59"/>
      <c r="H991" s="9"/>
    </row>
    <row r="992">
      <c r="A992" s="9"/>
      <c r="B992" s="9"/>
      <c r="C992" s="9"/>
      <c r="D992" s="50"/>
      <c r="E992" s="9"/>
      <c r="F992" s="9"/>
      <c r="G992" s="59"/>
      <c r="H992" s="9"/>
    </row>
    <row r="993">
      <c r="A993" s="9"/>
      <c r="B993" s="9"/>
      <c r="C993" s="9"/>
      <c r="D993" s="50"/>
      <c r="E993" s="9"/>
      <c r="F993" s="9"/>
      <c r="G993" s="59"/>
      <c r="H993" s="9"/>
    </row>
    <row r="994">
      <c r="A994" s="9"/>
      <c r="B994" s="9"/>
      <c r="C994" s="9"/>
      <c r="D994" s="50"/>
      <c r="E994" s="9"/>
      <c r="F994" s="9"/>
      <c r="G994" s="59"/>
      <c r="H994" s="9"/>
    </row>
    <row r="995">
      <c r="A995" s="9"/>
      <c r="B995" s="9"/>
      <c r="C995" s="9"/>
      <c r="D995" s="50"/>
      <c r="E995" s="9"/>
      <c r="F995" s="9"/>
      <c r="G995" s="59"/>
      <c r="H995" s="9"/>
    </row>
    <row r="996">
      <c r="A996" s="9"/>
      <c r="B996" s="9"/>
      <c r="C996" s="9"/>
      <c r="D996" s="50"/>
      <c r="E996" s="9"/>
      <c r="F996" s="9"/>
      <c r="G996" s="59"/>
      <c r="H996" s="9"/>
    </row>
    <row r="997">
      <c r="A997" s="9"/>
      <c r="B997" s="9"/>
      <c r="C997" s="9"/>
      <c r="D997" s="50"/>
      <c r="E997" s="9"/>
      <c r="F997" s="9"/>
      <c r="G997" s="59"/>
      <c r="H997" s="9"/>
    </row>
    <row r="998">
      <c r="A998" s="9"/>
      <c r="B998" s="9"/>
      <c r="C998" s="9"/>
      <c r="D998" s="50"/>
      <c r="E998" s="9"/>
      <c r="F998" s="9"/>
      <c r="G998" s="59"/>
      <c r="H998" s="9"/>
    </row>
    <row r="999">
      <c r="A999" s="9"/>
      <c r="B999" s="9"/>
      <c r="C999" s="9"/>
      <c r="D999" s="50"/>
      <c r="E999" s="9"/>
      <c r="F999" s="9"/>
      <c r="G999" s="59"/>
      <c r="H999" s="9"/>
    </row>
    <row r="1000">
      <c r="A1000" s="9"/>
      <c r="B1000" s="9"/>
      <c r="C1000" s="9"/>
      <c r="D1000" s="50"/>
      <c r="E1000" s="9"/>
      <c r="F1000" s="9"/>
      <c r="G1000" s="59"/>
      <c r="H1000" s="9"/>
    </row>
    <row r="1001">
      <c r="A1001" s="9"/>
      <c r="B1001" s="9"/>
      <c r="C1001" s="9"/>
      <c r="D1001" s="50"/>
      <c r="E1001" s="9"/>
      <c r="F1001" s="9"/>
      <c r="G1001" s="59"/>
      <c r="H1001" s="9"/>
    </row>
    <row r="1002">
      <c r="A1002" s="9"/>
      <c r="B1002" s="9"/>
      <c r="C1002" s="9"/>
      <c r="D1002" s="50"/>
      <c r="E1002" s="9"/>
      <c r="F1002" s="9"/>
      <c r="G1002" s="59"/>
      <c r="H1002" s="9"/>
    </row>
    <row r="1003">
      <c r="A1003" s="9"/>
      <c r="B1003" s="9"/>
      <c r="C1003" s="9"/>
      <c r="D1003" s="50"/>
      <c r="E1003" s="9"/>
      <c r="F1003" s="9"/>
      <c r="G1003" s="59"/>
      <c r="H1003" s="9"/>
    </row>
    <row r="1004">
      <c r="A1004" s="9"/>
      <c r="B1004" s="9"/>
      <c r="C1004" s="9"/>
      <c r="D1004" s="50"/>
      <c r="E1004" s="9"/>
      <c r="F1004" s="9"/>
      <c r="G1004" s="59"/>
      <c r="H1004" s="9"/>
    </row>
  </sheetData>
  <mergeCells count="3">
    <mergeCell ref="A1:F1"/>
    <mergeCell ref="A5:A6"/>
    <mergeCell ref="A9:J10"/>
  </mergeCells>
  <dataValidations>
    <dataValidation type="list" allowBlank="1" showErrorMessage="1" sqref="B3">
      <formula1>"⚙️ กำลังดำเนินการ,✅ จัดส่งเรียบร้อย"</formula1>
    </dataValidation>
    <dataValidation type="list" allowBlank="1" showErrorMessage="1" sqref="D3">
      <formula1>"ทีมสีเหลือง,ทีมสีฟ้า,MKT,BD"</formula1>
    </dataValidation>
    <dataValidation type="list" allowBlank="1" showErrorMessage="1" sqref="D15:D22">
      <formula1>Data!E4:E1004</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29.75"/>
    <col customWidth="1" min="3" max="3" width="37.25"/>
    <col customWidth="1" min="4" max="4" width="27.5"/>
    <col customWidth="1" min="5" max="5" width="24.63"/>
    <col customWidth="1" min="7" max="7" width="6.75"/>
  </cols>
  <sheetData>
    <row r="1">
      <c r="A1" s="92" t="s">
        <v>34</v>
      </c>
      <c r="G1" s="9"/>
      <c r="H1" s="9"/>
    </row>
    <row r="2">
      <c r="A2" s="60" t="s">
        <v>46</v>
      </c>
      <c r="B2" s="93">
        <v>46183.0</v>
      </c>
      <c r="C2" s="60" t="s">
        <v>47</v>
      </c>
      <c r="D2" s="62" t="s">
        <v>48</v>
      </c>
      <c r="E2" s="63" t="s">
        <v>49</v>
      </c>
      <c r="F2" s="9"/>
      <c r="G2" s="9"/>
      <c r="H2" s="9"/>
    </row>
    <row r="3">
      <c r="A3" s="60" t="s">
        <v>51</v>
      </c>
      <c r="B3" s="65" t="s">
        <v>27</v>
      </c>
      <c r="C3" s="66" t="s">
        <v>52</v>
      </c>
      <c r="D3" s="65" t="s">
        <v>53</v>
      </c>
      <c r="E3" s="67" t="s">
        <v>54</v>
      </c>
      <c r="F3" s="9"/>
      <c r="G3" s="9"/>
      <c r="H3" s="9"/>
    </row>
    <row r="4">
      <c r="A4" s="105"/>
      <c r="B4" s="65"/>
      <c r="C4" s="66"/>
      <c r="D4" s="65"/>
      <c r="E4" s="67"/>
      <c r="F4" s="9"/>
      <c r="G4" s="9"/>
      <c r="H4" s="9"/>
    </row>
    <row r="5">
      <c r="A5" s="70" t="s">
        <v>90</v>
      </c>
      <c r="B5" s="71" t="s">
        <v>58</v>
      </c>
      <c r="C5" s="72" t="s">
        <v>59</v>
      </c>
      <c r="D5" s="9"/>
      <c r="E5" s="9"/>
      <c r="F5" s="9"/>
      <c r="G5" s="9"/>
      <c r="H5" s="9"/>
    </row>
    <row r="6">
      <c r="B6" s="71" t="s">
        <v>60</v>
      </c>
      <c r="C6" s="72" t="s">
        <v>61</v>
      </c>
      <c r="D6" s="9"/>
      <c r="E6" s="9"/>
      <c r="F6" s="9"/>
      <c r="G6" s="9"/>
      <c r="H6" s="9"/>
    </row>
    <row r="7">
      <c r="A7" s="9"/>
      <c r="B7" s="106" t="s">
        <v>91</v>
      </c>
      <c r="C7" s="9"/>
      <c r="D7" s="9"/>
      <c r="E7" s="9"/>
      <c r="F7" s="9"/>
      <c r="G7" s="9"/>
      <c r="H7" s="9"/>
    </row>
    <row r="8">
      <c r="A8" s="9"/>
      <c r="B8" s="9"/>
      <c r="C8" s="9"/>
      <c r="D8" s="9"/>
      <c r="E8" s="9"/>
      <c r="F8" s="9"/>
      <c r="G8" s="9"/>
      <c r="H8" s="9"/>
    </row>
    <row r="9">
      <c r="A9" s="9"/>
      <c r="B9" s="9"/>
      <c r="C9" s="9"/>
      <c r="D9" s="9"/>
      <c r="E9" s="9"/>
      <c r="F9" s="9"/>
      <c r="G9" s="9"/>
      <c r="H9" s="9"/>
    </row>
    <row r="10">
      <c r="A10" s="107" t="s">
        <v>92</v>
      </c>
    </row>
    <row r="13">
      <c r="A13" s="9"/>
      <c r="B13" s="9"/>
      <c r="C13" s="9"/>
      <c r="D13" s="9"/>
      <c r="E13" s="9"/>
      <c r="F13" s="9"/>
      <c r="G13" s="9"/>
      <c r="H13" s="9"/>
    </row>
    <row r="14">
      <c r="A14" s="96" t="s">
        <v>55</v>
      </c>
      <c r="B14" s="101" t="s">
        <v>93</v>
      </c>
    </row>
    <row r="15">
      <c r="A15" s="97">
        <v>1351.0</v>
      </c>
      <c r="B15" s="98" t="s">
        <v>71</v>
      </c>
      <c r="C15" s="98" t="s">
        <v>72</v>
      </c>
      <c r="D15" s="98" t="s">
        <v>73</v>
      </c>
      <c r="E15" s="99" t="s">
        <v>74</v>
      </c>
      <c r="F15" s="98" t="s">
        <v>75</v>
      </c>
      <c r="G15" s="98" t="s">
        <v>76</v>
      </c>
      <c r="H15" s="98" t="s">
        <v>77</v>
      </c>
      <c r="I15" s="100" t="s">
        <v>81</v>
      </c>
    </row>
    <row r="16">
      <c r="A16" s="101">
        <v>1215.0</v>
      </c>
      <c r="B16" s="108" t="str">
        <f t="array" ref="B16">IFERROR(INDEX(Data!$A$4:$O949,MATCH(INDIRECT("D"&amp;ROW()),INDEX(Data!$A$4:$O949,0,MATCH("Item EN",Data!$A$3:$O$3,FALSE)),FALSE),MATCH("Image",Data!$A$3:$O$3,FALSE)),"")</f>
        <v/>
      </c>
      <c r="C16" s="83">
        <v>101022.0</v>
      </c>
      <c r="D16" s="109" t="s">
        <v>94</v>
      </c>
      <c r="E16" s="103"/>
      <c r="F16" s="83" t="s">
        <v>95</v>
      </c>
      <c r="G16" s="102">
        <v>1.0</v>
      </c>
      <c r="H16" s="110">
        <v>4.0</v>
      </c>
      <c r="I16" s="111" t="s">
        <v>96</v>
      </c>
    </row>
    <row r="17">
      <c r="A17" s="104">
        <v>1214.0</v>
      </c>
      <c r="B17" s="108" t="str">
        <f t="array" ref="B17">IFERROR(INDEX(Data!$A$4:$O949,MATCH(INDIRECT("D"&amp;ROW()),INDEX(Data!$A$4:$O949,0,MATCH("Item EN",Data!$A$3:$O$3,FALSE)),FALSE),MATCH("Image",Data!$A$3:$O$3,FALSE)),"")</f>
        <v/>
      </c>
      <c r="C17" s="83">
        <v>400100.0</v>
      </c>
      <c r="D17" s="109" t="s">
        <v>97</v>
      </c>
      <c r="E17" s="103"/>
      <c r="F17" s="83" t="s">
        <v>98</v>
      </c>
      <c r="G17" s="102">
        <v>2.0</v>
      </c>
      <c r="H17" s="110">
        <v>3.0</v>
      </c>
      <c r="I17" s="111" t="s">
        <v>99</v>
      </c>
    </row>
    <row r="18">
      <c r="A18" s="104">
        <v>1183.0</v>
      </c>
      <c r="B18" s="108" t="str">
        <f t="array" ref="B18">IFERROR(INDEX(Data!$A$4:$O949,MATCH(INDIRECT("D"&amp;ROW()),INDEX(Data!$A$4:$O949,0,MATCH("Item EN",Data!$A$3:$O$3,FALSE)),FALSE),MATCH("Image",Data!$A$3:$O$3,FALSE)),"")</f>
        <v/>
      </c>
      <c r="C18" s="83">
        <v>101336.0</v>
      </c>
      <c r="D18" s="109" t="s">
        <v>83</v>
      </c>
      <c r="E18" s="103"/>
      <c r="F18" s="83" t="s">
        <v>95</v>
      </c>
      <c r="G18" s="102">
        <v>1.0</v>
      </c>
      <c r="H18" s="110">
        <v>1.5</v>
      </c>
      <c r="I18" s="111" t="s">
        <v>100</v>
      </c>
    </row>
    <row r="19">
      <c r="A19" s="104">
        <v>1210.0</v>
      </c>
      <c r="B19" s="108" t="str">
        <f t="array" ref="B19">IFERROR(INDEX(Data!$A$4:$O949,MATCH(INDIRECT("D"&amp;ROW()),INDEX(Data!$A$4:$O949,0,MATCH("Item EN",Data!$A$3:$O$3,FALSE)),FALSE),MATCH("Image",Data!$A$3:$O$3,FALSE)),"")</f>
        <v/>
      </c>
      <c r="C19" s="83">
        <v>20006.0</v>
      </c>
      <c r="D19" s="109" t="s">
        <v>101</v>
      </c>
      <c r="E19" s="103"/>
      <c r="F19" s="83" t="s">
        <v>102</v>
      </c>
      <c r="G19" s="102">
        <v>1.0</v>
      </c>
      <c r="H19" s="110">
        <v>1.5</v>
      </c>
      <c r="I19" s="111" t="s">
        <v>103</v>
      </c>
    </row>
    <row r="20">
      <c r="A20" s="104">
        <v>1208.0</v>
      </c>
      <c r="B20" s="108" t="str">
        <f t="array" ref="B20">IFERROR(INDEX(Data!$A$4:$O949,MATCH(INDIRECT("D"&amp;ROW()),INDEX(Data!$A$4:$O949,0,MATCH("Item EN",Data!$A$3:$O$3,FALSE)),FALSE),MATCH("Image",Data!$A$3:$O$3,FALSE)),"")</f>
        <v/>
      </c>
      <c r="C20" s="83">
        <v>20015.0</v>
      </c>
      <c r="D20" s="109" t="s">
        <v>85</v>
      </c>
      <c r="E20" s="103"/>
      <c r="F20" s="83" t="s">
        <v>102</v>
      </c>
      <c r="G20" s="102">
        <v>1.0</v>
      </c>
      <c r="H20" s="110">
        <v>1.5</v>
      </c>
      <c r="I20" s="111" t="s">
        <v>104</v>
      </c>
    </row>
    <row r="21">
      <c r="A21" s="104">
        <v>1212.0</v>
      </c>
      <c r="B21" s="108" t="str">
        <f t="array" ref="B21">IFERROR(INDEX(Data!$A$4:$O949,MATCH(INDIRECT("D"&amp;ROW()),INDEX(Data!$A$4:$O949,0,MATCH("Item EN",Data!$A$3:$O$3,FALSE)),FALSE),MATCH("Image",Data!$A$3:$O$3,FALSE)),"")</f>
        <v/>
      </c>
      <c r="C21" s="83">
        <v>101262.0</v>
      </c>
      <c r="D21" s="109" t="s">
        <v>87</v>
      </c>
      <c r="E21" s="103"/>
      <c r="F21" s="83" t="s">
        <v>105</v>
      </c>
      <c r="G21" s="102">
        <v>3.0</v>
      </c>
      <c r="H21" s="110">
        <v>2.4</v>
      </c>
      <c r="I21" s="111" t="s">
        <v>106</v>
      </c>
    </row>
    <row r="22">
      <c r="A22" s="104"/>
      <c r="B22" s="108"/>
      <c r="C22" s="108"/>
      <c r="D22" s="112"/>
      <c r="E22" s="103"/>
      <c r="F22" s="108"/>
      <c r="G22" s="102" t="s">
        <v>107</v>
      </c>
      <c r="H22" s="110">
        <v>13.9</v>
      </c>
      <c r="I22" s="108"/>
    </row>
    <row r="24">
      <c r="A24" s="9"/>
      <c r="B24" s="9"/>
      <c r="C24" s="9"/>
      <c r="D24" s="9"/>
      <c r="E24" s="9"/>
      <c r="F24" s="9"/>
      <c r="G24" s="59"/>
      <c r="H24" s="9"/>
    </row>
    <row r="25">
      <c r="A25" s="9"/>
      <c r="B25" s="9"/>
      <c r="C25" s="9"/>
      <c r="D25" s="9"/>
      <c r="E25" s="9"/>
      <c r="F25" s="9"/>
      <c r="G25" s="59"/>
      <c r="H25" s="9"/>
    </row>
    <row r="26">
      <c r="A26" s="9"/>
      <c r="B26" s="9"/>
      <c r="C26" s="9"/>
      <c r="D26" s="9"/>
      <c r="E26" s="9"/>
      <c r="F26" s="9"/>
      <c r="G26" s="59"/>
      <c r="H26" s="9"/>
    </row>
    <row r="27">
      <c r="A27" s="9"/>
      <c r="B27" s="9"/>
      <c r="C27" s="9"/>
      <c r="D27" s="9"/>
      <c r="E27" s="9"/>
      <c r="F27" s="9"/>
      <c r="G27" s="59"/>
      <c r="H27" s="9"/>
    </row>
    <row r="28">
      <c r="A28" s="9"/>
      <c r="B28" s="9"/>
      <c r="C28" s="9"/>
      <c r="D28" s="9"/>
      <c r="E28" s="9"/>
      <c r="F28" s="9"/>
      <c r="G28" s="59"/>
      <c r="H28" s="9"/>
    </row>
    <row r="29">
      <c r="A29" s="9"/>
      <c r="B29" s="9"/>
      <c r="C29" s="9"/>
      <c r="D29" s="9"/>
      <c r="E29" s="9"/>
      <c r="F29" s="9"/>
      <c r="G29" s="59"/>
      <c r="H29" s="9"/>
    </row>
    <row r="30">
      <c r="A30" s="9"/>
      <c r="B30" s="9"/>
      <c r="C30" s="9"/>
      <c r="D30" s="9"/>
      <c r="E30" s="9"/>
      <c r="F30" s="9"/>
      <c r="G30" s="59"/>
      <c r="H30" s="9"/>
    </row>
    <row r="31">
      <c r="A31" s="9"/>
      <c r="B31" s="9"/>
      <c r="C31" s="9"/>
      <c r="D31" s="9"/>
      <c r="E31" s="9"/>
      <c r="F31" s="9"/>
      <c r="G31" s="59"/>
      <c r="H31" s="9"/>
    </row>
    <row r="32">
      <c r="A32" s="9"/>
      <c r="B32" s="9"/>
      <c r="C32" s="9"/>
      <c r="D32" s="9"/>
      <c r="E32" s="9"/>
      <c r="F32" s="9"/>
      <c r="G32" s="59"/>
      <c r="H32" s="9"/>
    </row>
    <row r="33">
      <c r="A33" s="9"/>
      <c r="B33" s="9"/>
      <c r="C33" s="9"/>
      <c r="D33" s="9"/>
      <c r="E33" s="9"/>
      <c r="F33" s="9"/>
      <c r="G33" s="59"/>
      <c r="H33" s="9"/>
    </row>
    <row r="34">
      <c r="A34" s="9"/>
      <c r="B34" s="9"/>
      <c r="C34" s="9"/>
      <c r="D34" s="9"/>
      <c r="E34" s="9"/>
      <c r="F34" s="9"/>
      <c r="G34" s="59"/>
      <c r="H34" s="9"/>
    </row>
    <row r="35">
      <c r="A35" s="9"/>
      <c r="B35" s="9"/>
      <c r="C35" s="9"/>
      <c r="D35" s="9"/>
      <c r="E35" s="9"/>
      <c r="F35" s="9"/>
      <c r="G35" s="59"/>
      <c r="H35" s="9"/>
    </row>
    <row r="36">
      <c r="A36" s="9"/>
      <c r="B36" s="9"/>
      <c r="C36" s="9"/>
      <c r="D36" s="9"/>
      <c r="E36" s="9"/>
      <c r="F36" s="9"/>
      <c r="G36" s="59"/>
      <c r="H36" s="9"/>
    </row>
    <row r="37">
      <c r="A37" s="9"/>
      <c r="B37" s="9"/>
      <c r="C37" s="9"/>
      <c r="D37" s="9"/>
      <c r="E37" s="9"/>
      <c r="F37" s="9"/>
      <c r="G37" s="59"/>
      <c r="H37" s="9"/>
    </row>
    <row r="38">
      <c r="A38" s="9"/>
      <c r="B38" s="9"/>
      <c r="C38" s="9"/>
      <c r="D38" s="9"/>
      <c r="E38" s="9"/>
      <c r="F38" s="9"/>
      <c r="G38" s="59"/>
      <c r="H38" s="9"/>
    </row>
    <row r="39">
      <c r="A39" s="9"/>
      <c r="B39" s="9"/>
      <c r="C39" s="9"/>
      <c r="D39" s="9"/>
      <c r="E39" s="9"/>
      <c r="F39" s="9"/>
      <c r="G39" s="59"/>
      <c r="H39" s="9"/>
    </row>
    <row r="40">
      <c r="A40" s="9"/>
      <c r="B40" s="9"/>
      <c r="C40" s="9"/>
      <c r="D40" s="9"/>
      <c r="E40" s="9"/>
      <c r="F40" s="9"/>
      <c r="G40" s="59"/>
      <c r="H40" s="9"/>
    </row>
    <row r="41">
      <c r="A41" s="9"/>
      <c r="B41" s="9"/>
      <c r="C41" s="9"/>
      <c r="D41" s="9"/>
      <c r="E41" s="9"/>
      <c r="F41" s="9"/>
      <c r="G41" s="59"/>
      <c r="H41" s="9"/>
    </row>
    <row r="42">
      <c r="A42" s="9"/>
      <c r="B42" s="9"/>
      <c r="C42" s="9"/>
      <c r="D42" s="9"/>
      <c r="E42" s="9"/>
      <c r="F42" s="9"/>
      <c r="G42" s="59"/>
      <c r="H42" s="9"/>
    </row>
    <row r="43">
      <c r="A43" s="9"/>
      <c r="B43" s="9"/>
      <c r="C43" s="9"/>
      <c r="D43" s="9"/>
      <c r="E43" s="9"/>
      <c r="F43" s="9"/>
      <c r="G43" s="59"/>
      <c r="H43" s="9"/>
    </row>
    <row r="44">
      <c r="A44" s="9"/>
      <c r="B44" s="9"/>
      <c r="C44" s="9"/>
      <c r="D44" s="9"/>
      <c r="E44" s="9"/>
      <c r="F44" s="9"/>
      <c r="G44" s="59"/>
      <c r="H44" s="9"/>
    </row>
    <row r="45">
      <c r="A45" s="9"/>
      <c r="B45" s="9"/>
      <c r="C45" s="9"/>
      <c r="D45" s="9"/>
      <c r="E45" s="9"/>
      <c r="F45" s="9"/>
      <c r="G45" s="59"/>
      <c r="H45" s="9"/>
    </row>
    <row r="46">
      <c r="A46" s="9"/>
      <c r="B46" s="9"/>
      <c r="C46" s="9"/>
      <c r="D46" s="9"/>
      <c r="E46" s="9"/>
      <c r="F46" s="9"/>
      <c r="G46" s="59"/>
      <c r="H46" s="9"/>
    </row>
    <row r="47">
      <c r="A47" s="9"/>
      <c r="B47" s="9"/>
      <c r="C47" s="9"/>
      <c r="D47" s="9"/>
      <c r="E47" s="9"/>
      <c r="F47" s="9"/>
      <c r="G47" s="59"/>
      <c r="H47" s="9"/>
    </row>
    <row r="48">
      <c r="A48" s="9"/>
      <c r="B48" s="9"/>
      <c r="C48" s="9"/>
      <c r="D48" s="9"/>
      <c r="E48" s="9"/>
      <c r="F48" s="9"/>
      <c r="G48" s="59"/>
      <c r="H48" s="9"/>
    </row>
    <row r="49">
      <c r="A49" s="9"/>
      <c r="B49" s="9"/>
      <c r="C49" s="9"/>
      <c r="D49" s="9"/>
      <c r="E49" s="9"/>
      <c r="F49" s="9"/>
      <c r="G49" s="59"/>
      <c r="H49" s="9"/>
    </row>
    <row r="50">
      <c r="A50" s="9"/>
      <c r="B50" s="9"/>
      <c r="C50" s="9"/>
      <c r="D50" s="9"/>
      <c r="E50" s="9"/>
      <c r="F50" s="9"/>
      <c r="G50" s="59"/>
      <c r="H50" s="9"/>
    </row>
    <row r="51">
      <c r="A51" s="9"/>
      <c r="B51" s="9"/>
      <c r="C51" s="9"/>
      <c r="D51" s="9"/>
      <c r="E51" s="9"/>
      <c r="F51" s="9"/>
      <c r="G51" s="59"/>
      <c r="H51" s="9"/>
    </row>
    <row r="52">
      <c r="A52" s="9"/>
      <c r="B52" s="9"/>
      <c r="C52" s="9"/>
      <c r="D52" s="9"/>
      <c r="E52" s="9"/>
      <c r="F52" s="9"/>
      <c r="G52" s="59"/>
      <c r="H52" s="9"/>
    </row>
    <row r="53">
      <c r="A53" s="9"/>
      <c r="B53" s="9"/>
      <c r="C53" s="9"/>
      <c r="D53" s="9"/>
      <c r="E53" s="9"/>
      <c r="F53" s="9"/>
      <c r="G53" s="59"/>
      <c r="H53" s="9"/>
    </row>
    <row r="54">
      <c r="A54" s="9"/>
      <c r="B54" s="9"/>
      <c r="C54" s="9"/>
      <c r="D54" s="9"/>
      <c r="E54" s="9"/>
      <c r="F54" s="9"/>
      <c r="G54" s="59"/>
      <c r="H54" s="9"/>
    </row>
    <row r="55">
      <c r="A55" s="9"/>
      <c r="B55" s="9"/>
      <c r="C55" s="9"/>
      <c r="D55" s="9"/>
      <c r="E55" s="9"/>
      <c r="F55" s="9"/>
      <c r="G55" s="59"/>
      <c r="H55" s="9"/>
    </row>
    <row r="56">
      <c r="A56" s="9"/>
      <c r="B56" s="9"/>
      <c r="C56" s="9"/>
      <c r="D56" s="9"/>
      <c r="E56" s="9"/>
      <c r="F56" s="9"/>
      <c r="G56" s="59"/>
      <c r="H56" s="9"/>
    </row>
    <row r="57">
      <c r="A57" s="9"/>
      <c r="B57" s="9"/>
      <c r="C57" s="9"/>
      <c r="D57" s="9"/>
      <c r="E57" s="9"/>
      <c r="F57" s="9"/>
      <c r="G57" s="59"/>
      <c r="H57" s="9"/>
    </row>
    <row r="58">
      <c r="A58" s="9"/>
      <c r="B58" s="9"/>
      <c r="C58" s="9"/>
      <c r="D58" s="9"/>
      <c r="E58" s="9"/>
      <c r="F58" s="9"/>
      <c r="G58" s="59"/>
      <c r="H58" s="9"/>
    </row>
    <row r="59">
      <c r="A59" s="9"/>
      <c r="B59" s="9"/>
      <c r="C59" s="9"/>
      <c r="D59" s="9"/>
      <c r="E59" s="9"/>
      <c r="F59" s="9"/>
      <c r="G59" s="59"/>
      <c r="H59" s="9"/>
    </row>
    <row r="60">
      <c r="A60" s="9"/>
      <c r="B60" s="9"/>
      <c r="C60" s="9"/>
      <c r="D60" s="9"/>
      <c r="E60" s="9"/>
      <c r="F60" s="9"/>
      <c r="G60" s="59"/>
      <c r="H60" s="9"/>
    </row>
    <row r="61">
      <c r="A61" s="9"/>
      <c r="B61" s="9"/>
      <c r="C61" s="9"/>
      <c r="D61" s="9"/>
      <c r="E61" s="9"/>
      <c r="F61" s="9"/>
      <c r="G61" s="59"/>
      <c r="H61" s="9"/>
    </row>
    <row r="62">
      <c r="A62" s="9"/>
      <c r="B62" s="9"/>
      <c r="C62" s="9"/>
      <c r="D62" s="9"/>
      <c r="E62" s="9"/>
      <c r="F62" s="9"/>
      <c r="G62" s="59"/>
      <c r="H62" s="9"/>
    </row>
    <row r="63">
      <c r="A63" s="9"/>
      <c r="B63" s="9"/>
      <c r="C63" s="9"/>
      <c r="D63" s="9"/>
      <c r="E63" s="9"/>
      <c r="F63" s="9"/>
      <c r="G63" s="59"/>
      <c r="H63" s="9"/>
    </row>
    <row r="64">
      <c r="A64" s="9"/>
      <c r="B64" s="9"/>
      <c r="C64" s="9"/>
      <c r="D64" s="9"/>
      <c r="E64" s="9"/>
      <c r="F64" s="9"/>
      <c r="G64" s="59"/>
      <c r="H64" s="9"/>
    </row>
    <row r="65">
      <c r="A65" s="9"/>
      <c r="B65" s="9"/>
      <c r="C65" s="9"/>
      <c r="D65" s="9"/>
      <c r="E65" s="9"/>
      <c r="F65" s="9"/>
      <c r="G65" s="59"/>
      <c r="H65" s="9"/>
    </row>
    <row r="66">
      <c r="A66" s="9"/>
      <c r="B66" s="9"/>
      <c r="C66" s="9"/>
      <c r="D66" s="9"/>
      <c r="E66" s="9"/>
      <c r="F66" s="9"/>
      <c r="G66" s="59"/>
      <c r="H66" s="9"/>
    </row>
    <row r="67">
      <c r="A67" s="9"/>
      <c r="B67" s="9"/>
      <c r="C67" s="9"/>
      <c r="D67" s="9"/>
      <c r="E67" s="9"/>
      <c r="F67" s="9"/>
      <c r="G67" s="59"/>
      <c r="H67" s="9"/>
    </row>
    <row r="68">
      <c r="A68" s="9"/>
      <c r="B68" s="9"/>
      <c r="C68" s="9"/>
      <c r="D68" s="9"/>
      <c r="E68" s="9"/>
      <c r="F68" s="9"/>
      <c r="G68" s="59"/>
      <c r="H68" s="9"/>
    </row>
    <row r="69">
      <c r="A69" s="9"/>
      <c r="B69" s="9"/>
      <c r="C69" s="9"/>
      <c r="D69" s="9"/>
      <c r="E69" s="9"/>
      <c r="F69" s="9"/>
      <c r="G69" s="59"/>
      <c r="H69" s="9"/>
    </row>
    <row r="70">
      <c r="A70" s="9"/>
      <c r="B70" s="9"/>
      <c r="C70" s="9"/>
      <c r="D70" s="9"/>
      <c r="E70" s="9"/>
      <c r="F70" s="9"/>
      <c r="G70" s="59"/>
      <c r="H70" s="9"/>
    </row>
    <row r="71">
      <c r="A71" s="9"/>
      <c r="B71" s="9"/>
      <c r="C71" s="9"/>
      <c r="D71" s="9"/>
      <c r="E71" s="9"/>
      <c r="F71" s="9"/>
      <c r="G71" s="59"/>
      <c r="H71" s="9"/>
    </row>
    <row r="72">
      <c r="A72" s="9"/>
      <c r="B72" s="9"/>
      <c r="C72" s="9"/>
      <c r="D72" s="9"/>
      <c r="E72" s="9"/>
      <c r="F72" s="9"/>
      <c r="G72" s="59"/>
      <c r="H72" s="9"/>
    </row>
    <row r="73">
      <c r="A73" s="9"/>
      <c r="B73" s="9"/>
      <c r="C73" s="9"/>
      <c r="D73" s="9"/>
      <c r="E73" s="9"/>
      <c r="F73" s="9"/>
      <c r="G73" s="59"/>
      <c r="H73" s="9"/>
    </row>
    <row r="74">
      <c r="A74" s="9"/>
      <c r="B74" s="9"/>
      <c r="C74" s="9"/>
      <c r="D74" s="9"/>
      <c r="E74" s="9"/>
      <c r="F74" s="9"/>
      <c r="G74" s="59"/>
      <c r="H74" s="9"/>
    </row>
    <row r="75">
      <c r="A75" s="9"/>
      <c r="B75" s="9"/>
      <c r="C75" s="9"/>
      <c r="D75" s="9"/>
      <c r="E75" s="9"/>
      <c r="F75" s="9"/>
      <c r="G75" s="59"/>
      <c r="H75" s="9"/>
    </row>
    <row r="76">
      <c r="A76" s="9"/>
      <c r="B76" s="9"/>
      <c r="C76" s="9"/>
      <c r="D76" s="9"/>
      <c r="E76" s="9"/>
      <c r="F76" s="9"/>
      <c r="G76" s="59"/>
      <c r="H76" s="9"/>
    </row>
    <row r="77">
      <c r="A77" s="9"/>
      <c r="B77" s="9"/>
      <c r="C77" s="9"/>
      <c r="D77" s="9"/>
      <c r="E77" s="9"/>
      <c r="F77" s="9"/>
      <c r="G77" s="59"/>
      <c r="H77" s="9"/>
    </row>
    <row r="78">
      <c r="A78" s="9"/>
      <c r="B78" s="9"/>
      <c r="C78" s="9"/>
      <c r="D78" s="9"/>
      <c r="E78" s="9"/>
      <c r="F78" s="9"/>
      <c r="G78" s="59"/>
      <c r="H78" s="9"/>
    </row>
    <row r="79">
      <c r="A79" s="9"/>
      <c r="B79" s="9"/>
      <c r="C79" s="9"/>
      <c r="D79" s="9"/>
      <c r="E79" s="9"/>
      <c r="F79" s="9"/>
      <c r="G79" s="59"/>
      <c r="H79" s="9"/>
    </row>
    <row r="80">
      <c r="A80" s="9"/>
      <c r="B80" s="9"/>
      <c r="C80" s="9"/>
      <c r="D80" s="9"/>
      <c r="E80" s="9"/>
      <c r="F80" s="9"/>
      <c r="G80" s="59"/>
      <c r="H80" s="9"/>
    </row>
    <row r="81">
      <c r="A81" s="9"/>
      <c r="B81" s="9"/>
      <c r="C81" s="9"/>
      <c r="D81" s="9"/>
      <c r="E81" s="9"/>
      <c r="F81" s="9"/>
      <c r="G81" s="59"/>
      <c r="H81" s="9"/>
    </row>
    <row r="82">
      <c r="A82" s="9"/>
      <c r="B82" s="9"/>
      <c r="C82" s="9"/>
      <c r="D82" s="9"/>
      <c r="E82" s="9"/>
      <c r="F82" s="9"/>
      <c r="G82" s="59"/>
      <c r="H82" s="9"/>
    </row>
    <row r="83">
      <c r="A83" s="9"/>
      <c r="B83" s="9"/>
      <c r="C83" s="9"/>
      <c r="D83" s="9"/>
      <c r="E83" s="9"/>
      <c r="F83" s="9"/>
      <c r="G83" s="59"/>
      <c r="H83" s="9"/>
    </row>
    <row r="84">
      <c r="A84" s="9"/>
      <c r="B84" s="9"/>
      <c r="C84" s="9"/>
      <c r="D84" s="9"/>
      <c r="E84" s="9"/>
      <c r="F84" s="9"/>
      <c r="G84" s="59"/>
      <c r="H84" s="9"/>
    </row>
    <row r="85">
      <c r="A85" s="9"/>
      <c r="B85" s="9"/>
      <c r="C85" s="9"/>
      <c r="D85" s="9"/>
      <c r="E85" s="9"/>
      <c r="F85" s="9"/>
      <c r="G85" s="59"/>
      <c r="H85" s="9"/>
    </row>
    <row r="86">
      <c r="A86" s="9"/>
      <c r="B86" s="9"/>
      <c r="C86" s="9"/>
      <c r="D86" s="9"/>
      <c r="E86" s="9"/>
      <c r="F86" s="9"/>
      <c r="G86" s="59"/>
      <c r="H86" s="9"/>
    </row>
    <row r="87">
      <c r="A87" s="9"/>
      <c r="B87" s="9"/>
      <c r="C87" s="9"/>
      <c r="D87" s="9"/>
      <c r="E87" s="9"/>
      <c r="F87" s="9"/>
      <c r="G87" s="59"/>
      <c r="H87" s="9"/>
    </row>
    <row r="88">
      <c r="A88" s="9"/>
      <c r="B88" s="9"/>
      <c r="C88" s="9"/>
      <c r="D88" s="9"/>
      <c r="E88" s="9"/>
      <c r="F88" s="9"/>
      <c r="G88" s="59"/>
      <c r="H88" s="9"/>
    </row>
    <row r="89">
      <c r="A89" s="9"/>
      <c r="B89" s="9"/>
      <c r="C89" s="9"/>
      <c r="D89" s="9"/>
      <c r="E89" s="9"/>
      <c r="F89" s="9"/>
      <c r="G89" s="59"/>
      <c r="H89" s="9"/>
    </row>
    <row r="90">
      <c r="A90" s="9"/>
      <c r="B90" s="9"/>
      <c r="C90" s="9"/>
      <c r="D90" s="9"/>
      <c r="E90" s="9"/>
      <c r="F90" s="9"/>
      <c r="G90" s="59"/>
      <c r="H90" s="9"/>
    </row>
    <row r="91">
      <c r="A91" s="9"/>
      <c r="B91" s="9"/>
      <c r="C91" s="9"/>
      <c r="D91" s="9"/>
      <c r="E91" s="9"/>
      <c r="F91" s="9"/>
      <c r="G91" s="59"/>
      <c r="H91" s="9"/>
    </row>
    <row r="92">
      <c r="A92" s="9"/>
      <c r="B92" s="9"/>
      <c r="C92" s="9"/>
      <c r="D92" s="9"/>
      <c r="E92" s="9"/>
      <c r="F92" s="9"/>
      <c r="G92" s="59"/>
      <c r="H92" s="9"/>
    </row>
    <row r="93">
      <c r="A93" s="9"/>
      <c r="B93" s="9"/>
      <c r="C93" s="9"/>
      <c r="D93" s="9"/>
      <c r="E93" s="9"/>
      <c r="F93" s="9"/>
      <c r="G93" s="59"/>
      <c r="H93" s="9"/>
    </row>
    <row r="94">
      <c r="A94" s="9"/>
      <c r="B94" s="9"/>
      <c r="C94" s="9"/>
      <c r="D94" s="9"/>
      <c r="E94" s="9"/>
      <c r="F94" s="9"/>
      <c r="G94" s="59"/>
      <c r="H94" s="9"/>
    </row>
    <row r="95">
      <c r="A95" s="9"/>
      <c r="B95" s="9"/>
      <c r="C95" s="9"/>
      <c r="D95" s="9"/>
      <c r="E95" s="9"/>
      <c r="F95" s="9"/>
      <c r="G95" s="59"/>
      <c r="H95" s="9"/>
    </row>
    <row r="96">
      <c r="A96" s="9"/>
      <c r="B96" s="9"/>
      <c r="C96" s="9"/>
      <c r="D96" s="9"/>
      <c r="E96" s="9"/>
      <c r="F96" s="9"/>
      <c r="G96" s="59"/>
      <c r="H96" s="9"/>
    </row>
    <row r="97">
      <c r="A97" s="9"/>
      <c r="B97" s="9"/>
      <c r="C97" s="9"/>
      <c r="D97" s="9"/>
      <c r="E97" s="9"/>
      <c r="F97" s="9"/>
      <c r="G97" s="59"/>
      <c r="H97" s="9"/>
    </row>
    <row r="98">
      <c r="A98" s="9"/>
      <c r="B98" s="9"/>
      <c r="C98" s="9"/>
      <c r="D98" s="9"/>
      <c r="E98" s="9"/>
      <c r="F98" s="9"/>
      <c r="G98" s="59"/>
      <c r="H98" s="9"/>
    </row>
    <row r="99">
      <c r="A99" s="9"/>
      <c r="B99" s="9"/>
      <c r="C99" s="9"/>
      <c r="D99" s="9"/>
      <c r="E99" s="9"/>
      <c r="F99" s="9"/>
      <c r="G99" s="59"/>
      <c r="H99" s="9"/>
    </row>
    <row r="100">
      <c r="A100" s="9"/>
      <c r="B100" s="9"/>
      <c r="C100" s="9"/>
      <c r="D100" s="9"/>
      <c r="E100" s="9"/>
      <c r="F100" s="9"/>
      <c r="G100" s="59"/>
      <c r="H100" s="9"/>
    </row>
    <row r="101">
      <c r="A101" s="9"/>
      <c r="B101" s="9"/>
      <c r="C101" s="9"/>
      <c r="D101" s="9"/>
      <c r="E101" s="9"/>
      <c r="F101" s="9"/>
      <c r="G101" s="59"/>
      <c r="H101" s="9"/>
    </row>
    <row r="102">
      <c r="A102" s="9"/>
      <c r="B102" s="9"/>
      <c r="C102" s="9"/>
      <c r="D102" s="9"/>
      <c r="E102" s="9"/>
      <c r="F102" s="9"/>
      <c r="G102" s="59"/>
      <c r="H102" s="9"/>
    </row>
    <row r="103">
      <c r="A103" s="9"/>
      <c r="B103" s="9"/>
      <c r="C103" s="9"/>
      <c r="D103" s="9"/>
      <c r="E103" s="9"/>
      <c r="F103" s="9"/>
      <c r="G103" s="59"/>
      <c r="H103" s="9"/>
    </row>
    <row r="104">
      <c r="A104" s="9"/>
      <c r="B104" s="9"/>
      <c r="C104" s="9"/>
      <c r="D104" s="9"/>
      <c r="E104" s="9"/>
      <c r="F104" s="9"/>
      <c r="G104" s="59"/>
      <c r="H104" s="9"/>
    </row>
    <row r="105">
      <c r="A105" s="9"/>
      <c r="B105" s="9"/>
      <c r="C105" s="9"/>
      <c r="D105" s="9"/>
      <c r="E105" s="9"/>
      <c r="F105" s="9"/>
      <c r="G105" s="59"/>
      <c r="H105" s="9"/>
    </row>
    <row r="106">
      <c r="A106" s="9"/>
      <c r="B106" s="9"/>
      <c r="C106" s="9"/>
      <c r="D106" s="9"/>
      <c r="E106" s="9"/>
      <c r="F106" s="9"/>
      <c r="G106" s="59"/>
      <c r="H106" s="9"/>
    </row>
    <row r="107">
      <c r="A107" s="9"/>
      <c r="B107" s="9"/>
      <c r="C107" s="9"/>
      <c r="D107" s="9"/>
      <c r="E107" s="9"/>
      <c r="F107" s="9"/>
      <c r="G107" s="59"/>
      <c r="H107" s="9"/>
    </row>
    <row r="108">
      <c r="A108" s="9"/>
      <c r="B108" s="9"/>
      <c r="C108" s="9"/>
      <c r="D108" s="9"/>
      <c r="E108" s="9"/>
      <c r="F108" s="9"/>
      <c r="G108" s="59"/>
      <c r="H108" s="9"/>
    </row>
    <row r="109">
      <c r="A109" s="9"/>
      <c r="B109" s="9"/>
      <c r="C109" s="9"/>
      <c r="D109" s="9"/>
      <c r="E109" s="9"/>
      <c r="F109" s="9"/>
      <c r="G109" s="59"/>
      <c r="H109" s="9"/>
    </row>
    <row r="110">
      <c r="A110" s="9"/>
      <c r="B110" s="9"/>
      <c r="C110" s="9"/>
      <c r="D110" s="9"/>
      <c r="E110" s="9"/>
      <c r="F110" s="9"/>
      <c r="G110" s="59"/>
      <c r="H110" s="9"/>
    </row>
    <row r="111">
      <c r="A111" s="9"/>
      <c r="B111" s="9"/>
      <c r="C111" s="9"/>
      <c r="D111" s="9"/>
      <c r="E111" s="9"/>
      <c r="F111" s="9"/>
      <c r="G111" s="59"/>
      <c r="H111" s="9"/>
    </row>
    <row r="112">
      <c r="A112" s="9"/>
      <c r="B112" s="9"/>
      <c r="C112" s="9"/>
      <c r="D112" s="9"/>
      <c r="E112" s="9"/>
      <c r="F112" s="9"/>
      <c r="G112" s="59"/>
      <c r="H112" s="9"/>
    </row>
    <row r="113">
      <c r="A113" s="9"/>
      <c r="B113" s="9"/>
      <c r="C113" s="9"/>
      <c r="D113" s="9"/>
      <c r="E113" s="9"/>
      <c r="F113" s="9"/>
      <c r="G113" s="59"/>
      <c r="H113" s="9"/>
    </row>
    <row r="114">
      <c r="A114" s="9"/>
      <c r="B114" s="9"/>
      <c r="C114" s="9"/>
      <c r="D114" s="9"/>
      <c r="E114" s="9"/>
      <c r="F114" s="9"/>
      <c r="G114" s="59"/>
      <c r="H114" s="9"/>
    </row>
    <row r="115">
      <c r="A115" s="9"/>
      <c r="B115" s="9"/>
      <c r="C115" s="9"/>
      <c r="D115" s="9"/>
      <c r="E115" s="9"/>
      <c r="F115" s="9"/>
      <c r="G115" s="59"/>
      <c r="H115" s="9"/>
    </row>
    <row r="116">
      <c r="A116" s="9"/>
      <c r="B116" s="9"/>
      <c r="C116" s="9"/>
      <c r="D116" s="9"/>
      <c r="E116" s="9"/>
      <c r="F116" s="9"/>
      <c r="G116" s="59"/>
      <c r="H116" s="9"/>
    </row>
    <row r="117">
      <c r="A117" s="9"/>
      <c r="B117" s="9"/>
      <c r="C117" s="9"/>
      <c r="D117" s="9"/>
      <c r="E117" s="9"/>
      <c r="F117" s="9"/>
      <c r="G117" s="59"/>
      <c r="H117" s="9"/>
    </row>
    <row r="118">
      <c r="A118" s="9"/>
      <c r="B118" s="9"/>
      <c r="C118" s="9"/>
      <c r="D118" s="9"/>
      <c r="E118" s="9"/>
      <c r="F118" s="9"/>
      <c r="G118" s="59"/>
      <c r="H118" s="9"/>
    </row>
    <row r="119">
      <c r="A119" s="9"/>
      <c r="B119" s="9"/>
      <c r="C119" s="9"/>
      <c r="D119" s="9"/>
      <c r="E119" s="9"/>
      <c r="F119" s="9"/>
      <c r="G119" s="59"/>
      <c r="H119" s="9"/>
    </row>
    <row r="120">
      <c r="A120" s="9"/>
      <c r="B120" s="9"/>
      <c r="C120" s="9"/>
      <c r="D120" s="9"/>
      <c r="E120" s="9"/>
      <c r="F120" s="9"/>
      <c r="G120" s="59"/>
      <c r="H120" s="9"/>
    </row>
    <row r="121">
      <c r="A121" s="9"/>
      <c r="B121" s="9"/>
      <c r="C121" s="9"/>
      <c r="D121" s="9"/>
      <c r="E121" s="9"/>
      <c r="F121" s="9"/>
      <c r="G121" s="59"/>
      <c r="H121" s="9"/>
    </row>
    <row r="122">
      <c r="A122" s="9"/>
      <c r="B122" s="9"/>
      <c r="C122" s="9"/>
      <c r="D122" s="9"/>
      <c r="E122" s="9"/>
      <c r="F122" s="9"/>
      <c r="G122" s="59"/>
      <c r="H122" s="9"/>
    </row>
    <row r="123">
      <c r="A123" s="9"/>
      <c r="B123" s="9"/>
      <c r="C123" s="9"/>
      <c r="D123" s="9"/>
      <c r="E123" s="9"/>
      <c r="F123" s="9"/>
      <c r="G123" s="59"/>
      <c r="H123" s="9"/>
    </row>
    <row r="124">
      <c r="A124" s="9"/>
      <c r="B124" s="9"/>
      <c r="C124" s="9"/>
      <c r="D124" s="9"/>
      <c r="E124" s="9"/>
      <c r="F124" s="9"/>
      <c r="G124" s="59"/>
      <c r="H124" s="9"/>
    </row>
    <row r="125">
      <c r="A125" s="9"/>
      <c r="B125" s="9"/>
      <c r="C125" s="9"/>
      <c r="D125" s="9"/>
      <c r="E125" s="9"/>
      <c r="F125" s="9"/>
      <c r="G125" s="59"/>
      <c r="H125" s="9"/>
    </row>
    <row r="126">
      <c r="A126" s="9"/>
      <c r="B126" s="9"/>
      <c r="C126" s="9"/>
      <c r="D126" s="9"/>
      <c r="E126" s="9"/>
      <c r="F126" s="9"/>
      <c r="G126" s="59"/>
      <c r="H126" s="9"/>
    </row>
    <row r="127">
      <c r="A127" s="9"/>
      <c r="B127" s="9"/>
      <c r="C127" s="9"/>
      <c r="D127" s="9"/>
      <c r="E127" s="9"/>
      <c r="F127" s="9"/>
      <c r="G127" s="59"/>
      <c r="H127" s="9"/>
    </row>
    <row r="128">
      <c r="A128" s="9"/>
      <c r="B128" s="9"/>
      <c r="C128" s="9"/>
      <c r="D128" s="9"/>
      <c r="E128" s="9"/>
      <c r="F128" s="9"/>
      <c r="G128" s="59"/>
      <c r="H128" s="9"/>
    </row>
    <row r="129">
      <c r="A129" s="9"/>
      <c r="B129" s="9"/>
      <c r="C129" s="9"/>
      <c r="D129" s="9"/>
      <c r="E129" s="9"/>
      <c r="F129" s="9"/>
      <c r="G129" s="59"/>
      <c r="H129" s="9"/>
    </row>
    <row r="130">
      <c r="A130" s="9"/>
      <c r="B130" s="9"/>
      <c r="C130" s="9"/>
      <c r="D130" s="9"/>
      <c r="E130" s="9"/>
      <c r="F130" s="9"/>
      <c r="G130" s="59"/>
      <c r="H130" s="9"/>
    </row>
    <row r="131">
      <c r="A131" s="9"/>
      <c r="B131" s="9"/>
      <c r="C131" s="9"/>
      <c r="D131" s="9"/>
      <c r="E131" s="9"/>
      <c r="F131" s="9"/>
      <c r="G131" s="59"/>
      <c r="H131" s="9"/>
    </row>
    <row r="132">
      <c r="A132" s="9"/>
      <c r="B132" s="9"/>
      <c r="C132" s="9"/>
      <c r="D132" s="9"/>
      <c r="E132" s="9"/>
      <c r="F132" s="9"/>
      <c r="G132" s="59"/>
      <c r="H132" s="9"/>
    </row>
    <row r="133">
      <c r="A133" s="9"/>
      <c r="B133" s="9"/>
      <c r="C133" s="9"/>
      <c r="D133" s="9"/>
      <c r="E133" s="9"/>
      <c r="F133" s="9"/>
      <c r="G133" s="59"/>
      <c r="H133" s="9"/>
    </row>
    <row r="134">
      <c r="A134" s="9"/>
      <c r="B134" s="9"/>
      <c r="C134" s="9"/>
      <c r="D134" s="9"/>
      <c r="E134" s="9"/>
      <c r="F134" s="9"/>
      <c r="G134" s="59"/>
      <c r="H134" s="9"/>
    </row>
    <row r="135">
      <c r="A135" s="9"/>
      <c r="B135" s="9"/>
      <c r="C135" s="9"/>
      <c r="D135" s="9"/>
      <c r="E135" s="9"/>
      <c r="F135" s="9"/>
      <c r="G135" s="59"/>
      <c r="H135" s="9"/>
    </row>
    <row r="136">
      <c r="A136" s="9"/>
      <c r="B136" s="9"/>
      <c r="C136" s="9"/>
      <c r="D136" s="9"/>
      <c r="E136" s="9"/>
      <c r="F136" s="9"/>
      <c r="G136" s="59"/>
      <c r="H136" s="9"/>
    </row>
    <row r="137">
      <c r="A137" s="9"/>
      <c r="B137" s="9"/>
      <c r="C137" s="9"/>
      <c r="D137" s="9"/>
      <c r="E137" s="9"/>
      <c r="F137" s="9"/>
      <c r="G137" s="59"/>
      <c r="H137" s="9"/>
    </row>
    <row r="138">
      <c r="A138" s="9"/>
      <c r="B138" s="9"/>
      <c r="C138" s="9"/>
      <c r="D138" s="9"/>
      <c r="E138" s="9"/>
      <c r="F138" s="9"/>
      <c r="G138" s="59"/>
      <c r="H138" s="9"/>
    </row>
    <row r="139">
      <c r="A139" s="9"/>
      <c r="B139" s="9"/>
      <c r="C139" s="9"/>
      <c r="D139" s="9"/>
      <c r="E139" s="9"/>
      <c r="F139" s="9"/>
      <c r="G139" s="59"/>
      <c r="H139" s="9"/>
    </row>
    <row r="140">
      <c r="A140" s="9"/>
      <c r="B140" s="9"/>
      <c r="C140" s="9"/>
      <c r="D140" s="9"/>
      <c r="E140" s="9"/>
      <c r="F140" s="9"/>
      <c r="G140" s="59"/>
      <c r="H140" s="9"/>
    </row>
    <row r="141">
      <c r="A141" s="9"/>
      <c r="B141" s="9"/>
      <c r="C141" s="9"/>
      <c r="D141" s="9"/>
      <c r="E141" s="9"/>
      <c r="F141" s="9"/>
      <c r="G141" s="59"/>
      <c r="H141" s="9"/>
    </row>
    <row r="142">
      <c r="A142" s="9"/>
      <c r="B142" s="9"/>
      <c r="C142" s="9"/>
      <c r="D142" s="9"/>
      <c r="E142" s="9"/>
      <c r="F142" s="9"/>
      <c r="G142" s="59"/>
      <c r="H142" s="9"/>
    </row>
    <row r="143">
      <c r="A143" s="9"/>
      <c r="B143" s="9"/>
      <c r="C143" s="9"/>
      <c r="D143" s="9"/>
      <c r="E143" s="9"/>
      <c r="F143" s="9"/>
      <c r="G143" s="59"/>
      <c r="H143" s="9"/>
    </row>
    <row r="144">
      <c r="A144" s="9"/>
      <c r="B144" s="9"/>
      <c r="C144" s="9"/>
      <c r="D144" s="9"/>
      <c r="E144" s="9"/>
      <c r="F144" s="9"/>
      <c r="G144" s="59"/>
      <c r="H144" s="9"/>
    </row>
    <row r="145">
      <c r="A145" s="9"/>
      <c r="B145" s="9"/>
      <c r="C145" s="9"/>
      <c r="D145" s="9"/>
      <c r="E145" s="9"/>
      <c r="F145" s="9"/>
      <c r="G145" s="59"/>
      <c r="H145" s="9"/>
    </row>
    <row r="146">
      <c r="A146" s="9"/>
      <c r="B146" s="9"/>
      <c r="C146" s="9"/>
      <c r="D146" s="9"/>
      <c r="E146" s="9"/>
      <c r="F146" s="9"/>
      <c r="G146" s="59"/>
      <c r="H146" s="9"/>
    </row>
    <row r="147">
      <c r="A147" s="9"/>
      <c r="B147" s="9"/>
      <c r="C147" s="9"/>
      <c r="D147" s="9"/>
      <c r="E147" s="9"/>
      <c r="F147" s="9"/>
      <c r="G147" s="59"/>
      <c r="H147" s="9"/>
    </row>
    <row r="148">
      <c r="A148" s="9"/>
      <c r="B148" s="9"/>
      <c r="C148" s="9"/>
      <c r="D148" s="9"/>
      <c r="E148" s="9"/>
      <c r="F148" s="9"/>
      <c r="G148" s="59"/>
      <c r="H148" s="9"/>
    </row>
    <row r="149">
      <c r="A149" s="9"/>
      <c r="B149" s="9"/>
      <c r="C149" s="9"/>
      <c r="D149" s="9"/>
      <c r="E149" s="9"/>
      <c r="F149" s="9"/>
      <c r="G149" s="59"/>
      <c r="H149" s="9"/>
    </row>
    <row r="150">
      <c r="A150" s="9"/>
      <c r="B150" s="9"/>
      <c r="C150" s="9"/>
      <c r="D150" s="9"/>
      <c r="E150" s="9"/>
      <c r="F150" s="9"/>
      <c r="G150" s="59"/>
      <c r="H150" s="9"/>
    </row>
    <row r="151">
      <c r="A151" s="9"/>
      <c r="B151" s="9"/>
      <c r="C151" s="9"/>
      <c r="D151" s="9"/>
      <c r="E151" s="9"/>
      <c r="F151" s="9"/>
      <c r="G151" s="59"/>
      <c r="H151" s="9"/>
    </row>
    <row r="152">
      <c r="A152" s="9"/>
      <c r="B152" s="9"/>
      <c r="C152" s="9"/>
      <c r="D152" s="9"/>
      <c r="E152" s="9"/>
      <c r="F152" s="9"/>
      <c r="G152" s="59"/>
      <c r="H152" s="9"/>
    </row>
    <row r="153">
      <c r="A153" s="9"/>
      <c r="B153" s="9"/>
      <c r="C153" s="9"/>
      <c r="D153" s="9"/>
      <c r="E153" s="9"/>
      <c r="F153" s="9"/>
      <c r="G153" s="59"/>
      <c r="H153" s="9"/>
    </row>
    <row r="154">
      <c r="A154" s="9"/>
      <c r="B154" s="9"/>
      <c r="C154" s="9"/>
      <c r="D154" s="9"/>
      <c r="E154" s="9"/>
      <c r="F154" s="9"/>
      <c r="G154" s="59"/>
      <c r="H154" s="9"/>
    </row>
    <row r="155">
      <c r="A155" s="9"/>
      <c r="B155" s="9"/>
      <c r="C155" s="9"/>
      <c r="D155" s="9"/>
      <c r="E155" s="9"/>
      <c r="F155" s="9"/>
      <c r="G155" s="59"/>
      <c r="H155" s="9"/>
    </row>
    <row r="156">
      <c r="A156" s="9"/>
      <c r="B156" s="9"/>
      <c r="C156" s="9"/>
      <c r="D156" s="9"/>
      <c r="E156" s="9"/>
      <c r="F156" s="9"/>
      <c r="G156" s="59"/>
      <c r="H156" s="9"/>
    </row>
    <row r="157">
      <c r="A157" s="9"/>
      <c r="B157" s="9"/>
      <c r="C157" s="9"/>
      <c r="D157" s="9"/>
      <c r="E157" s="9"/>
      <c r="F157" s="9"/>
      <c r="G157" s="59"/>
      <c r="H157" s="9"/>
    </row>
    <row r="158">
      <c r="A158" s="9"/>
      <c r="B158" s="9"/>
      <c r="C158" s="9"/>
      <c r="D158" s="9"/>
      <c r="E158" s="9"/>
      <c r="F158" s="9"/>
      <c r="G158" s="59"/>
      <c r="H158" s="9"/>
    </row>
    <row r="159">
      <c r="A159" s="9"/>
      <c r="B159" s="9"/>
      <c r="C159" s="9"/>
      <c r="D159" s="9"/>
      <c r="E159" s="9"/>
      <c r="F159" s="9"/>
      <c r="G159" s="59"/>
      <c r="H159" s="9"/>
    </row>
    <row r="160">
      <c r="A160" s="9"/>
      <c r="B160" s="9"/>
      <c r="C160" s="9"/>
      <c r="D160" s="9"/>
      <c r="E160" s="9"/>
      <c r="F160" s="9"/>
      <c r="G160" s="59"/>
      <c r="H160" s="9"/>
    </row>
    <row r="161">
      <c r="A161" s="9"/>
      <c r="B161" s="9"/>
      <c r="C161" s="9"/>
      <c r="D161" s="9"/>
      <c r="E161" s="9"/>
      <c r="F161" s="9"/>
      <c r="G161" s="59"/>
      <c r="H161" s="9"/>
    </row>
    <row r="162">
      <c r="A162" s="9"/>
      <c r="B162" s="9"/>
      <c r="C162" s="9"/>
      <c r="D162" s="9"/>
      <c r="E162" s="9"/>
      <c r="F162" s="9"/>
      <c r="G162" s="59"/>
      <c r="H162" s="9"/>
    </row>
    <row r="163">
      <c r="A163" s="9"/>
      <c r="B163" s="9"/>
      <c r="C163" s="9"/>
      <c r="D163" s="9"/>
      <c r="E163" s="9"/>
      <c r="F163" s="9"/>
      <c r="G163" s="59"/>
      <c r="H163" s="9"/>
    </row>
    <row r="164">
      <c r="A164" s="9"/>
      <c r="B164" s="9"/>
      <c r="C164" s="9"/>
      <c r="D164" s="9"/>
      <c r="E164" s="9"/>
      <c r="F164" s="9"/>
      <c r="G164" s="59"/>
      <c r="H164" s="9"/>
    </row>
    <row r="165">
      <c r="A165" s="9"/>
      <c r="B165" s="9"/>
      <c r="C165" s="9"/>
      <c r="D165" s="9"/>
      <c r="E165" s="9"/>
      <c r="F165" s="9"/>
      <c r="G165" s="59"/>
      <c r="H165" s="9"/>
    </row>
    <row r="166">
      <c r="A166" s="9"/>
      <c r="B166" s="9"/>
      <c r="C166" s="9"/>
      <c r="D166" s="9"/>
      <c r="E166" s="9"/>
      <c r="F166" s="9"/>
      <c r="G166" s="59"/>
      <c r="H166" s="9"/>
    </row>
    <row r="167">
      <c r="A167" s="9"/>
      <c r="B167" s="9"/>
      <c r="C167" s="9"/>
      <c r="D167" s="9"/>
      <c r="E167" s="9"/>
      <c r="F167" s="9"/>
      <c r="G167" s="59"/>
      <c r="H167" s="9"/>
    </row>
    <row r="168">
      <c r="A168" s="9"/>
      <c r="B168" s="9"/>
      <c r="C168" s="9"/>
      <c r="D168" s="9"/>
      <c r="E168" s="9"/>
      <c r="F168" s="9"/>
      <c r="G168" s="59"/>
      <c r="H168" s="9"/>
    </row>
    <row r="169">
      <c r="A169" s="9"/>
      <c r="B169" s="9"/>
      <c r="C169" s="9"/>
      <c r="D169" s="9"/>
      <c r="E169" s="9"/>
      <c r="F169" s="9"/>
      <c r="G169" s="59"/>
      <c r="H169" s="9"/>
    </row>
    <row r="170">
      <c r="A170" s="9"/>
      <c r="B170" s="9"/>
      <c r="C170" s="9"/>
      <c r="D170" s="9"/>
      <c r="E170" s="9"/>
      <c r="F170" s="9"/>
      <c r="G170" s="59"/>
      <c r="H170" s="9"/>
    </row>
    <row r="171">
      <c r="A171" s="9"/>
      <c r="B171" s="9"/>
      <c r="C171" s="9"/>
      <c r="D171" s="9"/>
      <c r="E171" s="9"/>
      <c r="F171" s="9"/>
      <c r="G171" s="59"/>
      <c r="H171" s="9"/>
    </row>
    <row r="172">
      <c r="A172" s="9"/>
      <c r="B172" s="9"/>
      <c r="C172" s="9"/>
      <c r="D172" s="9"/>
      <c r="E172" s="9"/>
      <c r="F172" s="9"/>
      <c r="G172" s="59"/>
      <c r="H172" s="9"/>
    </row>
    <row r="173">
      <c r="A173" s="9"/>
      <c r="B173" s="9"/>
      <c r="C173" s="9"/>
      <c r="D173" s="9"/>
      <c r="E173" s="9"/>
      <c r="F173" s="9"/>
      <c r="G173" s="59"/>
      <c r="H173" s="9"/>
    </row>
    <row r="174">
      <c r="A174" s="9"/>
      <c r="B174" s="9"/>
      <c r="C174" s="9"/>
      <c r="D174" s="9"/>
      <c r="E174" s="9"/>
      <c r="F174" s="9"/>
      <c r="G174" s="59"/>
      <c r="H174" s="9"/>
    </row>
    <row r="175">
      <c r="A175" s="9"/>
      <c r="B175" s="9"/>
      <c r="C175" s="9"/>
      <c r="D175" s="9"/>
      <c r="E175" s="9"/>
      <c r="F175" s="9"/>
      <c r="G175" s="59"/>
      <c r="H175" s="9"/>
    </row>
    <row r="176">
      <c r="A176" s="9"/>
      <c r="B176" s="9"/>
      <c r="C176" s="9"/>
      <c r="D176" s="9"/>
      <c r="E176" s="9"/>
      <c r="F176" s="9"/>
      <c r="G176" s="59"/>
      <c r="H176" s="9"/>
    </row>
    <row r="177">
      <c r="A177" s="9"/>
      <c r="B177" s="9"/>
      <c r="C177" s="9"/>
      <c r="D177" s="9"/>
      <c r="E177" s="9"/>
      <c r="F177" s="9"/>
      <c r="G177" s="59"/>
      <c r="H177" s="9"/>
    </row>
    <row r="178">
      <c r="A178" s="9"/>
      <c r="B178" s="9"/>
      <c r="C178" s="9"/>
      <c r="D178" s="9"/>
      <c r="E178" s="9"/>
      <c r="F178" s="9"/>
      <c r="G178" s="59"/>
      <c r="H178" s="9"/>
    </row>
    <row r="179">
      <c r="A179" s="9"/>
      <c r="B179" s="9"/>
      <c r="C179" s="9"/>
      <c r="D179" s="9"/>
      <c r="E179" s="9"/>
      <c r="F179" s="9"/>
      <c r="G179" s="59"/>
      <c r="H179" s="9"/>
    </row>
    <row r="180">
      <c r="A180" s="9"/>
      <c r="B180" s="9"/>
      <c r="C180" s="9"/>
      <c r="D180" s="9"/>
      <c r="E180" s="9"/>
      <c r="F180" s="9"/>
      <c r="G180" s="59"/>
      <c r="H180" s="9"/>
    </row>
    <row r="181">
      <c r="A181" s="9"/>
      <c r="B181" s="9"/>
      <c r="C181" s="9"/>
      <c r="D181" s="9"/>
      <c r="E181" s="9"/>
      <c r="F181" s="9"/>
      <c r="G181" s="59"/>
      <c r="H181" s="9"/>
    </row>
    <row r="182">
      <c r="A182" s="9"/>
      <c r="B182" s="9"/>
      <c r="C182" s="9"/>
      <c r="D182" s="9"/>
      <c r="E182" s="9"/>
      <c r="F182" s="9"/>
      <c r="G182" s="59"/>
      <c r="H182" s="9"/>
    </row>
    <row r="183">
      <c r="A183" s="9"/>
      <c r="B183" s="9"/>
      <c r="C183" s="9"/>
      <c r="D183" s="9"/>
      <c r="E183" s="9"/>
      <c r="F183" s="9"/>
      <c r="G183" s="59"/>
      <c r="H183" s="9"/>
    </row>
    <row r="184">
      <c r="A184" s="9"/>
      <c r="B184" s="9"/>
      <c r="C184" s="9"/>
      <c r="D184" s="9"/>
      <c r="E184" s="9"/>
      <c r="F184" s="9"/>
      <c r="G184" s="59"/>
      <c r="H184" s="9"/>
    </row>
    <row r="185">
      <c r="A185" s="9"/>
      <c r="B185" s="9"/>
      <c r="C185" s="9"/>
      <c r="D185" s="9"/>
      <c r="E185" s="9"/>
      <c r="F185" s="9"/>
      <c r="G185" s="59"/>
      <c r="H185" s="9"/>
    </row>
    <row r="186">
      <c r="A186" s="9"/>
      <c r="B186" s="9"/>
      <c r="C186" s="9"/>
      <c r="D186" s="9"/>
      <c r="E186" s="9"/>
      <c r="F186" s="9"/>
      <c r="G186" s="59"/>
      <c r="H186" s="9"/>
    </row>
    <row r="187">
      <c r="A187" s="9"/>
      <c r="B187" s="9"/>
      <c r="C187" s="9"/>
      <c r="D187" s="9"/>
      <c r="E187" s="9"/>
      <c r="F187" s="9"/>
      <c r="G187" s="59"/>
      <c r="H187" s="9"/>
    </row>
    <row r="188">
      <c r="A188" s="9"/>
      <c r="B188" s="9"/>
      <c r="C188" s="9"/>
      <c r="D188" s="9"/>
      <c r="E188" s="9"/>
      <c r="F188" s="9"/>
      <c r="G188" s="59"/>
      <c r="H188" s="9"/>
    </row>
    <row r="189">
      <c r="A189" s="9"/>
      <c r="B189" s="9"/>
      <c r="C189" s="9"/>
      <c r="D189" s="9"/>
      <c r="E189" s="9"/>
      <c r="F189" s="9"/>
      <c r="G189" s="59"/>
      <c r="H189" s="9"/>
    </row>
    <row r="190">
      <c r="A190" s="9"/>
      <c r="B190" s="9"/>
      <c r="C190" s="9"/>
      <c r="D190" s="9"/>
      <c r="E190" s="9"/>
      <c r="F190" s="9"/>
      <c r="G190" s="59"/>
      <c r="H190" s="9"/>
    </row>
    <row r="191">
      <c r="A191" s="9"/>
      <c r="B191" s="9"/>
      <c r="C191" s="9"/>
      <c r="D191" s="9"/>
      <c r="E191" s="9"/>
      <c r="F191" s="9"/>
      <c r="G191" s="59"/>
      <c r="H191" s="9"/>
    </row>
    <row r="192">
      <c r="A192" s="9"/>
      <c r="B192" s="9"/>
      <c r="C192" s="9"/>
      <c r="D192" s="9"/>
      <c r="E192" s="9"/>
      <c r="F192" s="9"/>
      <c r="G192" s="59"/>
      <c r="H192" s="9"/>
    </row>
    <row r="193">
      <c r="A193" s="9"/>
      <c r="B193" s="9"/>
      <c r="C193" s="9"/>
      <c r="D193" s="9"/>
      <c r="E193" s="9"/>
      <c r="F193" s="9"/>
      <c r="G193" s="59"/>
      <c r="H193" s="9"/>
    </row>
    <row r="194">
      <c r="A194" s="9"/>
      <c r="B194" s="9"/>
      <c r="C194" s="9"/>
      <c r="D194" s="9"/>
      <c r="E194" s="9"/>
      <c r="F194" s="9"/>
      <c r="G194" s="59"/>
      <c r="H194" s="9"/>
    </row>
    <row r="195">
      <c r="A195" s="9"/>
      <c r="B195" s="9"/>
      <c r="C195" s="9"/>
      <c r="D195" s="9"/>
      <c r="E195" s="9"/>
      <c r="F195" s="9"/>
      <c r="G195" s="59"/>
      <c r="H195" s="9"/>
    </row>
    <row r="196">
      <c r="A196" s="9"/>
      <c r="B196" s="9"/>
      <c r="C196" s="9"/>
      <c r="D196" s="9"/>
      <c r="E196" s="9"/>
      <c r="F196" s="9"/>
      <c r="G196" s="59"/>
      <c r="H196" s="9"/>
    </row>
    <row r="197">
      <c r="A197" s="9"/>
      <c r="B197" s="9"/>
      <c r="C197" s="9"/>
      <c r="D197" s="9"/>
      <c r="E197" s="9"/>
      <c r="F197" s="9"/>
      <c r="G197" s="59"/>
      <c r="H197" s="9"/>
    </row>
    <row r="198">
      <c r="A198" s="9"/>
      <c r="B198" s="9"/>
      <c r="C198" s="9"/>
      <c r="D198" s="9"/>
      <c r="E198" s="9"/>
      <c r="F198" s="9"/>
      <c r="G198" s="59"/>
      <c r="H198" s="9"/>
    </row>
    <row r="199">
      <c r="A199" s="9"/>
      <c r="B199" s="9"/>
      <c r="C199" s="9"/>
      <c r="D199" s="9"/>
      <c r="E199" s="9"/>
      <c r="F199" s="9"/>
      <c r="G199" s="59"/>
      <c r="H199" s="9"/>
    </row>
    <row r="200">
      <c r="A200" s="9"/>
      <c r="B200" s="9"/>
      <c r="C200" s="9"/>
      <c r="D200" s="9"/>
      <c r="E200" s="9"/>
      <c r="F200" s="9"/>
      <c r="G200" s="59"/>
      <c r="H200" s="9"/>
    </row>
    <row r="201">
      <c r="A201" s="9"/>
      <c r="B201" s="9"/>
      <c r="C201" s="9"/>
      <c r="D201" s="9"/>
      <c r="E201" s="9"/>
      <c r="F201" s="9"/>
      <c r="G201" s="59"/>
      <c r="H201" s="9"/>
    </row>
    <row r="202">
      <c r="A202" s="9"/>
      <c r="B202" s="9"/>
      <c r="C202" s="9"/>
      <c r="D202" s="9"/>
      <c r="E202" s="9"/>
      <c r="F202" s="9"/>
      <c r="G202" s="59"/>
      <c r="H202" s="9"/>
    </row>
    <row r="203">
      <c r="A203" s="9"/>
      <c r="B203" s="9"/>
      <c r="C203" s="9"/>
      <c r="D203" s="9"/>
      <c r="E203" s="9"/>
      <c r="F203" s="9"/>
      <c r="G203" s="59"/>
      <c r="H203" s="9"/>
    </row>
    <row r="204">
      <c r="A204" s="9"/>
      <c r="B204" s="9"/>
      <c r="C204" s="9"/>
      <c r="D204" s="9"/>
      <c r="E204" s="9"/>
      <c r="F204" s="9"/>
      <c r="G204" s="59"/>
      <c r="H204" s="9"/>
    </row>
    <row r="205">
      <c r="A205" s="9"/>
      <c r="B205" s="9"/>
      <c r="C205" s="9"/>
      <c r="D205" s="9"/>
      <c r="E205" s="9"/>
      <c r="F205" s="9"/>
      <c r="G205" s="59"/>
      <c r="H205" s="9"/>
    </row>
    <row r="206">
      <c r="A206" s="9"/>
      <c r="B206" s="9"/>
      <c r="C206" s="9"/>
      <c r="D206" s="9"/>
      <c r="E206" s="9"/>
      <c r="F206" s="9"/>
      <c r="G206" s="59"/>
      <c r="H206" s="9"/>
    </row>
    <row r="207">
      <c r="A207" s="9"/>
      <c r="B207" s="9"/>
      <c r="C207" s="9"/>
      <c r="D207" s="9"/>
      <c r="E207" s="9"/>
      <c r="F207" s="9"/>
      <c r="G207" s="59"/>
      <c r="H207" s="9"/>
    </row>
    <row r="208">
      <c r="A208" s="9"/>
      <c r="B208" s="9"/>
      <c r="C208" s="9"/>
      <c r="D208" s="9"/>
      <c r="E208" s="9"/>
      <c r="F208" s="9"/>
      <c r="G208" s="59"/>
      <c r="H208" s="9"/>
    </row>
    <row r="209">
      <c r="A209" s="9"/>
      <c r="B209" s="9"/>
      <c r="C209" s="9"/>
      <c r="D209" s="9"/>
      <c r="E209" s="9"/>
      <c r="F209" s="9"/>
      <c r="G209" s="59"/>
      <c r="H209" s="9"/>
    </row>
    <row r="210">
      <c r="A210" s="9"/>
      <c r="B210" s="9"/>
      <c r="C210" s="9"/>
      <c r="D210" s="9"/>
      <c r="E210" s="9"/>
      <c r="F210" s="9"/>
      <c r="G210" s="59"/>
      <c r="H210" s="9"/>
    </row>
    <row r="211">
      <c r="A211" s="9"/>
      <c r="B211" s="9"/>
      <c r="C211" s="9"/>
      <c r="D211" s="9"/>
      <c r="E211" s="9"/>
      <c r="F211" s="9"/>
      <c r="G211" s="59"/>
      <c r="H211" s="9"/>
    </row>
    <row r="212">
      <c r="A212" s="9"/>
      <c r="B212" s="9"/>
      <c r="C212" s="9"/>
      <c r="D212" s="9"/>
      <c r="E212" s="9"/>
      <c r="F212" s="9"/>
      <c r="G212" s="59"/>
      <c r="H212" s="9"/>
    </row>
    <row r="213">
      <c r="A213" s="9"/>
      <c r="B213" s="9"/>
      <c r="C213" s="9"/>
      <c r="D213" s="9"/>
      <c r="E213" s="9"/>
      <c r="F213" s="9"/>
      <c r="G213" s="59"/>
      <c r="H213" s="9"/>
    </row>
    <row r="214">
      <c r="A214" s="9"/>
      <c r="B214" s="9"/>
      <c r="C214" s="9"/>
      <c r="D214" s="9"/>
      <c r="E214" s="9"/>
      <c r="F214" s="9"/>
      <c r="G214" s="59"/>
      <c r="H214" s="9"/>
    </row>
    <row r="215">
      <c r="A215" s="9"/>
      <c r="B215" s="9"/>
      <c r="C215" s="9"/>
      <c r="D215" s="9"/>
      <c r="E215" s="9"/>
      <c r="F215" s="9"/>
      <c r="G215" s="59"/>
      <c r="H215" s="9"/>
    </row>
    <row r="216">
      <c r="A216" s="9"/>
      <c r="B216" s="9"/>
      <c r="C216" s="9"/>
      <c r="D216" s="9"/>
      <c r="E216" s="9"/>
      <c r="F216" s="9"/>
      <c r="G216" s="59"/>
      <c r="H216" s="9"/>
    </row>
    <row r="217">
      <c r="A217" s="9"/>
      <c r="B217" s="9"/>
      <c r="C217" s="9"/>
      <c r="D217" s="9"/>
      <c r="E217" s="9"/>
      <c r="F217" s="9"/>
      <c r="G217" s="59"/>
      <c r="H217" s="9"/>
    </row>
    <row r="218">
      <c r="A218" s="9"/>
      <c r="B218" s="9"/>
      <c r="C218" s="9"/>
      <c r="D218" s="9"/>
      <c r="E218" s="9"/>
      <c r="F218" s="9"/>
      <c r="G218" s="59"/>
      <c r="H218" s="9"/>
    </row>
    <row r="219">
      <c r="A219" s="9"/>
      <c r="B219" s="9"/>
      <c r="C219" s="9"/>
      <c r="D219" s="9"/>
      <c r="E219" s="9"/>
      <c r="F219" s="9"/>
      <c r="G219" s="59"/>
      <c r="H219" s="9"/>
    </row>
    <row r="220">
      <c r="A220" s="9"/>
      <c r="B220" s="9"/>
      <c r="C220" s="9"/>
      <c r="D220" s="9"/>
      <c r="E220" s="9"/>
      <c r="F220" s="9"/>
      <c r="G220" s="59"/>
      <c r="H220" s="9"/>
    </row>
    <row r="221">
      <c r="A221" s="9"/>
      <c r="B221" s="9"/>
      <c r="C221" s="9"/>
      <c r="D221" s="9"/>
      <c r="E221" s="9"/>
      <c r="F221" s="9"/>
      <c r="G221" s="59"/>
      <c r="H221" s="9"/>
    </row>
    <row r="222">
      <c r="A222" s="9"/>
      <c r="B222" s="9"/>
      <c r="C222" s="9"/>
      <c r="D222" s="9"/>
      <c r="E222" s="9"/>
      <c r="F222" s="9"/>
      <c r="G222" s="59"/>
      <c r="H222" s="9"/>
    </row>
    <row r="223">
      <c r="A223" s="9"/>
      <c r="B223" s="9"/>
      <c r="C223" s="9"/>
      <c r="D223" s="9"/>
      <c r="E223" s="9"/>
      <c r="F223" s="9"/>
      <c r="G223" s="59"/>
      <c r="H223" s="9"/>
    </row>
    <row r="224">
      <c r="A224" s="9"/>
      <c r="B224" s="9"/>
      <c r="C224" s="9"/>
      <c r="D224" s="9"/>
      <c r="E224" s="9"/>
      <c r="F224" s="9"/>
      <c r="G224" s="59"/>
      <c r="H224" s="9"/>
    </row>
    <row r="225">
      <c r="A225" s="9"/>
      <c r="B225" s="9"/>
      <c r="C225" s="9"/>
      <c r="D225" s="9"/>
      <c r="E225" s="9"/>
      <c r="F225" s="9"/>
      <c r="G225" s="59"/>
      <c r="H225" s="9"/>
    </row>
    <row r="226">
      <c r="A226" s="9"/>
      <c r="B226" s="9"/>
      <c r="C226" s="9"/>
      <c r="D226" s="9"/>
      <c r="E226" s="9"/>
      <c r="F226" s="9"/>
      <c r="G226" s="59"/>
      <c r="H226" s="9"/>
    </row>
    <row r="227">
      <c r="A227" s="9"/>
      <c r="B227" s="9"/>
      <c r="C227" s="9"/>
      <c r="D227" s="9"/>
      <c r="E227" s="9"/>
      <c r="F227" s="9"/>
      <c r="G227" s="59"/>
      <c r="H227" s="9"/>
    </row>
    <row r="228">
      <c r="A228" s="9"/>
      <c r="B228" s="9"/>
      <c r="C228" s="9"/>
      <c r="D228" s="9"/>
      <c r="E228" s="9"/>
      <c r="F228" s="9"/>
      <c r="G228" s="59"/>
      <c r="H228" s="9"/>
    </row>
    <row r="229">
      <c r="A229" s="9"/>
      <c r="B229" s="9"/>
      <c r="C229" s="9"/>
      <c r="D229" s="9"/>
      <c r="E229" s="9"/>
      <c r="F229" s="9"/>
      <c r="G229" s="59"/>
      <c r="H229" s="9"/>
    </row>
    <row r="230">
      <c r="A230" s="9"/>
      <c r="B230" s="9"/>
      <c r="C230" s="9"/>
      <c r="D230" s="9"/>
      <c r="E230" s="9"/>
      <c r="F230" s="9"/>
      <c r="G230" s="59"/>
      <c r="H230" s="9"/>
    </row>
    <row r="231">
      <c r="A231" s="9"/>
      <c r="B231" s="9"/>
      <c r="C231" s="9"/>
      <c r="D231" s="9"/>
      <c r="E231" s="9"/>
      <c r="F231" s="9"/>
      <c r="G231" s="59"/>
      <c r="H231" s="9"/>
    </row>
    <row r="232">
      <c r="A232" s="9"/>
      <c r="B232" s="9"/>
      <c r="C232" s="9"/>
      <c r="D232" s="9"/>
      <c r="E232" s="9"/>
      <c r="F232" s="9"/>
      <c r="G232" s="59"/>
      <c r="H232" s="9"/>
    </row>
    <row r="233">
      <c r="A233" s="9"/>
      <c r="B233" s="9"/>
      <c r="C233" s="9"/>
      <c r="D233" s="9"/>
      <c r="E233" s="9"/>
      <c r="F233" s="9"/>
      <c r="G233" s="59"/>
      <c r="H233" s="9"/>
    </row>
    <row r="234">
      <c r="A234" s="9"/>
      <c r="B234" s="9"/>
      <c r="C234" s="9"/>
      <c r="D234" s="9"/>
      <c r="E234" s="9"/>
      <c r="F234" s="9"/>
      <c r="G234" s="59"/>
      <c r="H234" s="9"/>
    </row>
    <row r="235">
      <c r="A235" s="9"/>
      <c r="B235" s="9"/>
      <c r="C235" s="9"/>
      <c r="D235" s="9"/>
      <c r="E235" s="9"/>
      <c r="F235" s="9"/>
      <c r="G235" s="59"/>
      <c r="H235" s="9"/>
    </row>
    <row r="236">
      <c r="A236" s="9"/>
      <c r="B236" s="9"/>
      <c r="C236" s="9"/>
      <c r="D236" s="9"/>
      <c r="E236" s="9"/>
      <c r="F236" s="9"/>
      <c r="G236" s="59"/>
      <c r="H236" s="9"/>
    </row>
    <row r="237">
      <c r="A237" s="9"/>
      <c r="B237" s="9"/>
      <c r="C237" s="9"/>
      <c r="D237" s="9"/>
      <c r="E237" s="9"/>
      <c r="F237" s="9"/>
      <c r="G237" s="59"/>
      <c r="H237" s="9"/>
    </row>
    <row r="238">
      <c r="A238" s="9"/>
      <c r="B238" s="9"/>
      <c r="C238" s="9"/>
      <c r="D238" s="9"/>
      <c r="E238" s="9"/>
      <c r="F238" s="9"/>
      <c r="G238" s="59"/>
      <c r="H238" s="9"/>
    </row>
    <row r="239">
      <c r="A239" s="9"/>
      <c r="B239" s="9"/>
      <c r="C239" s="9"/>
      <c r="D239" s="9"/>
      <c r="E239" s="9"/>
      <c r="F239" s="9"/>
      <c r="G239" s="59"/>
      <c r="H239" s="9"/>
    </row>
    <row r="240">
      <c r="A240" s="9"/>
      <c r="B240" s="9"/>
      <c r="C240" s="9"/>
      <c r="D240" s="9"/>
      <c r="E240" s="9"/>
      <c r="F240" s="9"/>
      <c r="G240" s="59"/>
      <c r="H240" s="9"/>
    </row>
    <row r="241">
      <c r="A241" s="9"/>
      <c r="B241" s="9"/>
      <c r="C241" s="9"/>
      <c r="D241" s="9"/>
      <c r="E241" s="9"/>
      <c r="F241" s="9"/>
      <c r="G241" s="59"/>
      <c r="H241" s="9"/>
    </row>
    <row r="242">
      <c r="A242" s="9"/>
      <c r="B242" s="9"/>
      <c r="C242" s="9"/>
      <c r="D242" s="9"/>
      <c r="E242" s="9"/>
      <c r="F242" s="9"/>
      <c r="G242" s="59"/>
      <c r="H242" s="9"/>
    </row>
    <row r="243">
      <c r="A243" s="9"/>
      <c r="B243" s="9"/>
      <c r="C243" s="9"/>
      <c r="D243" s="9"/>
      <c r="E243" s="9"/>
      <c r="F243" s="9"/>
      <c r="G243" s="59"/>
      <c r="H243" s="9"/>
    </row>
    <row r="244">
      <c r="A244" s="9"/>
      <c r="B244" s="9"/>
      <c r="C244" s="9"/>
      <c r="D244" s="9"/>
      <c r="E244" s="9"/>
      <c r="F244" s="9"/>
      <c r="G244" s="59"/>
      <c r="H244" s="9"/>
    </row>
    <row r="245">
      <c r="A245" s="9"/>
      <c r="B245" s="9"/>
      <c r="C245" s="9"/>
      <c r="D245" s="9"/>
      <c r="E245" s="9"/>
      <c r="F245" s="9"/>
      <c r="G245" s="59"/>
      <c r="H245" s="9"/>
    </row>
    <row r="246">
      <c r="A246" s="9"/>
      <c r="B246" s="9"/>
      <c r="C246" s="9"/>
      <c r="D246" s="9"/>
      <c r="E246" s="9"/>
      <c r="F246" s="9"/>
      <c r="G246" s="59"/>
      <c r="H246" s="9"/>
    </row>
    <row r="247">
      <c r="A247" s="9"/>
      <c r="B247" s="9"/>
      <c r="C247" s="9"/>
      <c r="D247" s="9"/>
      <c r="E247" s="9"/>
      <c r="F247" s="9"/>
      <c r="G247" s="59"/>
      <c r="H247" s="9"/>
    </row>
    <row r="248">
      <c r="A248" s="9"/>
      <c r="B248" s="9"/>
      <c r="C248" s="9"/>
      <c r="D248" s="9"/>
      <c r="E248" s="9"/>
      <c r="F248" s="9"/>
      <c r="G248" s="59"/>
      <c r="H248" s="9"/>
    </row>
    <row r="249">
      <c r="A249" s="9"/>
      <c r="B249" s="9"/>
      <c r="C249" s="9"/>
      <c r="D249" s="9"/>
      <c r="E249" s="9"/>
      <c r="F249" s="9"/>
      <c r="G249" s="59"/>
      <c r="H249" s="9"/>
    </row>
    <row r="250">
      <c r="A250" s="9"/>
      <c r="B250" s="9"/>
      <c r="C250" s="9"/>
      <c r="D250" s="9"/>
      <c r="E250" s="9"/>
      <c r="F250" s="9"/>
      <c r="G250" s="59"/>
      <c r="H250" s="9"/>
    </row>
    <row r="251">
      <c r="A251" s="9"/>
      <c r="B251" s="9"/>
      <c r="C251" s="9"/>
      <c r="D251" s="9"/>
      <c r="E251" s="9"/>
      <c r="F251" s="9"/>
      <c r="G251" s="59"/>
      <c r="H251" s="9"/>
    </row>
    <row r="252">
      <c r="A252" s="9"/>
      <c r="B252" s="9"/>
      <c r="C252" s="9"/>
      <c r="D252" s="9"/>
      <c r="E252" s="9"/>
      <c r="F252" s="9"/>
      <c r="G252" s="59"/>
      <c r="H252" s="9"/>
    </row>
    <row r="253">
      <c r="A253" s="9"/>
      <c r="B253" s="9"/>
      <c r="C253" s="9"/>
      <c r="D253" s="9"/>
      <c r="E253" s="9"/>
      <c r="F253" s="9"/>
      <c r="G253" s="59"/>
      <c r="H253" s="9"/>
    </row>
    <row r="254">
      <c r="A254" s="9"/>
      <c r="B254" s="9"/>
      <c r="C254" s="9"/>
      <c r="D254" s="9"/>
      <c r="E254" s="9"/>
      <c r="F254" s="9"/>
      <c r="G254" s="59"/>
      <c r="H254" s="9"/>
    </row>
    <row r="255">
      <c r="A255" s="9"/>
      <c r="B255" s="9"/>
      <c r="C255" s="9"/>
      <c r="D255" s="9"/>
      <c r="E255" s="9"/>
      <c r="F255" s="9"/>
      <c r="G255" s="59"/>
      <c r="H255" s="9"/>
    </row>
    <row r="256">
      <c r="A256" s="9"/>
      <c r="B256" s="9"/>
      <c r="C256" s="9"/>
      <c r="D256" s="9"/>
      <c r="E256" s="9"/>
      <c r="F256" s="9"/>
      <c r="G256" s="59"/>
      <c r="H256" s="9"/>
    </row>
    <row r="257">
      <c r="A257" s="9"/>
      <c r="B257" s="9"/>
      <c r="C257" s="9"/>
      <c r="D257" s="9"/>
      <c r="E257" s="9"/>
      <c r="F257" s="9"/>
      <c r="G257" s="59"/>
      <c r="H257" s="9"/>
    </row>
    <row r="258">
      <c r="A258" s="9"/>
      <c r="B258" s="9"/>
      <c r="C258" s="9"/>
      <c r="D258" s="9"/>
      <c r="E258" s="9"/>
      <c r="F258" s="9"/>
      <c r="G258" s="59"/>
      <c r="H258" s="9"/>
    </row>
    <row r="259">
      <c r="A259" s="9"/>
      <c r="B259" s="9"/>
      <c r="C259" s="9"/>
      <c r="D259" s="9"/>
      <c r="E259" s="9"/>
      <c r="F259" s="9"/>
      <c r="G259" s="59"/>
      <c r="H259" s="9"/>
    </row>
    <row r="260">
      <c r="A260" s="9"/>
      <c r="B260" s="9"/>
      <c r="C260" s="9"/>
      <c r="D260" s="9"/>
      <c r="E260" s="9"/>
      <c r="F260" s="9"/>
      <c r="G260" s="59"/>
      <c r="H260" s="9"/>
    </row>
    <row r="261">
      <c r="A261" s="9"/>
      <c r="B261" s="9"/>
      <c r="C261" s="9"/>
      <c r="D261" s="9"/>
      <c r="E261" s="9"/>
      <c r="F261" s="9"/>
      <c r="G261" s="59"/>
      <c r="H261" s="9"/>
    </row>
    <row r="262">
      <c r="A262" s="9"/>
      <c r="B262" s="9"/>
      <c r="C262" s="9"/>
      <c r="D262" s="9"/>
      <c r="E262" s="9"/>
      <c r="F262" s="9"/>
      <c r="G262" s="59"/>
      <c r="H262" s="9"/>
    </row>
    <row r="263">
      <c r="A263" s="9"/>
      <c r="B263" s="9"/>
      <c r="C263" s="9"/>
      <c r="D263" s="9"/>
      <c r="E263" s="9"/>
      <c r="F263" s="9"/>
      <c r="G263" s="59"/>
      <c r="H263" s="9"/>
    </row>
    <row r="264">
      <c r="A264" s="9"/>
      <c r="B264" s="9"/>
      <c r="C264" s="9"/>
      <c r="D264" s="9"/>
      <c r="E264" s="9"/>
      <c r="F264" s="9"/>
      <c r="G264" s="59"/>
      <c r="H264" s="9"/>
    </row>
    <row r="265">
      <c r="A265" s="9"/>
      <c r="B265" s="9"/>
      <c r="C265" s="9"/>
      <c r="D265" s="9"/>
      <c r="E265" s="9"/>
      <c r="F265" s="9"/>
      <c r="G265" s="59"/>
      <c r="H265" s="9"/>
    </row>
    <row r="266">
      <c r="A266" s="9"/>
      <c r="B266" s="9"/>
      <c r="C266" s="9"/>
      <c r="D266" s="9"/>
      <c r="E266" s="9"/>
      <c r="F266" s="9"/>
      <c r="G266" s="59"/>
      <c r="H266" s="9"/>
    </row>
    <row r="267">
      <c r="A267" s="9"/>
      <c r="B267" s="9"/>
      <c r="C267" s="9"/>
      <c r="D267" s="9"/>
      <c r="E267" s="9"/>
      <c r="F267" s="9"/>
      <c r="G267" s="59"/>
      <c r="H267" s="9"/>
    </row>
    <row r="268">
      <c r="A268" s="9"/>
      <c r="B268" s="9"/>
      <c r="C268" s="9"/>
      <c r="D268" s="9"/>
      <c r="E268" s="9"/>
      <c r="F268" s="9"/>
      <c r="G268" s="59"/>
      <c r="H268" s="9"/>
    </row>
    <row r="269">
      <c r="A269" s="9"/>
      <c r="B269" s="9"/>
      <c r="C269" s="9"/>
      <c r="D269" s="9"/>
      <c r="E269" s="9"/>
      <c r="F269" s="9"/>
      <c r="G269" s="59"/>
      <c r="H269" s="9"/>
    </row>
    <row r="270">
      <c r="A270" s="9"/>
      <c r="B270" s="9"/>
      <c r="C270" s="9"/>
      <c r="D270" s="9"/>
      <c r="E270" s="9"/>
      <c r="F270" s="9"/>
      <c r="G270" s="59"/>
      <c r="H270" s="9"/>
    </row>
    <row r="271">
      <c r="A271" s="9"/>
      <c r="B271" s="9"/>
      <c r="C271" s="9"/>
      <c r="D271" s="9"/>
      <c r="E271" s="9"/>
      <c r="F271" s="9"/>
      <c r="G271" s="59"/>
      <c r="H271" s="9"/>
    </row>
    <row r="272">
      <c r="A272" s="9"/>
      <c r="B272" s="9"/>
      <c r="C272" s="9"/>
      <c r="D272" s="9"/>
      <c r="E272" s="9"/>
      <c r="F272" s="9"/>
      <c r="G272" s="59"/>
      <c r="H272" s="9"/>
    </row>
    <row r="273">
      <c r="A273" s="9"/>
      <c r="B273" s="9"/>
      <c r="C273" s="9"/>
      <c r="D273" s="9"/>
      <c r="E273" s="9"/>
      <c r="F273" s="9"/>
      <c r="G273" s="59"/>
      <c r="H273" s="9"/>
    </row>
    <row r="274">
      <c r="A274" s="9"/>
      <c r="B274" s="9"/>
      <c r="C274" s="9"/>
      <c r="D274" s="9"/>
      <c r="E274" s="9"/>
      <c r="F274" s="9"/>
      <c r="G274" s="59"/>
      <c r="H274" s="9"/>
    </row>
    <row r="275">
      <c r="A275" s="9"/>
      <c r="B275" s="9"/>
      <c r="C275" s="9"/>
      <c r="D275" s="9"/>
      <c r="E275" s="9"/>
      <c r="F275" s="9"/>
      <c r="G275" s="59"/>
      <c r="H275" s="9"/>
    </row>
    <row r="276">
      <c r="A276" s="9"/>
      <c r="B276" s="9"/>
      <c r="C276" s="9"/>
      <c r="D276" s="9"/>
      <c r="E276" s="9"/>
      <c r="F276" s="9"/>
      <c r="G276" s="59"/>
      <c r="H276" s="9"/>
    </row>
    <row r="277">
      <c r="A277" s="9"/>
      <c r="B277" s="9"/>
      <c r="C277" s="9"/>
      <c r="D277" s="9"/>
      <c r="E277" s="9"/>
      <c r="F277" s="9"/>
      <c r="G277" s="59"/>
      <c r="H277" s="9"/>
    </row>
    <row r="278">
      <c r="A278" s="9"/>
      <c r="B278" s="9"/>
      <c r="C278" s="9"/>
      <c r="D278" s="9"/>
      <c r="E278" s="9"/>
      <c r="F278" s="9"/>
      <c r="G278" s="59"/>
      <c r="H278" s="9"/>
    </row>
    <row r="279">
      <c r="A279" s="9"/>
      <c r="B279" s="9"/>
      <c r="C279" s="9"/>
      <c r="D279" s="9"/>
      <c r="E279" s="9"/>
      <c r="F279" s="9"/>
      <c r="G279" s="59"/>
      <c r="H279" s="9"/>
    </row>
    <row r="280">
      <c r="A280" s="9"/>
      <c r="B280" s="9"/>
      <c r="C280" s="9"/>
      <c r="D280" s="9"/>
      <c r="E280" s="9"/>
      <c r="F280" s="9"/>
      <c r="G280" s="59"/>
      <c r="H280" s="9"/>
    </row>
    <row r="281">
      <c r="A281" s="9"/>
      <c r="B281" s="9"/>
      <c r="C281" s="9"/>
      <c r="D281" s="9"/>
      <c r="E281" s="9"/>
      <c r="F281" s="9"/>
      <c r="G281" s="59"/>
      <c r="H281" s="9"/>
    </row>
    <row r="282">
      <c r="A282" s="9"/>
      <c r="B282" s="9"/>
      <c r="C282" s="9"/>
      <c r="D282" s="9"/>
      <c r="E282" s="9"/>
      <c r="F282" s="9"/>
      <c r="G282" s="59"/>
      <c r="H282" s="9"/>
    </row>
    <row r="283">
      <c r="A283" s="9"/>
      <c r="B283" s="9"/>
      <c r="C283" s="9"/>
      <c r="D283" s="9"/>
      <c r="E283" s="9"/>
      <c r="F283" s="9"/>
      <c r="G283" s="59"/>
      <c r="H283" s="9"/>
    </row>
    <row r="284">
      <c r="A284" s="9"/>
      <c r="B284" s="9"/>
      <c r="C284" s="9"/>
      <c r="D284" s="9"/>
      <c r="E284" s="9"/>
      <c r="F284" s="9"/>
      <c r="G284" s="59"/>
      <c r="H284" s="9"/>
    </row>
    <row r="285">
      <c r="A285" s="9"/>
      <c r="B285" s="9"/>
      <c r="C285" s="9"/>
      <c r="D285" s="9"/>
      <c r="E285" s="9"/>
      <c r="F285" s="9"/>
      <c r="G285" s="59"/>
      <c r="H285" s="9"/>
    </row>
    <row r="286">
      <c r="A286" s="9"/>
      <c r="B286" s="9"/>
      <c r="C286" s="9"/>
      <c r="D286" s="9"/>
      <c r="E286" s="9"/>
      <c r="F286" s="9"/>
      <c r="G286" s="59"/>
      <c r="H286" s="9"/>
    </row>
    <row r="287">
      <c r="A287" s="9"/>
      <c r="B287" s="9"/>
      <c r="C287" s="9"/>
      <c r="D287" s="9"/>
      <c r="E287" s="9"/>
      <c r="F287" s="9"/>
      <c r="G287" s="59"/>
      <c r="H287" s="9"/>
    </row>
    <row r="288">
      <c r="A288" s="9"/>
      <c r="B288" s="9"/>
      <c r="C288" s="9"/>
      <c r="D288" s="9"/>
      <c r="E288" s="9"/>
      <c r="F288" s="9"/>
      <c r="G288" s="59"/>
      <c r="H288" s="9"/>
    </row>
    <row r="289">
      <c r="A289" s="9"/>
      <c r="B289" s="9"/>
      <c r="C289" s="9"/>
      <c r="D289" s="9"/>
      <c r="E289" s="9"/>
      <c r="F289" s="9"/>
      <c r="G289" s="59"/>
      <c r="H289" s="9"/>
    </row>
    <row r="290">
      <c r="A290" s="9"/>
      <c r="B290" s="9"/>
      <c r="C290" s="9"/>
      <c r="D290" s="9"/>
      <c r="E290" s="9"/>
      <c r="F290" s="9"/>
      <c r="G290" s="59"/>
      <c r="H290" s="9"/>
    </row>
    <row r="291">
      <c r="A291" s="9"/>
      <c r="B291" s="9"/>
      <c r="C291" s="9"/>
      <c r="D291" s="9"/>
      <c r="E291" s="9"/>
      <c r="F291" s="9"/>
      <c r="G291" s="59"/>
      <c r="H291" s="9"/>
    </row>
    <row r="292">
      <c r="A292" s="9"/>
      <c r="B292" s="9"/>
      <c r="C292" s="9"/>
      <c r="D292" s="9"/>
      <c r="E292" s="9"/>
      <c r="F292" s="9"/>
      <c r="G292" s="59"/>
      <c r="H292" s="9"/>
    </row>
    <row r="293">
      <c r="A293" s="9"/>
      <c r="B293" s="9"/>
      <c r="C293" s="9"/>
      <c r="D293" s="9"/>
      <c r="E293" s="9"/>
      <c r="F293" s="9"/>
      <c r="G293" s="59"/>
      <c r="H293" s="9"/>
    </row>
    <row r="294">
      <c r="A294" s="9"/>
      <c r="B294" s="9"/>
      <c r="C294" s="9"/>
      <c r="D294" s="9"/>
      <c r="E294" s="9"/>
      <c r="F294" s="9"/>
      <c r="G294" s="59"/>
      <c r="H294" s="9"/>
    </row>
    <row r="295">
      <c r="A295" s="9"/>
      <c r="B295" s="9"/>
      <c r="C295" s="9"/>
      <c r="D295" s="9"/>
      <c r="E295" s="9"/>
      <c r="F295" s="9"/>
      <c r="G295" s="59"/>
      <c r="H295" s="9"/>
    </row>
    <row r="296">
      <c r="A296" s="9"/>
      <c r="B296" s="9"/>
      <c r="C296" s="9"/>
      <c r="D296" s="9"/>
      <c r="E296" s="9"/>
      <c r="F296" s="9"/>
      <c r="G296" s="59"/>
      <c r="H296" s="9"/>
    </row>
    <row r="297">
      <c r="A297" s="9"/>
      <c r="B297" s="9"/>
      <c r="C297" s="9"/>
      <c r="D297" s="9"/>
      <c r="E297" s="9"/>
      <c r="F297" s="9"/>
      <c r="G297" s="59"/>
      <c r="H297" s="9"/>
    </row>
    <row r="298">
      <c r="A298" s="9"/>
      <c r="B298" s="9"/>
      <c r="C298" s="9"/>
      <c r="D298" s="9"/>
      <c r="E298" s="9"/>
      <c r="F298" s="9"/>
      <c r="G298" s="59"/>
      <c r="H298" s="9"/>
    </row>
    <row r="299">
      <c r="A299" s="9"/>
      <c r="B299" s="9"/>
      <c r="C299" s="9"/>
      <c r="D299" s="9"/>
      <c r="E299" s="9"/>
      <c r="F299" s="9"/>
      <c r="G299" s="59"/>
      <c r="H299" s="9"/>
    </row>
    <row r="300">
      <c r="A300" s="9"/>
      <c r="B300" s="9"/>
      <c r="C300" s="9"/>
      <c r="D300" s="9"/>
      <c r="E300" s="9"/>
      <c r="F300" s="9"/>
      <c r="G300" s="59"/>
      <c r="H300" s="9"/>
    </row>
    <row r="301">
      <c r="A301" s="9"/>
      <c r="B301" s="9"/>
      <c r="C301" s="9"/>
      <c r="D301" s="9"/>
      <c r="E301" s="9"/>
      <c r="F301" s="9"/>
      <c r="G301" s="59"/>
      <c r="H301" s="9"/>
    </row>
    <row r="302">
      <c r="A302" s="9"/>
      <c r="B302" s="9"/>
      <c r="C302" s="9"/>
      <c r="D302" s="9"/>
      <c r="E302" s="9"/>
      <c r="F302" s="9"/>
      <c r="G302" s="59"/>
      <c r="H302" s="9"/>
    </row>
    <row r="303">
      <c r="A303" s="9"/>
      <c r="B303" s="9"/>
      <c r="C303" s="9"/>
      <c r="D303" s="9"/>
      <c r="E303" s="9"/>
      <c r="F303" s="9"/>
      <c r="G303" s="59"/>
      <c r="H303" s="9"/>
    </row>
    <row r="304">
      <c r="A304" s="9"/>
      <c r="B304" s="9"/>
      <c r="C304" s="9"/>
      <c r="D304" s="9"/>
      <c r="E304" s="9"/>
      <c r="F304" s="9"/>
      <c r="G304" s="59"/>
      <c r="H304" s="9"/>
    </row>
    <row r="305">
      <c r="A305" s="9"/>
      <c r="B305" s="9"/>
      <c r="C305" s="9"/>
      <c r="D305" s="9"/>
      <c r="E305" s="9"/>
      <c r="F305" s="9"/>
      <c r="G305" s="59"/>
      <c r="H305" s="9"/>
    </row>
    <row r="306">
      <c r="A306" s="9"/>
      <c r="B306" s="9"/>
      <c r="C306" s="9"/>
      <c r="D306" s="9"/>
      <c r="E306" s="9"/>
      <c r="F306" s="9"/>
      <c r="G306" s="59"/>
      <c r="H306" s="9"/>
    </row>
    <row r="307">
      <c r="A307" s="9"/>
      <c r="B307" s="9"/>
      <c r="C307" s="9"/>
      <c r="D307" s="9"/>
      <c r="E307" s="9"/>
      <c r="F307" s="9"/>
      <c r="G307" s="59"/>
      <c r="H307" s="9"/>
    </row>
    <row r="308">
      <c r="A308" s="9"/>
      <c r="B308" s="9"/>
      <c r="C308" s="9"/>
      <c r="D308" s="9"/>
      <c r="E308" s="9"/>
      <c r="F308" s="9"/>
      <c r="G308" s="59"/>
      <c r="H308" s="9"/>
    </row>
    <row r="309">
      <c r="A309" s="9"/>
      <c r="B309" s="9"/>
      <c r="C309" s="9"/>
      <c r="D309" s="9"/>
      <c r="E309" s="9"/>
      <c r="F309" s="9"/>
      <c r="G309" s="59"/>
      <c r="H309" s="9"/>
    </row>
    <row r="310">
      <c r="A310" s="9"/>
      <c r="B310" s="9"/>
      <c r="C310" s="9"/>
      <c r="D310" s="9"/>
      <c r="E310" s="9"/>
      <c r="F310" s="9"/>
      <c r="G310" s="59"/>
      <c r="H310" s="9"/>
    </row>
    <row r="311">
      <c r="A311" s="9"/>
      <c r="B311" s="9"/>
      <c r="C311" s="9"/>
      <c r="D311" s="9"/>
      <c r="E311" s="9"/>
      <c r="F311" s="9"/>
      <c r="G311" s="59"/>
      <c r="H311" s="9"/>
    </row>
    <row r="312">
      <c r="A312" s="9"/>
      <c r="B312" s="9"/>
      <c r="C312" s="9"/>
      <c r="D312" s="9"/>
      <c r="E312" s="9"/>
      <c r="F312" s="9"/>
      <c r="G312" s="59"/>
      <c r="H312" s="9"/>
    </row>
    <row r="313">
      <c r="A313" s="9"/>
      <c r="B313" s="9"/>
      <c r="C313" s="9"/>
      <c r="D313" s="9"/>
      <c r="E313" s="9"/>
      <c r="F313" s="9"/>
      <c r="G313" s="59"/>
      <c r="H313" s="9"/>
    </row>
    <row r="314">
      <c r="A314" s="9"/>
      <c r="B314" s="9"/>
      <c r="C314" s="9"/>
      <c r="D314" s="9"/>
      <c r="E314" s="9"/>
      <c r="F314" s="9"/>
      <c r="G314" s="59"/>
      <c r="H314" s="9"/>
    </row>
    <row r="315">
      <c r="A315" s="9"/>
      <c r="B315" s="9"/>
      <c r="C315" s="9"/>
      <c r="D315" s="9"/>
      <c r="E315" s="9"/>
      <c r="F315" s="9"/>
      <c r="G315" s="59"/>
      <c r="H315" s="9"/>
    </row>
    <row r="316">
      <c r="A316" s="9"/>
      <c r="B316" s="9"/>
      <c r="C316" s="9"/>
      <c r="D316" s="9"/>
      <c r="E316" s="9"/>
      <c r="F316" s="9"/>
      <c r="G316" s="59"/>
      <c r="H316" s="9"/>
    </row>
    <row r="317">
      <c r="A317" s="9"/>
      <c r="B317" s="9"/>
      <c r="C317" s="9"/>
      <c r="D317" s="9"/>
      <c r="E317" s="9"/>
      <c r="F317" s="9"/>
      <c r="G317" s="59"/>
      <c r="H317" s="9"/>
    </row>
    <row r="318">
      <c r="A318" s="9"/>
      <c r="B318" s="9"/>
      <c r="C318" s="9"/>
      <c r="D318" s="9"/>
      <c r="E318" s="9"/>
      <c r="F318" s="9"/>
      <c r="G318" s="59"/>
      <c r="H318" s="9"/>
    </row>
    <row r="319">
      <c r="A319" s="9"/>
      <c r="B319" s="9"/>
      <c r="C319" s="9"/>
      <c r="D319" s="9"/>
      <c r="E319" s="9"/>
      <c r="F319" s="9"/>
      <c r="G319" s="59"/>
      <c r="H319" s="9"/>
    </row>
    <row r="320">
      <c r="A320" s="9"/>
      <c r="B320" s="9"/>
      <c r="C320" s="9"/>
      <c r="D320" s="9"/>
      <c r="E320" s="9"/>
      <c r="F320" s="9"/>
      <c r="G320" s="59"/>
      <c r="H320" s="9"/>
    </row>
    <row r="321">
      <c r="A321" s="9"/>
      <c r="B321" s="9"/>
      <c r="C321" s="9"/>
      <c r="D321" s="9"/>
      <c r="E321" s="9"/>
      <c r="F321" s="9"/>
      <c r="G321" s="59"/>
      <c r="H321" s="9"/>
    </row>
    <row r="322">
      <c r="A322" s="9"/>
      <c r="B322" s="9"/>
      <c r="C322" s="9"/>
      <c r="D322" s="9"/>
      <c r="E322" s="9"/>
      <c r="F322" s="9"/>
      <c r="G322" s="59"/>
      <c r="H322" s="9"/>
    </row>
    <row r="323">
      <c r="A323" s="9"/>
      <c r="B323" s="9"/>
      <c r="C323" s="9"/>
      <c r="D323" s="9"/>
      <c r="E323" s="9"/>
      <c r="F323" s="9"/>
      <c r="G323" s="59"/>
      <c r="H323" s="9"/>
    </row>
    <row r="324">
      <c r="A324" s="9"/>
      <c r="B324" s="9"/>
      <c r="C324" s="9"/>
      <c r="D324" s="9"/>
      <c r="E324" s="9"/>
      <c r="F324" s="9"/>
      <c r="G324" s="59"/>
      <c r="H324" s="9"/>
    </row>
    <row r="325">
      <c r="A325" s="9"/>
      <c r="B325" s="9"/>
      <c r="C325" s="9"/>
      <c r="D325" s="9"/>
      <c r="E325" s="9"/>
      <c r="F325" s="9"/>
      <c r="G325" s="59"/>
      <c r="H325" s="9"/>
    </row>
    <row r="326">
      <c r="A326" s="9"/>
      <c r="B326" s="9"/>
      <c r="C326" s="9"/>
      <c r="D326" s="9"/>
      <c r="E326" s="9"/>
      <c r="F326" s="9"/>
      <c r="G326" s="59"/>
      <c r="H326" s="9"/>
    </row>
    <row r="327">
      <c r="A327" s="9"/>
      <c r="B327" s="9"/>
      <c r="C327" s="9"/>
      <c r="D327" s="9"/>
      <c r="E327" s="9"/>
      <c r="F327" s="9"/>
      <c r="G327" s="59"/>
      <c r="H327" s="9"/>
    </row>
    <row r="328">
      <c r="A328" s="9"/>
      <c r="B328" s="9"/>
      <c r="C328" s="9"/>
      <c r="D328" s="9"/>
      <c r="E328" s="9"/>
      <c r="F328" s="9"/>
      <c r="G328" s="59"/>
      <c r="H328" s="9"/>
    </row>
    <row r="329">
      <c r="A329" s="9"/>
      <c r="B329" s="9"/>
      <c r="C329" s="9"/>
      <c r="D329" s="9"/>
      <c r="E329" s="9"/>
      <c r="F329" s="9"/>
      <c r="G329" s="59"/>
      <c r="H329" s="9"/>
    </row>
    <row r="330">
      <c r="A330" s="9"/>
      <c r="B330" s="9"/>
      <c r="C330" s="9"/>
      <c r="D330" s="9"/>
      <c r="E330" s="9"/>
      <c r="F330" s="9"/>
      <c r="G330" s="59"/>
      <c r="H330" s="9"/>
    </row>
    <row r="331">
      <c r="A331" s="9"/>
      <c r="B331" s="9"/>
      <c r="C331" s="9"/>
      <c r="D331" s="9"/>
      <c r="E331" s="9"/>
      <c r="F331" s="9"/>
      <c r="G331" s="59"/>
      <c r="H331" s="9"/>
    </row>
    <row r="332">
      <c r="A332" s="9"/>
      <c r="B332" s="9"/>
      <c r="C332" s="9"/>
      <c r="D332" s="9"/>
      <c r="E332" s="9"/>
      <c r="F332" s="9"/>
      <c r="G332" s="59"/>
      <c r="H332" s="9"/>
    </row>
    <row r="333">
      <c r="A333" s="9"/>
      <c r="B333" s="9"/>
      <c r="C333" s="9"/>
      <c r="D333" s="9"/>
      <c r="E333" s="9"/>
      <c r="F333" s="9"/>
      <c r="G333" s="59"/>
      <c r="H333" s="9"/>
    </row>
    <row r="334">
      <c r="A334" s="9"/>
      <c r="B334" s="9"/>
      <c r="C334" s="9"/>
      <c r="D334" s="9"/>
      <c r="E334" s="9"/>
      <c r="F334" s="9"/>
      <c r="G334" s="59"/>
      <c r="H334" s="9"/>
    </row>
    <row r="335">
      <c r="A335" s="9"/>
      <c r="B335" s="9"/>
      <c r="C335" s="9"/>
      <c r="D335" s="9"/>
      <c r="E335" s="9"/>
      <c r="F335" s="9"/>
      <c r="G335" s="59"/>
      <c r="H335" s="9"/>
    </row>
    <row r="336">
      <c r="A336" s="9"/>
      <c r="B336" s="9"/>
      <c r="C336" s="9"/>
      <c r="D336" s="9"/>
      <c r="E336" s="9"/>
      <c r="F336" s="9"/>
      <c r="G336" s="59"/>
      <c r="H336" s="9"/>
    </row>
    <row r="337">
      <c r="A337" s="9"/>
      <c r="B337" s="9"/>
      <c r="C337" s="9"/>
      <c r="D337" s="9"/>
      <c r="E337" s="9"/>
      <c r="F337" s="9"/>
      <c r="G337" s="59"/>
      <c r="H337" s="9"/>
    </row>
    <row r="338">
      <c r="A338" s="9"/>
      <c r="B338" s="9"/>
      <c r="C338" s="9"/>
      <c r="D338" s="9"/>
      <c r="E338" s="9"/>
      <c r="F338" s="9"/>
      <c r="G338" s="59"/>
      <c r="H338" s="9"/>
    </row>
    <row r="339">
      <c r="A339" s="9"/>
      <c r="B339" s="9"/>
      <c r="C339" s="9"/>
      <c r="D339" s="9"/>
      <c r="E339" s="9"/>
      <c r="F339" s="9"/>
      <c r="G339" s="59"/>
      <c r="H339" s="9"/>
    </row>
    <row r="340">
      <c r="A340" s="9"/>
      <c r="B340" s="9"/>
      <c r="C340" s="9"/>
      <c r="D340" s="9"/>
      <c r="E340" s="9"/>
      <c r="F340" s="9"/>
      <c r="G340" s="59"/>
      <c r="H340" s="9"/>
    </row>
    <row r="341">
      <c r="A341" s="9"/>
      <c r="B341" s="9"/>
      <c r="C341" s="9"/>
      <c r="D341" s="9"/>
      <c r="E341" s="9"/>
      <c r="F341" s="9"/>
      <c r="G341" s="59"/>
      <c r="H341" s="9"/>
    </row>
    <row r="342">
      <c r="A342" s="9"/>
      <c r="B342" s="9"/>
      <c r="C342" s="9"/>
      <c r="D342" s="9"/>
      <c r="E342" s="9"/>
      <c r="F342" s="9"/>
      <c r="G342" s="59"/>
      <c r="H342" s="9"/>
    </row>
    <row r="343">
      <c r="A343" s="9"/>
      <c r="B343" s="9"/>
      <c r="C343" s="9"/>
      <c r="D343" s="9"/>
      <c r="E343" s="9"/>
      <c r="F343" s="9"/>
      <c r="G343" s="59"/>
      <c r="H343" s="9"/>
    </row>
    <row r="344">
      <c r="A344" s="9"/>
      <c r="B344" s="9"/>
      <c r="C344" s="9"/>
      <c r="D344" s="9"/>
      <c r="E344" s="9"/>
      <c r="F344" s="9"/>
      <c r="G344" s="59"/>
      <c r="H344" s="9"/>
    </row>
    <row r="345">
      <c r="A345" s="9"/>
      <c r="B345" s="9"/>
      <c r="C345" s="9"/>
      <c r="D345" s="9"/>
      <c r="E345" s="9"/>
      <c r="F345" s="9"/>
      <c r="G345" s="59"/>
      <c r="H345" s="9"/>
    </row>
    <row r="346">
      <c r="A346" s="9"/>
      <c r="B346" s="9"/>
      <c r="C346" s="9"/>
      <c r="D346" s="9"/>
      <c r="E346" s="9"/>
      <c r="F346" s="9"/>
      <c r="G346" s="59"/>
      <c r="H346" s="9"/>
    </row>
    <row r="347">
      <c r="A347" s="9"/>
      <c r="B347" s="9"/>
      <c r="C347" s="9"/>
      <c r="D347" s="9"/>
      <c r="E347" s="9"/>
      <c r="F347" s="9"/>
      <c r="G347" s="59"/>
      <c r="H347" s="9"/>
    </row>
    <row r="348">
      <c r="A348" s="9"/>
      <c r="B348" s="9"/>
      <c r="C348" s="9"/>
      <c r="D348" s="9"/>
      <c r="E348" s="9"/>
      <c r="F348" s="9"/>
      <c r="G348" s="59"/>
      <c r="H348" s="9"/>
    </row>
    <row r="349">
      <c r="A349" s="9"/>
      <c r="B349" s="9"/>
      <c r="C349" s="9"/>
      <c r="D349" s="9"/>
      <c r="E349" s="9"/>
      <c r="F349" s="9"/>
      <c r="G349" s="59"/>
      <c r="H349" s="9"/>
    </row>
    <row r="350">
      <c r="A350" s="9"/>
      <c r="B350" s="9"/>
      <c r="C350" s="9"/>
      <c r="D350" s="9"/>
      <c r="E350" s="9"/>
      <c r="F350" s="9"/>
      <c r="G350" s="59"/>
      <c r="H350" s="9"/>
    </row>
    <row r="351">
      <c r="A351" s="9"/>
      <c r="B351" s="9"/>
      <c r="C351" s="9"/>
      <c r="D351" s="9"/>
      <c r="E351" s="9"/>
      <c r="F351" s="9"/>
      <c r="G351" s="59"/>
      <c r="H351" s="9"/>
    </row>
    <row r="352">
      <c r="A352" s="9"/>
      <c r="B352" s="9"/>
      <c r="C352" s="9"/>
      <c r="D352" s="9"/>
      <c r="E352" s="9"/>
      <c r="F352" s="9"/>
      <c r="G352" s="59"/>
      <c r="H352" s="9"/>
    </row>
    <row r="353">
      <c r="A353" s="9"/>
      <c r="B353" s="9"/>
      <c r="C353" s="9"/>
      <c r="D353" s="9"/>
      <c r="E353" s="9"/>
      <c r="F353" s="9"/>
      <c r="G353" s="59"/>
      <c r="H353" s="9"/>
    </row>
    <row r="354">
      <c r="A354" s="9"/>
      <c r="B354" s="9"/>
      <c r="C354" s="9"/>
      <c r="D354" s="9"/>
      <c r="E354" s="9"/>
      <c r="F354" s="9"/>
      <c r="G354" s="59"/>
      <c r="H354" s="9"/>
    </row>
    <row r="355">
      <c r="A355" s="9"/>
      <c r="B355" s="9"/>
      <c r="C355" s="9"/>
      <c r="D355" s="9"/>
      <c r="E355" s="9"/>
      <c r="F355" s="9"/>
      <c r="G355" s="59"/>
      <c r="H355" s="9"/>
    </row>
    <row r="356">
      <c r="A356" s="9"/>
      <c r="B356" s="9"/>
      <c r="C356" s="9"/>
      <c r="D356" s="9"/>
      <c r="E356" s="9"/>
      <c r="F356" s="9"/>
      <c r="G356" s="59"/>
      <c r="H356" s="9"/>
    </row>
    <row r="357">
      <c r="A357" s="9"/>
      <c r="B357" s="9"/>
      <c r="C357" s="9"/>
      <c r="D357" s="9"/>
      <c r="E357" s="9"/>
      <c r="F357" s="9"/>
      <c r="G357" s="59"/>
      <c r="H357" s="9"/>
    </row>
    <row r="358">
      <c r="A358" s="9"/>
      <c r="B358" s="9"/>
      <c r="C358" s="9"/>
      <c r="D358" s="9"/>
      <c r="E358" s="9"/>
      <c r="F358" s="9"/>
      <c r="G358" s="59"/>
      <c r="H358" s="9"/>
    </row>
    <row r="359">
      <c r="A359" s="9"/>
      <c r="B359" s="9"/>
      <c r="C359" s="9"/>
      <c r="D359" s="9"/>
      <c r="E359" s="9"/>
      <c r="F359" s="9"/>
      <c r="G359" s="59"/>
      <c r="H359" s="9"/>
    </row>
    <row r="360">
      <c r="A360" s="9"/>
      <c r="B360" s="9"/>
      <c r="C360" s="9"/>
      <c r="D360" s="9"/>
      <c r="E360" s="9"/>
      <c r="F360" s="9"/>
      <c r="G360" s="59"/>
      <c r="H360" s="9"/>
    </row>
    <row r="361">
      <c r="A361" s="9"/>
      <c r="B361" s="9"/>
      <c r="C361" s="9"/>
      <c r="D361" s="9"/>
      <c r="E361" s="9"/>
      <c r="F361" s="9"/>
      <c r="G361" s="59"/>
      <c r="H361" s="9"/>
    </row>
    <row r="362">
      <c r="A362" s="9"/>
      <c r="B362" s="9"/>
      <c r="C362" s="9"/>
      <c r="D362" s="9"/>
      <c r="E362" s="9"/>
      <c r="F362" s="9"/>
      <c r="G362" s="59"/>
      <c r="H362" s="9"/>
    </row>
    <row r="363">
      <c r="A363" s="9"/>
      <c r="B363" s="9"/>
      <c r="C363" s="9"/>
      <c r="D363" s="9"/>
      <c r="E363" s="9"/>
      <c r="F363" s="9"/>
      <c r="G363" s="59"/>
      <c r="H363" s="9"/>
    </row>
    <row r="364">
      <c r="A364" s="9"/>
      <c r="B364" s="9"/>
      <c r="C364" s="9"/>
      <c r="D364" s="9"/>
      <c r="E364" s="9"/>
      <c r="F364" s="9"/>
      <c r="G364" s="59"/>
      <c r="H364" s="9"/>
    </row>
    <row r="365">
      <c r="A365" s="9"/>
      <c r="B365" s="9"/>
      <c r="C365" s="9"/>
      <c r="D365" s="9"/>
      <c r="E365" s="9"/>
      <c r="F365" s="9"/>
      <c r="G365" s="59"/>
      <c r="H365" s="9"/>
    </row>
    <row r="366">
      <c r="A366" s="9"/>
      <c r="B366" s="9"/>
      <c r="C366" s="9"/>
      <c r="D366" s="9"/>
      <c r="E366" s="9"/>
      <c r="F366" s="9"/>
      <c r="G366" s="59"/>
      <c r="H366" s="9"/>
    </row>
    <row r="367">
      <c r="A367" s="9"/>
      <c r="B367" s="9"/>
      <c r="C367" s="9"/>
      <c r="D367" s="9"/>
      <c r="E367" s="9"/>
      <c r="F367" s="9"/>
      <c r="G367" s="59"/>
      <c r="H367" s="9"/>
    </row>
    <row r="368">
      <c r="A368" s="9"/>
      <c r="B368" s="9"/>
      <c r="C368" s="9"/>
      <c r="D368" s="9"/>
      <c r="E368" s="9"/>
      <c r="F368" s="9"/>
      <c r="G368" s="59"/>
      <c r="H368" s="9"/>
    </row>
    <row r="369">
      <c r="A369" s="9"/>
      <c r="B369" s="9"/>
      <c r="C369" s="9"/>
      <c r="D369" s="9"/>
      <c r="E369" s="9"/>
      <c r="F369" s="9"/>
      <c r="G369" s="59"/>
      <c r="H369" s="9"/>
    </row>
    <row r="370">
      <c r="A370" s="9"/>
      <c r="B370" s="9"/>
      <c r="C370" s="9"/>
      <c r="D370" s="9"/>
      <c r="E370" s="9"/>
      <c r="F370" s="9"/>
      <c r="G370" s="59"/>
      <c r="H370" s="9"/>
    </row>
    <row r="371">
      <c r="A371" s="9"/>
      <c r="B371" s="9"/>
      <c r="C371" s="9"/>
      <c r="D371" s="9"/>
      <c r="E371" s="9"/>
      <c r="F371" s="9"/>
      <c r="G371" s="59"/>
      <c r="H371" s="9"/>
    </row>
    <row r="372">
      <c r="A372" s="9"/>
      <c r="B372" s="9"/>
      <c r="C372" s="9"/>
      <c r="D372" s="9"/>
      <c r="E372" s="9"/>
      <c r="F372" s="9"/>
      <c r="G372" s="59"/>
      <c r="H372" s="9"/>
    </row>
    <row r="373">
      <c r="A373" s="9"/>
      <c r="B373" s="9"/>
      <c r="C373" s="9"/>
      <c r="D373" s="9"/>
      <c r="E373" s="9"/>
      <c r="F373" s="9"/>
      <c r="G373" s="59"/>
      <c r="H373" s="9"/>
    </row>
    <row r="374">
      <c r="A374" s="9"/>
      <c r="B374" s="9"/>
      <c r="C374" s="9"/>
      <c r="D374" s="9"/>
      <c r="E374" s="9"/>
      <c r="F374" s="9"/>
      <c r="G374" s="59"/>
      <c r="H374" s="9"/>
    </row>
    <row r="375">
      <c r="A375" s="9"/>
      <c r="B375" s="9"/>
      <c r="C375" s="9"/>
      <c r="D375" s="9"/>
      <c r="E375" s="9"/>
      <c r="F375" s="9"/>
      <c r="G375" s="59"/>
      <c r="H375" s="9"/>
    </row>
    <row r="376">
      <c r="A376" s="9"/>
      <c r="B376" s="9"/>
      <c r="C376" s="9"/>
      <c r="D376" s="9"/>
      <c r="E376" s="9"/>
      <c r="F376" s="9"/>
      <c r="G376" s="59"/>
      <c r="H376" s="9"/>
    </row>
    <row r="377">
      <c r="A377" s="9"/>
      <c r="B377" s="9"/>
      <c r="C377" s="9"/>
      <c r="D377" s="9"/>
      <c r="E377" s="9"/>
      <c r="F377" s="9"/>
      <c r="G377" s="59"/>
      <c r="H377" s="9"/>
    </row>
    <row r="378">
      <c r="A378" s="9"/>
      <c r="B378" s="9"/>
      <c r="C378" s="9"/>
      <c r="D378" s="9"/>
      <c r="E378" s="9"/>
      <c r="F378" s="9"/>
      <c r="G378" s="59"/>
      <c r="H378" s="9"/>
    </row>
    <row r="379">
      <c r="A379" s="9"/>
      <c r="B379" s="9"/>
      <c r="C379" s="9"/>
      <c r="D379" s="9"/>
      <c r="E379" s="9"/>
      <c r="F379" s="9"/>
      <c r="G379" s="59"/>
      <c r="H379" s="9"/>
    </row>
    <row r="380">
      <c r="A380" s="9"/>
      <c r="B380" s="9"/>
      <c r="C380" s="9"/>
      <c r="D380" s="9"/>
      <c r="E380" s="9"/>
      <c r="F380" s="9"/>
      <c r="G380" s="59"/>
      <c r="H380" s="9"/>
    </row>
    <row r="381">
      <c r="A381" s="9"/>
      <c r="B381" s="9"/>
      <c r="C381" s="9"/>
      <c r="D381" s="9"/>
      <c r="E381" s="9"/>
      <c r="F381" s="9"/>
      <c r="G381" s="59"/>
      <c r="H381" s="9"/>
    </row>
    <row r="382">
      <c r="A382" s="9"/>
      <c r="B382" s="9"/>
      <c r="C382" s="9"/>
      <c r="D382" s="9"/>
      <c r="E382" s="9"/>
      <c r="F382" s="9"/>
      <c r="G382" s="59"/>
      <c r="H382" s="9"/>
    </row>
    <row r="383">
      <c r="A383" s="9"/>
      <c r="B383" s="9"/>
      <c r="C383" s="9"/>
      <c r="D383" s="9"/>
      <c r="E383" s="9"/>
      <c r="F383" s="9"/>
      <c r="G383" s="59"/>
      <c r="H383" s="9"/>
    </row>
    <row r="384">
      <c r="A384" s="9"/>
      <c r="B384" s="9"/>
      <c r="C384" s="9"/>
      <c r="D384" s="9"/>
      <c r="E384" s="9"/>
      <c r="F384" s="9"/>
      <c r="G384" s="59"/>
      <c r="H384" s="9"/>
    </row>
    <row r="385">
      <c r="A385" s="9"/>
      <c r="B385" s="9"/>
      <c r="C385" s="9"/>
      <c r="D385" s="9"/>
      <c r="E385" s="9"/>
      <c r="F385" s="9"/>
      <c r="G385" s="59"/>
      <c r="H385" s="9"/>
    </row>
    <row r="386">
      <c r="A386" s="9"/>
      <c r="B386" s="9"/>
      <c r="C386" s="9"/>
      <c r="D386" s="9"/>
      <c r="E386" s="9"/>
      <c r="F386" s="9"/>
      <c r="G386" s="59"/>
      <c r="H386" s="9"/>
    </row>
    <row r="387">
      <c r="A387" s="9"/>
      <c r="B387" s="9"/>
      <c r="C387" s="9"/>
      <c r="D387" s="9"/>
      <c r="E387" s="9"/>
      <c r="F387" s="9"/>
      <c r="G387" s="59"/>
      <c r="H387" s="9"/>
    </row>
    <row r="388">
      <c r="A388" s="9"/>
      <c r="B388" s="9"/>
      <c r="C388" s="9"/>
      <c r="D388" s="9"/>
      <c r="E388" s="9"/>
      <c r="F388" s="9"/>
      <c r="G388" s="59"/>
      <c r="H388" s="9"/>
    </row>
    <row r="389">
      <c r="A389" s="9"/>
      <c r="B389" s="9"/>
      <c r="C389" s="9"/>
      <c r="D389" s="9"/>
      <c r="E389" s="9"/>
      <c r="F389" s="9"/>
      <c r="G389" s="59"/>
      <c r="H389" s="9"/>
    </row>
    <row r="390">
      <c r="A390" s="9"/>
      <c r="B390" s="9"/>
      <c r="C390" s="9"/>
      <c r="D390" s="9"/>
      <c r="E390" s="9"/>
      <c r="F390" s="9"/>
      <c r="G390" s="59"/>
      <c r="H390" s="9"/>
    </row>
    <row r="391">
      <c r="A391" s="9"/>
      <c r="B391" s="9"/>
      <c r="C391" s="9"/>
      <c r="D391" s="9"/>
      <c r="E391" s="9"/>
      <c r="F391" s="9"/>
      <c r="G391" s="59"/>
      <c r="H391" s="9"/>
    </row>
    <row r="392">
      <c r="A392" s="9"/>
      <c r="B392" s="9"/>
      <c r="C392" s="9"/>
      <c r="D392" s="9"/>
      <c r="E392" s="9"/>
      <c r="F392" s="9"/>
      <c r="G392" s="59"/>
      <c r="H392" s="9"/>
    </row>
    <row r="393">
      <c r="A393" s="9"/>
      <c r="B393" s="9"/>
      <c r="C393" s="9"/>
      <c r="D393" s="9"/>
      <c r="E393" s="9"/>
      <c r="F393" s="9"/>
      <c r="G393" s="59"/>
      <c r="H393" s="9"/>
    </row>
    <row r="394">
      <c r="A394" s="9"/>
      <c r="B394" s="9"/>
      <c r="C394" s="9"/>
      <c r="D394" s="9"/>
      <c r="E394" s="9"/>
      <c r="F394" s="9"/>
      <c r="G394" s="59"/>
      <c r="H394" s="9"/>
    </row>
    <row r="395">
      <c r="A395" s="9"/>
      <c r="B395" s="9"/>
      <c r="C395" s="9"/>
      <c r="D395" s="9"/>
      <c r="E395" s="9"/>
      <c r="F395" s="9"/>
      <c r="G395" s="59"/>
      <c r="H395" s="9"/>
    </row>
    <row r="396">
      <c r="A396" s="9"/>
      <c r="B396" s="9"/>
      <c r="C396" s="9"/>
      <c r="D396" s="9"/>
      <c r="E396" s="9"/>
      <c r="F396" s="9"/>
      <c r="G396" s="59"/>
      <c r="H396" s="9"/>
    </row>
    <row r="397">
      <c r="A397" s="9"/>
      <c r="B397" s="9"/>
      <c r="C397" s="9"/>
      <c r="D397" s="9"/>
      <c r="E397" s="9"/>
      <c r="F397" s="9"/>
      <c r="G397" s="59"/>
      <c r="H397" s="9"/>
    </row>
    <row r="398">
      <c r="A398" s="9"/>
      <c r="B398" s="9"/>
      <c r="C398" s="9"/>
      <c r="D398" s="9"/>
      <c r="E398" s="9"/>
      <c r="F398" s="9"/>
      <c r="G398" s="59"/>
      <c r="H398" s="9"/>
    </row>
    <row r="399">
      <c r="A399" s="9"/>
      <c r="B399" s="9"/>
      <c r="C399" s="9"/>
      <c r="D399" s="9"/>
      <c r="E399" s="9"/>
      <c r="F399" s="9"/>
      <c r="G399" s="59"/>
      <c r="H399" s="9"/>
    </row>
    <row r="400">
      <c r="A400" s="9"/>
      <c r="B400" s="9"/>
      <c r="C400" s="9"/>
      <c r="D400" s="9"/>
      <c r="E400" s="9"/>
      <c r="F400" s="9"/>
      <c r="G400" s="59"/>
      <c r="H400" s="9"/>
    </row>
    <row r="401">
      <c r="A401" s="9"/>
      <c r="B401" s="9"/>
      <c r="C401" s="9"/>
      <c r="D401" s="9"/>
      <c r="E401" s="9"/>
      <c r="F401" s="9"/>
      <c r="G401" s="59"/>
      <c r="H401" s="9"/>
    </row>
    <row r="402">
      <c r="A402" s="9"/>
      <c r="B402" s="9"/>
      <c r="C402" s="9"/>
      <c r="D402" s="9"/>
      <c r="E402" s="9"/>
      <c r="F402" s="9"/>
      <c r="G402" s="59"/>
      <c r="H402" s="9"/>
    </row>
    <row r="403">
      <c r="A403" s="9"/>
      <c r="B403" s="9"/>
      <c r="C403" s="9"/>
      <c r="D403" s="9"/>
      <c r="E403" s="9"/>
      <c r="F403" s="9"/>
      <c r="G403" s="59"/>
      <c r="H403" s="9"/>
    </row>
    <row r="404">
      <c r="A404" s="9"/>
      <c r="B404" s="9"/>
      <c r="C404" s="9"/>
      <c r="D404" s="9"/>
      <c r="E404" s="9"/>
      <c r="F404" s="9"/>
      <c r="G404" s="59"/>
      <c r="H404" s="9"/>
    </row>
    <row r="405">
      <c r="A405" s="9"/>
      <c r="B405" s="9"/>
      <c r="C405" s="9"/>
      <c r="D405" s="9"/>
      <c r="E405" s="9"/>
      <c r="F405" s="9"/>
      <c r="G405" s="59"/>
      <c r="H405" s="9"/>
    </row>
    <row r="406">
      <c r="A406" s="9"/>
      <c r="B406" s="9"/>
      <c r="C406" s="9"/>
      <c r="D406" s="9"/>
      <c r="E406" s="9"/>
      <c r="F406" s="9"/>
      <c r="G406" s="59"/>
      <c r="H406" s="9"/>
    </row>
    <row r="407">
      <c r="A407" s="9"/>
      <c r="B407" s="9"/>
      <c r="C407" s="9"/>
      <c r="D407" s="9"/>
      <c r="E407" s="9"/>
      <c r="F407" s="9"/>
      <c r="G407" s="59"/>
      <c r="H407" s="9"/>
    </row>
    <row r="408">
      <c r="A408" s="9"/>
      <c r="B408" s="9"/>
      <c r="C408" s="9"/>
      <c r="D408" s="9"/>
      <c r="E408" s="9"/>
      <c r="F408" s="9"/>
      <c r="G408" s="59"/>
      <c r="H408" s="9"/>
    </row>
    <row r="409">
      <c r="A409" s="9"/>
      <c r="B409" s="9"/>
      <c r="C409" s="9"/>
      <c r="D409" s="9"/>
      <c r="E409" s="9"/>
      <c r="F409" s="9"/>
      <c r="G409" s="59"/>
      <c r="H409" s="9"/>
    </row>
    <row r="410">
      <c r="A410" s="9"/>
      <c r="B410" s="9"/>
      <c r="C410" s="9"/>
      <c r="D410" s="9"/>
      <c r="E410" s="9"/>
      <c r="F410" s="9"/>
      <c r="G410" s="59"/>
      <c r="H410" s="9"/>
    </row>
    <row r="411">
      <c r="A411" s="9"/>
      <c r="B411" s="9"/>
      <c r="C411" s="9"/>
      <c r="D411" s="9"/>
      <c r="E411" s="9"/>
      <c r="F411" s="9"/>
      <c r="G411" s="59"/>
      <c r="H411" s="9"/>
    </row>
    <row r="412">
      <c r="A412" s="9"/>
      <c r="B412" s="9"/>
      <c r="C412" s="9"/>
      <c r="D412" s="9"/>
      <c r="E412" s="9"/>
      <c r="F412" s="9"/>
      <c r="G412" s="59"/>
      <c r="H412" s="9"/>
    </row>
    <row r="413">
      <c r="A413" s="9"/>
      <c r="B413" s="9"/>
      <c r="C413" s="9"/>
      <c r="D413" s="9"/>
      <c r="E413" s="9"/>
      <c r="F413" s="9"/>
      <c r="G413" s="59"/>
      <c r="H413" s="9"/>
    </row>
    <row r="414">
      <c r="A414" s="9"/>
      <c r="B414" s="9"/>
      <c r="C414" s="9"/>
      <c r="D414" s="9"/>
      <c r="E414" s="9"/>
      <c r="F414" s="9"/>
      <c r="G414" s="59"/>
      <c r="H414" s="9"/>
    </row>
    <row r="415">
      <c r="A415" s="9"/>
      <c r="B415" s="9"/>
      <c r="C415" s="9"/>
      <c r="D415" s="9"/>
      <c r="E415" s="9"/>
      <c r="F415" s="9"/>
      <c r="G415" s="59"/>
      <c r="H415" s="9"/>
    </row>
    <row r="416">
      <c r="A416" s="9"/>
      <c r="B416" s="9"/>
      <c r="C416" s="9"/>
      <c r="D416" s="9"/>
      <c r="E416" s="9"/>
      <c r="F416" s="9"/>
      <c r="G416" s="59"/>
      <c r="H416" s="9"/>
    </row>
    <row r="417">
      <c r="A417" s="9"/>
      <c r="B417" s="9"/>
      <c r="C417" s="9"/>
      <c r="D417" s="9"/>
      <c r="E417" s="9"/>
      <c r="F417" s="9"/>
      <c r="G417" s="59"/>
      <c r="H417" s="9"/>
    </row>
    <row r="418">
      <c r="A418" s="9"/>
      <c r="B418" s="9"/>
      <c r="C418" s="9"/>
      <c r="D418" s="9"/>
      <c r="E418" s="9"/>
      <c r="F418" s="9"/>
      <c r="G418" s="59"/>
      <c r="H418" s="9"/>
    </row>
    <row r="419">
      <c r="A419" s="9"/>
      <c r="B419" s="9"/>
      <c r="C419" s="9"/>
      <c r="D419" s="9"/>
      <c r="E419" s="9"/>
      <c r="F419" s="9"/>
      <c r="G419" s="59"/>
      <c r="H419" s="9"/>
    </row>
    <row r="420">
      <c r="A420" s="9"/>
      <c r="B420" s="9"/>
      <c r="C420" s="9"/>
      <c r="D420" s="9"/>
      <c r="E420" s="9"/>
      <c r="F420" s="9"/>
      <c r="G420" s="59"/>
      <c r="H420" s="9"/>
    </row>
    <row r="421">
      <c r="A421" s="9"/>
      <c r="B421" s="9"/>
      <c r="C421" s="9"/>
      <c r="D421" s="9"/>
      <c r="E421" s="9"/>
      <c r="F421" s="9"/>
      <c r="G421" s="59"/>
      <c r="H421" s="9"/>
    </row>
    <row r="422">
      <c r="A422" s="9"/>
      <c r="B422" s="9"/>
      <c r="C422" s="9"/>
      <c r="D422" s="9"/>
      <c r="E422" s="9"/>
      <c r="F422" s="9"/>
      <c r="G422" s="59"/>
      <c r="H422" s="9"/>
    </row>
    <row r="423">
      <c r="A423" s="9"/>
      <c r="B423" s="9"/>
      <c r="C423" s="9"/>
      <c r="D423" s="9"/>
      <c r="E423" s="9"/>
      <c r="F423" s="9"/>
      <c r="G423" s="59"/>
      <c r="H423" s="9"/>
    </row>
    <row r="424">
      <c r="A424" s="9"/>
      <c r="B424" s="9"/>
      <c r="C424" s="9"/>
      <c r="D424" s="9"/>
      <c r="E424" s="9"/>
      <c r="F424" s="9"/>
      <c r="G424" s="59"/>
      <c r="H424" s="9"/>
    </row>
    <row r="425">
      <c r="A425" s="9"/>
      <c r="B425" s="9"/>
      <c r="C425" s="9"/>
      <c r="D425" s="9"/>
      <c r="E425" s="9"/>
      <c r="F425" s="9"/>
      <c r="G425" s="59"/>
      <c r="H425" s="9"/>
    </row>
    <row r="426">
      <c r="A426" s="9"/>
      <c r="B426" s="9"/>
      <c r="C426" s="9"/>
      <c r="D426" s="9"/>
      <c r="E426" s="9"/>
      <c r="F426" s="9"/>
      <c r="G426" s="59"/>
      <c r="H426" s="9"/>
    </row>
    <row r="427">
      <c r="A427" s="9"/>
      <c r="B427" s="9"/>
      <c r="C427" s="9"/>
      <c r="D427" s="9"/>
      <c r="E427" s="9"/>
      <c r="F427" s="9"/>
      <c r="G427" s="59"/>
      <c r="H427" s="9"/>
    </row>
    <row r="428">
      <c r="A428" s="9"/>
      <c r="B428" s="9"/>
      <c r="C428" s="9"/>
      <c r="D428" s="9"/>
      <c r="E428" s="9"/>
      <c r="F428" s="9"/>
      <c r="G428" s="59"/>
      <c r="H428" s="9"/>
    </row>
    <row r="429">
      <c r="A429" s="9"/>
      <c r="B429" s="9"/>
      <c r="C429" s="9"/>
      <c r="D429" s="9"/>
      <c r="E429" s="9"/>
      <c r="F429" s="9"/>
      <c r="G429" s="59"/>
      <c r="H429" s="9"/>
    </row>
    <row r="430">
      <c r="A430" s="9"/>
      <c r="B430" s="9"/>
      <c r="C430" s="9"/>
      <c r="D430" s="9"/>
      <c r="E430" s="9"/>
      <c r="F430" s="9"/>
      <c r="G430" s="59"/>
      <c r="H430" s="9"/>
    </row>
    <row r="431">
      <c r="A431" s="9"/>
      <c r="B431" s="9"/>
      <c r="C431" s="9"/>
      <c r="D431" s="9"/>
      <c r="E431" s="9"/>
      <c r="F431" s="9"/>
      <c r="G431" s="59"/>
      <c r="H431" s="9"/>
    </row>
    <row r="432">
      <c r="A432" s="9"/>
      <c r="B432" s="9"/>
      <c r="C432" s="9"/>
      <c r="D432" s="9"/>
      <c r="E432" s="9"/>
      <c r="F432" s="9"/>
      <c r="G432" s="59"/>
      <c r="H432" s="9"/>
    </row>
    <row r="433">
      <c r="A433" s="9"/>
      <c r="B433" s="9"/>
      <c r="C433" s="9"/>
      <c r="D433" s="9"/>
      <c r="E433" s="9"/>
      <c r="F433" s="9"/>
      <c r="G433" s="59"/>
      <c r="H433" s="9"/>
    </row>
    <row r="434">
      <c r="A434" s="9"/>
      <c r="B434" s="9"/>
      <c r="C434" s="9"/>
      <c r="D434" s="9"/>
      <c r="E434" s="9"/>
      <c r="F434" s="9"/>
      <c r="G434" s="59"/>
      <c r="H434" s="9"/>
    </row>
    <row r="435">
      <c r="A435" s="9"/>
      <c r="B435" s="9"/>
      <c r="C435" s="9"/>
      <c r="D435" s="9"/>
      <c r="E435" s="9"/>
      <c r="F435" s="9"/>
      <c r="G435" s="59"/>
      <c r="H435" s="9"/>
    </row>
    <row r="436">
      <c r="A436" s="9"/>
      <c r="B436" s="9"/>
      <c r="C436" s="9"/>
      <c r="D436" s="9"/>
      <c r="E436" s="9"/>
      <c r="F436" s="9"/>
      <c r="G436" s="59"/>
      <c r="H436" s="9"/>
    </row>
    <row r="437">
      <c r="A437" s="9"/>
      <c r="B437" s="9"/>
      <c r="C437" s="9"/>
      <c r="D437" s="9"/>
      <c r="E437" s="9"/>
      <c r="F437" s="9"/>
      <c r="G437" s="59"/>
      <c r="H437" s="9"/>
    </row>
    <row r="438">
      <c r="A438" s="9"/>
      <c r="B438" s="9"/>
      <c r="C438" s="9"/>
      <c r="D438" s="9"/>
      <c r="E438" s="9"/>
      <c r="F438" s="9"/>
      <c r="G438" s="59"/>
      <c r="H438" s="9"/>
    </row>
    <row r="439">
      <c r="A439" s="9"/>
      <c r="B439" s="9"/>
      <c r="C439" s="9"/>
      <c r="D439" s="9"/>
      <c r="E439" s="9"/>
      <c r="F439" s="9"/>
      <c r="G439" s="59"/>
      <c r="H439" s="9"/>
    </row>
    <row r="440">
      <c r="A440" s="9"/>
      <c r="B440" s="9"/>
      <c r="C440" s="9"/>
      <c r="D440" s="9"/>
      <c r="E440" s="9"/>
      <c r="F440" s="9"/>
      <c r="G440" s="59"/>
      <c r="H440" s="9"/>
    </row>
    <row r="441">
      <c r="A441" s="9"/>
      <c r="B441" s="9"/>
      <c r="C441" s="9"/>
      <c r="D441" s="9"/>
      <c r="E441" s="9"/>
      <c r="F441" s="9"/>
      <c r="G441" s="59"/>
      <c r="H441" s="9"/>
    </row>
    <row r="442">
      <c r="A442" s="9"/>
      <c r="B442" s="9"/>
      <c r="C442" s="9"/>
      <c r="D442" s="9"/>
      <c r="E442" s="9"/>
      <c r="F442" s="9"/>
      <c r="G442" s="59"/>
      <c r="H442" s="9"/>
    </row>
    <row r="443">
      <c r="A443" s="9"/>
      <c r="B443" s="9"/>
      <c r="C443" s="9"/>
      <c r="D443" s="9"/>
      <c r="E443" s="9"/>
      <c r="F443" s="9"/>
      <c r="G443" s="59"/>
      <c r="H443" s="9"/>
    </row>
    <row r="444">
      <c r="A444" s="9"/>
      <c r="B444" s="9"/>
      <c r="C444" s="9"/>
      <c r="D444" s="9"/>
      <c r="E444" s="9"/>
      <c r="F444" s="9"/>
      <c r="G444" s="59"/>
      <c r="H444" s="9"/>
    </row>
    <row r="445">
      <c r="A445" s="9"/>
      <c r="B445" s="9"/>
      <c r="C445" s="9"/>
      <c r="D445" s="9"/>
      <c r="E445" s="9"/>
      <c r="F445" s="9"/>
      <c r="G445" s="59"/>
      <c r="H445" s="9"/>
    </row>
    <row r="446">
      <c r="A446" s="9"/>
      <c r="B446" s="9"/>
      <c r="C446" s="9"/>
      <c r="D446" s="9"/>
      <c r="E446" s="9"/>
      <c r="F446" s="9"/>
      <c r="G446" s="59"/>
      <c r="H446" s="9"/>
    </row>
    <row r="447">
      <c r="A447" s="9"/>
      <c r="B447" s="9"/>
      <c r="C447" s="9"/>
      <c r="D447" s="9"/>
      <c r="E447" s="9"/>
      <c r="F447" s="9"/>
      <c r="G447" s="59"/>
      <c r="H447" s="9"/>
    </row>
    <row r="448">
      <c r="A448" s="9"/>
      <c r="B448" s="9"/>
      <c r="C448" s="9"/>
      <c r="D448" s="9"/>
      <c r="E448" s="9"/>
      <c r="F448" s="9"/>
      <c r="G448" s="59"/>
      <c r="H448" s="9"/>
    </row>
    <row r="449">
      <c r="A449" s="9"/>
      <c r="B449" s="9"/>
      <c r="C449" s="9"/>
      <c r="D449" s="9"/>
      <c r="E449" s="9"/>
      <c r="F449" s="9"/>
      <c r="G449" s="59"/>
      <c r="H449" s="9"/>
    </row>
    <row r="450">
      <c r="A450" s="9"/>
      <c r="B450" s="9"/>
      <c r="C450" s="9"/>
      <c r="D450" s="9"/>
      <c r="E450" s="9"/>
      <c r="F450" s="9"/>
      <c r="G450" s="59"/>
      <c r="H450" s="9"/>
    </row>
    <row r="451">
      <c r="A451" s="9"/>
      <c r="B451" s="9"/>
      <c r="C451" s="9"/>
      <c r="D451" s="9"/>
      <c r="E451" s="9"/>
      <c r="F451" s="9"/>
      <c r="G451" s="59"/>
      <c r="H451" s="9"/>
    </row>
    <row r="452">
      <c r="A452" s="9"/>
      <c r="B452" s="9"/>
      <c r="C452" s="9"/>
      <c r="D452" s="9"/>
      <c r="E452" s="9"/>
      <c r="F452" s="9"/>
      <c r="G452" s="59"/>
      <c r="H452" s="9"/>
    </row>
    <row r="453">
      <c r="A453" s="9"/>
      <c r="B453" s="9"/>
      <c r="C453" s="9"/>
      <c r="D453" s="9"/>
      <c r="E453" s="9"/>
      <c r="F453" s="9"/>
      <c r="G453" s="59"/>
      <c r="H453" s="9"/>
    </row>
    <row r="454">
      <c r="A454" s="9"/>
      <c r="B454" s="9"/>
      <c r="C454" s="9"/>
      <c r="D454" s="9"/>
      <c r="E454" s="9"/>
      <c r="F454" s="9"/>
      <c r="G454" s="59"/>
      <c r="H454" s="9"/>
    </row>
    <row r="455">
      <c r="A455" s="9"/>
      <c r="B455" s="9"/>
      <c r="C455" s="9"/>
      <c r="D455" s="9"/>
      <c r="E455" s="9"/>
      <c r="F455" s="9"/>
      <c r="G455" s="59"/>
      <c r="H455" s="9"/>
    </row>
    <row r="456">
      <c r="A456" s="9"/>
      <c r="B456" s="9"/>
      <c r="C456" s="9"/>
      <c r="D456" s="9"/>
      <c r="E456" s="9"/>
      <c r="F456" s="9"/>
      <c r="G456" s="59"/>
      <c r="H456" s="9"/>
    </row>
    <row r="457">
      <c r="A457" s="9"/>
      <c r="B457" s="9"/>
      <c r="C457" s="9"/>
      <c r="D457" s="9"/>
      <c r="E457" s="9"/>
      <c r="F457" s="9"/>
      <c r="G457" s="59"/>
      <c r="H457" s="9"/>
    </row>
    <row r="458">
      <c r="A458" s="9"/>
      <c r="B458" s="9"/>
      <c r="C458" s="9"/>
      <c r="D458" s="9"/>
      <c r="E458" s="9"/>
      <c r="F458" s="9"/>
      <c r="G458" s="59"/>
      <c r="H458" s="9"/>
    </row>
    <row r="459">
      <c r="A459" s="9"/>
      <c r="B459" s="9"/>
      <c r="C459" s="9"/>
      <c r="D459" s="9"/>
      <c r="E459" s="9"/>
      <c r="F459" s="9"/>
      <c r="G459" s="59"/>
      <c r="H459" s="9"/>
    </row>
    <row r="460">
      <c r="A460" s="9"/>
      <c r="B460" s="9"/>
      <c r="C460" s="9"/>
      <c r="D460" s="9"/>
      <c r="E460" s="9"/>
      <c r="F460" s="9"/>
      <c r="G460" s="59"/>
      <c r="H460" s="9"/>
    </row>
    <row r="461">
      <c r="A461" s="9"/>
      <c r="B461" s="9"/>
      <c r="C461" s="9"/>
      <c r="D461" s="9"/>
      <c r="E461" s="9"/>
      <c r="F461" s="9"/>
      <c r="G461" s="59"/>
      <c r="H461" s="9"/>
    </row>
    <row r="462">
      <c r="A462" s="9"/>
      <c r="B462" s="9"/>
      <c r="C462" s="9"/>
      <c r="D462" s="9"/>
      <c r="E462" s="9"/>
      <c r="F462" s="9"/>
      <c r="G462" s="59"/>
      <c r="H462" s="9"/>
    </row>
    <row r="463">
      <c r="A463" s="9"/>
      <c r="B463" s="9"/>
      <c r="C463" s="9"/>
      <c r="D463" s="9"/>
      <c r="E463" s="9"/>
      <c r="F463" s="9"/>
      <c r="G463" s="59"/>
      <c r="H463" s="9"/>
    </row>
    <row r="464">
      <c r="A464" s="9"/>
      <c r="B464" s="9"/>
      <c r="C464" s="9"/>
      <c r="D464" s="9"/>
      <c r="E464" s="9"/>
      <c r="F464" s="9"/>
      <c r="G464" s="59"/>
      <c r="H464" s="9"/>
    </row>
    <row r="465">
      <c r="A465" s="9"/>
      <c r="B465" s="9"/>
      <c r="C465" s="9"/>
      <c r="D465" s="9"/>
      <c r="E465" s="9"/>
      <c r="F465" s="9"/>
      <c r="G465" s="59"/>
      <c r="H465" s="9"/>
    </row>
    <row r="466">
      <c r="A466" s="9"/>
      <c r="B466" s="9"/>
      <c r="C466" s="9"/>
      <c r="D466" s="9"/>
      <c r="E466" s="9"/>
      <c r="F466" s="9"/>
      <c r="G466" s="59"/>
      <c r="H466" s="9"/>
    </row>
    <row r="467">
      <c r="A467" s="9"/>
      <c r="B467" s="9"/>
      <c r="C467" s="9"/>
      <c r="D467" s="9"/>
      <c r="E467" s="9"/>
      <c r="F467" s="9"/>
      <c r="G467" s="59"/>
      <c r="H467" s="9"/>
    </row>
    <row r="468">
      <c r="A468" s="9"/>
      <c r="B468" s="9"/>
      <c r="C468" s="9"/>
      <c r="D468" s="9"/>
      <c r="E468" s="9"/>
      <c r="F468" s="9"/>
      <c r="G468" s="59"/>
      <c r="H468" s="9"/>
    </row>
    <row r="469">
      <c r="A469" s="9"/>
      <c r="B469" s="9"/>
      <c r="C469" s="9"/>
      <c r="D469" s="9"/>
      <c r="E469" s="9"/>
      <c r="F469" s="9"/>
      <c r="G469" s="59"/>
      <c r="H469" s="9"/>
    </row>
    <row r="470">
      <c r="A470" s="9"/>
      <c r="B470" s="9"/>
      <c r="C470" s="9"/>
      <c r="D470" s="9"/>
      <c r="E470" s="9"/>
      <c r="F470" s="9"/>
      <c r="G470" s="59"/>
      <c r="H470" s="9"/>
    </row>
    <row r="471">
      <c r="A471" s="9"/>
      <c r="B471" s="9"/>
      <c r="C471" s="9"/>
      <c r="D471" s="9"/>
      <c r="E471" s="9"/>
      <c r="F471" s="9"/>
      <c r="G471" s="59"/>
      <c r="H471" s="9"/>
    </row>
    <row r="472">
      <c r="A472" s="9"/>
      <c r="B472" s="9"/>
      <c r="C472" s="9"/>
      <c r="D472" s="9"/>
      <c r="E472" s="9"/>
      <c r="F472" s="9"/>
      <c r="G472" s="59"/>
      <c r="H472" s="9"/>
    </row>
    <row r="473">
      <c r="A473" s="9"/>
      <c r="B473" s="9"/>
      <c r="C473" s="9"/>
      <c r="D473" s="9"/>
      <c r="E473" s="9"/>
      <c r="F473" s="9"/>
      <c r="G473" s="59"/>
      <c r="H473" s="9"/>
    </row>
    <row r="474">
      <c r="A474" s="9"/>
      <c r="B474" s="9"/>
      <c r="C474" s="9"/>
      <c r="D474" s="9"/>
      <c r="E474" s="9"/>
      <c r="F474" s="9"/>
      <c r="G474" s="59"/>
      <c r="H474" s="9"/>
    </row>
    <row r="475">
      <c r="A475" s="9"/>
      <c r="B475" s="9"/>
      <c r="C475" s="9"/>
      <c r="D475" s="9"/>
      <c r="E475" s="9"/>
      <c r="F475" s="9"/>
      <c r="G475" s="59"/>
      <c r="H475" s="9"/>
    </row>
    <row r="476">
      <c r="A476" s="9"/>
      <c r="B476" s="9"/>
      <c r="C476" s="9"/>
      <c r="D476" s="9"/>
      <c r="E476" s="9"/>
      <c r="F476" s="9"/>
      <c r="G476" s="59"/>
      <c r="H476" s="9"/>
    </row>
    <row r="477">
      <c r="A477" s="9"/>
      <c r="B477" s="9"/>
      <c r="C477" s="9"/>
      <c r="D477" s="9"/>
      <c r="E477" s="9"/>
      <c r="F477" s="9"/>
      <c r="G477" s="59"/>
      <c r="H477" s="9"/>
    </row>
    <row r="478">
      <c r="A478" s="9"/>
      <c r="B478" s="9"/>
      <c r="C478" s="9"/>
      <c r="D478" s="9"/>
      <c r="E478" s="9"/>
      <c r="F478" s="9"/>
      <c r="G478" s="59"/>
      <c r="H478" s="9"/>
    </row>
    <row r="479">
      <c r="A479" s="9"/>
      <c r="B479" s="9"/>
      <c r="C479" s="9"/>
      <c r="D479" s="9"/>
      <c r="E479" s="9"/>
      <c r="F479" s="9"/>
      <c r="G479" s="59"/>
      <c r="H479" s="9"/>
    </row>
    <row r="480">
      <c r="A480" s="9"/>
      <c r="B480" s="9"/>
      <c r="C480" s="9"/>
      <c r="D480" s="9"/>
      <c r="E480" s="9"/>
      <c r="F480" s="9"/>
      <c r="G480" s="59"/>
      <c r="H480" s="9"/>
    </row>
    <row r="481">
      <c r="A481" s="9"/>
      <c r="B481" s="9"/>
      <c r="C481" s="9"/>
      <c r="D481" s="9"/>
      <c r="E481" s="9"/>
      <c r="F481" s="9"/>
      <c r="G481" s="59"/>
      <c r="H481" s="9"/>
    </row>
    <row r="482">
      <c r="A482" s="9"/>
      <c r="B482" s="9"/>
      <c r="C482" s="9"/>
      <c r="D482" s="9"/>
      <c r="E482" s="9"/>
      <c r="F482" s="9"/>
      <c r="G482" s="59"/>
      <c r="H482" s="9"/>
    </row>
    <row r="483">
      <c r="A483" s="9"/>
      <c r="B483" s="9"/>
      <c r="C483" s="9"/>
      <c r="D483" s="9"/>
      <c r="E483" s="9"/>
      <c r="F483" s="9"/>
      <c r="G483" s="59"/>
      <c r="H483" s="9"/>
    </row>
    <row r="484">
      <c r="A484" s="9"/>
      <c r="B484" s="9"/>
      <c r="C484" s="9"/>
      <c r="D484" s="9"/>
      <c r="E484" s="9"/>
      <c r="F484" s="9"/>
      <c r="G484" s="59"/>
      <c r="H484" s="9"/>
    </row>
    <row r="485">
      <c r="A485" s="9"/>
      <c r="B485" s="9"/>
      <c r="C485" s="9"/>
      <c r="D485" s="9"/>
      <c r="E485" s="9"/>
      <c r="F485" s="9"/>
      <c r="G485" s="59"/>
      <c r="H485" s="9"/>
    </row>
    <row r="486">
      <c r="A486" s="9"/>
      <c r="B486" s="9"/>
      <c r="C486" s="9"/>
      <c r="D486" s="9"/>
      <c r="E486" s="9"/>
      <c r="F486" s="9"/>
      <c r="G486" s="59"/>
      <c r="H486" s="9"/>
    </row>
    <row r="487">
      <c r="A487" s="9"/>
      <c r="B487" s="9"/>
      <c r="C487" s="9"/>
      <c r="D487" s="9"/>
      <c r="E487" s="9"/>
      <c r="F487" s="9"/>
      <c r="G487" s="59"/>
      <c r="H487" s="9"/>
    </row>
    <row r="488">
      <c r="A488" s="9"/>
      <c r="B488" s="9"/>
      <c r="C488" s="9"/>
      <c r="D488" s="9"/>
      <c r="E488" s="9"/>
      <c r="F488" s="9"/>
      <c r="G488" s="59"/>
      <c r="H488" s="9"/>
    </row>
    <row r="489">
      <c r="A489" s="9"/>
      <c r="B489" s="9"/>
      <c r="C489" s="9"/>
      <c r="D489" s="9"/>
      <c r="E489" s="9"/>
      <c r="F489" s="9"/>
      <c r="G489" s="59"/>
      <c r="H489" s="9"/>
    </row>
    <row r="490">
      <c r="A490" s="9"/>
      <c r="B490" s="9"/>
      <c r="C490" s="9"/>
      <c r="D490" s="9"/>
      <c r="E490" s="9"/>
      <c r="F490" s="9"/>
      <c r="G490" s="59"/>
      <c r="H490" s="9"/>
    </row>
    <row r="491">
      <c r="A491" s="9"/>
      <c r="B491" s="9"/>
      <c r="C491" s="9"/>
      <c r="D491" s="9"/>
      <c r="E491" s="9"/>
      <c r="F491" s="9"/>
      <c r="G491" s="59"/>
      <c r="H491" s="9"/>
    </row>
    <row r="492">
      <c r="A492" s="9"/>
      <c r="B492" s="9"/>
      <c r="C492" s="9"/>
      <c r="D492" s="9"/>
      <c r="E492" s="9"/>
      <c r="F492" s="9"/>
      <c r="G492" s="59"/>
      <c r="H492" s="9"/>
    </row>
    <row r="493">
      <c r="A493" s="9"/>
      <c r="B493" s="9"/>
      <c r="C493" s="9"/>
      <c r="D493" s="9"/>
      <c r="E493" s="9"/>
      <c r="F493" s="9"/>
      <c r="G493" s="59"/>
      <c r="H493" s="9"/>
    </row>
    <row r="494">
      <c r="A494" s="9"/>
      <c r="B494" s="9"/>
      <c r="C494" s="9"/>
      <c r="D494" s="9"/>
      <c r="E494" s="9"/>
      <c r="F494" s="9"/>
      <c r="G494" s="59"/>
      <c r="H494" s="9"/>
    </row>
    <row r="495">
      <c r="A495" s="9"/>
      <c r="B495" s="9"/>
      <c r="C495" s="9"/>
      <c r="D495" s="9"/>
      <c r="E495" s="9"/>
      <c r="F495" s="9"/>
      <c r="G495" s="59"/>
      <c r="H495" s="9"/>
    </row>
    <row r="496">
      <c r="A496" s="9"/>
      <c r="B496" s="9"/>
      <c r="C496" s="9"/>
      <c r="D496" s="9"/>
      <c r="E496" s="9"/>
      <c r="F496" s="9"/>
      <c r="G496" s="59"/>
      <c r="H496" s="9"/>
    </row>
    <row r="497">
      <c r="A497" s="9"/>
      <c r="B497" s="9"/>
      <c r="C497" s="9"/>
      <c r="D497" s="9"/>
      <c r="E497" s="9"/>
      <c r="F497" s="9"/>
      <c r="G497" s="59"/>
      <c r="H497" s="9"/>
    </row>
    <row r="498">
      <c r="A498" s="9"/>
      <c r="B498" s="9"/>
      <c r="C498" s="9"/>
      <c r="D498" s="9"/>
      <c r="E498" s="9"/>
      <c r="F498" s="9"/>
      <c r="G498" s="59"/>
      <c r="H498" s="9"/>
    </row>
    <row r="499">
      <c r="A499" s="9"/>
      <c r="B499" s="9"/>
      <c r="C499" s="9"/>
      <c r="D499" s="9"/>
      <c r="E499" s="9"/>
      <c r="F499" s="9"/>
      <c r="G499" s="59"/>
      <c r="H499" s="9"/>
    </row>
    <row r="500">
      <c r="A500" s="9"/>
      <c r="B500" s="9"/>
      <c r="C500" s="9"/>
      <c r="D500" s="9"/>
      <c r="E500" s="9"/>
      <c r="F500" s="9"/>
      <c r="G500" s="59"/>
      <c r="H500" s="9"/>
    </row>
    <row r="501">
      <c r="A501" s="9"/>
      <c r="B501" s="9"/>
      <c r="C501" s="9"/>
      <c r="D501" s="9"/>
      <c r="E501" s="9"/>
      <c r="F501" s="9"/>
      <c r="G501" s="59"/>
      <c r="H501" s="9"/>
    </row>
    <row r="502">
      <c r="A502" s="9"/>
      <c r="B502" s="9"/>
      <c r="C502" s="9"/>
      <c r="D502" s="9"/>
      <c r="E502" s="9"/>
      <c r="F502" s="9"/>
      <c r="G502" s="59"/>
      <c r="H502" s="9"/>
    </row>
    <row r="503">
      <c r="A503" s="9"/>
      <c r="B503" s="9"/>
      <c r="C503" s="9"/>
      <c r="D503" s="9"/>
      <c r="E503" s="9"/>
      <c r="F503" s="9"/>
      <c r="G503" s="59"/>
      <c r="H503" s="9"/>
    </row>
    <row r="504">
      <c r="A504" s="9"/>
      <c r="B504" s="9"/>
      <c r="C504" s="9"/>
      <c r="D504" s="9"/>
      <c r="E504" s="9"/>
      <c r="F504" s="9"/>
      <c r="G504" s="59"/>
      <c r="H504" s="9"/>
    </row>
    <row r="505">
      <c r="A505" s="9"/>
      <c r="B505" s="9"/>
      <c r="C505" s="9"/>
      <c r="D505" s="9"/>
      <c r="E505" s="9"/>
      <c r="F505" s="9"/>
      <c r="G505" s="59"/>
      <c r="H505" s="9"/>
    </row>
    <row r="506">
      <c r="A506" s="9"/>
      <c r="B506" s="9"/>
      <c r="C506" s="9"/>
      <c r="D506" s="9"/>
      <c r="E506" s="9"/>
      <c r="F506" s="9"/>
      <c r="G506" s="59"/>
      <c r="H506" s="9"/>
    </row>
    <row r="507">
      <c r="A507" s="9"/>
      <c r="B507" s="9"/>
      <c r="C507" s="9"/>
      <c r="D507" s="9"/>
      <c r="E507" s="9"/>
      <c r="F507" s="9"/>
      <c r="G507" s="59"/>
      <c r="H507" s="9"/>
    </row>
    <row r="508">
      <c r="A508" s="9"/>
      <c r="B508" s="9"/>
      <c r="C508" s="9"/>
      <c r="D508" s="9"/>
      <c r="E508" s="9"/>
      <c r="F508" s="9"/>
      <c r="G508" s="59"/>
      <c r="H508" s="9"/>
    </row>
    <row r="509">
      <c r="A509" s="9"/>
      <c r="B509" s="9"/>
      <c r="C509" s="9"/>
      <c r="D509" s="9"/>
      <c r="E509" s="9"/>
      <c r="F509" s="9"/>
      <c r="G509" s="59"/>
      <c r="H509" s="9"/>
    </row>
    <row r="510">
      <c r="A510" s="9"/>
      <c r="B510" s="9"/>
      <c r="C510" s="9"/>
      <c r="D510" s="9"/>
      <c r="E510" s="9"/>
      <c r="F510" s="9"/>
      <c r="G510" s="59"/>
      <c r="H510" s="9"/>
    </row>
    <row r="511">
      <c r="A511" s="9"/>
      <c r="B511" s="9"/>
      <c r="C511" s="9"/>
      <c r="D511" s="9"/>
      <c r="E511" s="9"/>
      <c r="F511" s="9"/>
      <c r="G511" s="59"/>
      <c r="H511" s="9"/>
    </row>
    <row r="512">
      <c r="A512" s="9"/>
      <c r="B512" s="9"/>
      <c r="C512" s="9"/>
      <c r="D512" s="9"/>
      <c r="E512" s="9"/>
      <c r="F512" s="9"/>
      <c r="G512" s="59"/>
      <c r="H512" s="9"/>
    </row>
    <row r="513">
      <c r="A513" s="9"/>
      <c r="B513" s="9"/>
      <c r="C513" s="9"/>
      <c r="D513" s="9"/>
      <c r="E513" s="9"/>
      <c r="F513" s="9"/>
      <c r="G513" s="59"/>
      <c r="H513" s="9"/>
    </row>
    <row r="514">
      <c r="A514" s="9"/>
      <c r="B514" s="9"/>
      <c r="C514" s="9"/>
      <c r="D514" s="9"/>
      <c r="E514" s="9"/>
      <c r="F514" s="9"/>
      <c r="G514" s="59"/>
      <c r="H514" s="9"/>
    </row>
    <row r="515">
      <c r="A515" s="9"/>
      <c r="B515" s="9"/>
      <c r="C515" s="9"/>
      <c r="D515" s="9"/>
      <c r="E515" s="9"/>
      <c r="F515" s="9"/>
      <c r="G515" s="59"/>
      <c r="H515" s="9"/>
    </row>
    <row r="516">
      <c r="A516" s="9"/>
      <c r="B516" s="9"/>
      <c r="C516" s="9"/>
      <c r="D516" s="9"/>
      <c r="E516" s="9"/>
      <c r="F516" s="9"/>
      <c r="G516" s="59"/>
      <c r="H516" s="9"/>
    </row>
    <row r="517">
      <c r="A517" s="9"/>
      <c r="B517" s="9"/>
      <c r="C517" s="9"/>
      <c r="D517" s="9"/>
      <c r="E517" s="9"/>
      <c r="F517" s="9"/>
      <c r="G517" s="59"/>
      <c r="H517" s="9"/>
    </row>
    <row r="518">
      <c r="A518" s="9"/>
      <c r="B518" s="9"/>
      <c r="C518" s="9"/>
      <c r="D518" s="9"/>
      <c r="E518" s="9"/>
      <c r="F518" s="9"/>
      <c r="G518" s="59"/>
      <c r="H518" s="9"/>
    </row>
    <row r="519">
      <c r="A519" s="9"/>
      <c r="B519" s="9"/>
      <c r="C519" s="9"/>
      <c r="D519" s="9"/>
      <c r="E519" s="9"/>
      <c r="F519" s="9"/>
      <c r="G519" s="59"/>
      <c r="H519" s="9"/>
    </row>
    <row r="520">
      <c r="A520" s="9"/>
      <c r="B520" s="9"/>
      <c r="C520" s="9"/>
      <c r="D520" s="9"/>
      <c r="E520" s="9"/>
      <c r="F520" s="9"/>
      <c r="G520" s="59"/>
      <c r="H520" s="9"/>
    </row>
    <row r="521">
      <c r="A521" s="9"/>
      <c r="B521" s="9"/>
      <c r="C521" s="9"/>
      <c r="D521" s="9"/>
      <c r="E521" s="9"/>
      <c r="F521" s="9"/>
      <c r="G521" s="59"/>
      <c r="H521" s="9"/>
    </row>
    <row r="522">
      <c r="A522" s="9"/>
      <c r="B522" s="9"/>
      <c r="C522" s="9"/>
      <c r="D522" s="9"/>
      <c r="E522" s="9"/>
      <c r="F522" s="9"/>
      <c r="G522" s="59"/>
      <c r="H522" s="9"/>
    </row>
    <row r="523">
      <c r="A523" s="9"/>
      <c r="B523" s="9"/>
      <c r="C523" s="9"/>
      <c r="D523" s="9"/>
      <c r="E523" s="9"/>
      <c r="F523" s="9"/>
      <c r="G523" s="59"/>
      <c r="H523" s="9"/>
    </row>
    <row r="524">
      <c r="A524" s="9"/>
      <c r="B524" s="9"/>
      <c r="C524" s="9"/>
      <c r="D524" s="9"/>
      <c r="E524" s="9"/>
      <c r="F524" s="9"/>
      <c r="G524" s="59"/>
      <c r="H524" s="9"/>
    </row>
    <row r="525">
      <c r="A525" s="9"/>
      <c r="B525" s="9"/>
      <c r="C525" s="9"/>
      <c r="D525" s="9"/>
      <c r="E525" s="9"/>
      <c r="F525" s="9"/>
      <c r="G525" s="59"/>
      <c r="H525" s="9"/>
    </row>
    <row r="526">
      <c r="A526" s="9"/>
      <c r="B526" s="9"/>
      <c r="C526" s="9"/>
      <c r="D526" s="9"/>
      <c r="E526" s="9"/>
      <c r="F526" s="9"/>
      <c r="G526" s="59"/>
      <c r="H526" s="9"/>
    </row>
    <row r="527">
      <c r="A527" s="9"/>
      <c r="B527" s="9"/>
      <c r="C527" s="9"/>
      <c r="D527" s="9"/>
      <c r="E527" s="9"/>
      <c r="F527" s="9"/>
      <c r="G527" s="59"/>
      <c r="H527" s="9"/>
    </row>
    <row r="528">
      <c r="A528" s="9"/>
      <c r="B528" s="9"/>
      <c r="C528" s="9"/>
      <c r="D528" s="9"/>
      <c r="E528" s="9"/>
      <c r="F528" s="9"/>
      <c r="G528" s="59"/>
      <c r="H528" s="9"/>
    </row>
    <row r="529">
      <c r="A529" s="9"/>
      <c r="B529" s="9"/>
      <c r="C529" s="9"/>
      <c r="D529" s="9"/>
      <c r="E529" s="9"/>
      <c r="F529" s="9"/>
      <c r="G529" s="59"/>
      <c r="H529" s="9"/>
    </row>
    <row r="530">
      <c r="A530" s="9"/>
      <c r="B530" s="9"/>
      <c r="C530" s="9"/>
      <c r="D530" s="9"/>
      <c r="E530" s="9"/>
      <c r="F530" s="9"/>
      <c r="G530" s="59"/>
      <c r="H530" s="9"/>
    </row>
    <row r="531">
      <c r="A531" s="9"/>
      <c r="B531" s="9"/>
      <c r="C531" s="9"/>
      <c r="D531" s="9"/>
      <c r="E531" s="9"/>
      <c r="F531" s="9"/>
      <c r="G531" s="59"/>
      <c r="H531" s="9"/>
    </row>
    <row r="532">
      <c r="A532" s="9"/>
      <c r="B532" s="9"/>
      <c r="C532" s="9"/>
      <c r="D532" s="9"/>
      <c r="E532" s="9"/>
      <c r="F532" s="9"/>
      <c r="G532" s="59"/>
      <c r="H532" s="9"/>
    </row>
    <row r="533">
      <c r="A533" s="9"/>
      <c r="B533" s="9"/>
      <c r="C533" s="9"/>
      <c r="D533" s="9"/>
      <c r="E533" s="9"/>
      <c r="F533" s="9"/>
      <c r="G533" s="59"/>
      <c r="H533" s="9"/>
    </row>
    <row r="534">
      <c r="A534" s="9"/>
      <c r="B534" s="9"/>
      <c r="C534" s="9"/>
      <c r="D534" s="9"/>
      <c r="E534" s="9"/>
      <c r="F534" s="9"/>
      <c r="G534" s="59"/>
      <c r="H534" s="9"/>
    </row>
    <row r="535">
      <c r="A535" s="9"/>
      <c r="B535" s="9"/>
      <c r="C535" s="9"/>
      <c r="D535" s="9"/>
      <c r="E535" s="9"/>
      <c r="F535" s="9"/>
      <c r="G535" s="59"/>
      <c r="H535" s="9"/>
    </row>
    <row r="536">
      <c r="A536" s="9"/>
      <c r="B536" s="9"/>
      <c r="C536" s="9"/>
      <c r="D536" s="9"/>
      <c r="E536" s="9"/>
      <c r="F536" s="9"/>
      <c r="G536" s="59"/>
      <c r="H536" s="9"/>
    </row>
    <row r="537">
      <c r="A537" s="9"/>
      <c r="B537" s="9"/>
      <c r="C537" s="9"/>
      <c r="D537" s="9"/>
      <c r="E537" s="9"/>
      <c r="F537" s="9"/>
      <c r="G537" s="59"/>
      <c r="H537" s="9"/>
    </row>
    <row r="538">
      <c r="A538" s="9"/>
      <c r="B538" s="9"/>
      <c r="C538" s="9"/>
      <c r="D538" s="9"/>
      <c r="E538" s="9"/>
      <c r="F538" s="9"/>
      <c r="G538" s="59"/>
      <c r="H538" s="9"/>
    </row>
    <row r="539">
      <c r="A539" s="9"/>
      <c r="B539" s="9"/>
      <c r="C539" s="9"/>
      <c r="D539" s="9"/>
      <c r="E539" s="9"/>
      <c r="F539" s="9"/>
      <c r="G539" s="59"/>
      <c r="H539" s="9"/>
    </row>
    <row r="540">
      <c r="A540" s="9"/>
      <c r="B540" s="9"/>
      <c r="C540" s="9"/>
      <c r="D540" s="9"/>
      <c r="E540" s="9"/>
      <c r="F540" s="9"/>
      <c r="G540" s="59"/>
      <c r="H540" s="9"/>
    </row>
    <row r="541">
      <c r="A541" s="9"/>
      <c r="B541" s="9"/>
      <c r="C541" s="9"/>
      <c r="D541" s="9"/>
      <c r="E541" s="9"/>
      <c r="F541" s="9"/>
      <c r="G541" s="59"/>
      <c r="H541" s="9"/>
    </row>
    <row r="542">
      <c r="A542" s="9"/>
      <c r="B542" s="9"/>
      <c r="C542" s="9"/>
      <c r="D542" s="9"/>
      <c r="E542" s="9"/>
      <c r="F542" s="9"/>
      <c r="G542" s="59"/>
      <c r="H542" s="9"/>
    </row>
    <row r="543">
      <c r="A543" s="9"/>
      <c r="B543" s="9"/>
      <c r="C543" s="9"/>
      <c r="D543" s="9"/>
      <c r="E543" s="9"/>
      <c r="F543" s="9"/>
      <c r="G543" s="59"/>
      <c r="H543" s="9"/>
    </row>
    <row r="544">
      <c r="A544" s="9"/>
      <c r="B544" s="9"/>
      <c r="C544" s="9"/>
      <c r="D544" s="9"/>
      <c r="E544" s="9"/>
      <c r="F544" s="9"/>
      <c r="G544" s="59"/>
      <c r="H544" s="9"/>
    </row>
    <row r="545">
      <c r="A545" s="9"/>
      <c r="B545" s="9"/>
      <c r="C545" s="9"/>
      <c r="D545" s="9"/>
      <c r="E545" s="9"/>
      <c r="F545" s="9"/>
      <c r="G545" s="59"/>
      <c r="H545" s="9"/>
    </row>
    <row r="546">
      <c r="A546" s="9"/>
      <c r="B546" s="9"/>
      <c r="C546" s="9"/>
      <c r="D546" s="9"/>
      <c r="E546" s="9"/>
      <c r="F546" s="9"/>
      <c r="G546" s="59"/>
      <c r="H546" s="9"/>
    </row>
    <row r="547">
      <c r="A547" s="9"/>
      <c r="B547" s="9"/>
      <c r="C547" s="9"/>
      <c r="D547" s="9"/>
      <c r="E547" s="9"/>
      <c r="F547" s="9"/>
      <c r="G547" s="59"/>
      <c r="H547" s="9"/>
    </row>
    <row r="548">
      <c r="A548" s="9"/>
      <c r="B548" s="9"/>
      <c r="C548" s="9"/>
      <c r="D548" s="9"/>
      <c r="E548" s="9"/>
      <c r="F548" s="9"/>
      <c r="G548" s="59"/>
      <c r="H548" s="9"/>
    </row>
    <row r="549">
      <c r="A549" s="9"/>
      <c r="B549" s="9"/>
      <c r="C549" s="9"/>
      <c r="D549" s="9"/>
      <c r="E549" s="9"/>
      <c r="F549" s="9"/>
      <c r="G549" s="59"/>
      <c r="H549" s="9"/>
    </row>
    <row r="550">
      <c r="A550" s="9"/>
      <c r="B550" s="9"/>
      <c r="C550" s="9"/>
      <c r="D550" s="9"/>
      <c r="E550" s="9"/>
      <c r="F550" s="9"/>
      <c r="G550" s="59"/>
      <c r="H550" s="9"/>
    </row>
    <row r="551">
      <c r="A551" s="9"/>
      <c r="B551" s="9"/>
      <c r="C551" s="9"/>
      <c r="D551" s="9"/>
      <c r="E551" s="9"/>
      <c r="F551" s="9"/>
      <c r="G551" s="59"/>
      <c r="H551" s="9"/>
    </row>
    <row r="552">
      <c r="A552" s="9"/>
      <c r="B552" s="9"/>
      <c r="C552" s="9"/>
      <c r="D552" s="9"/>
      <c r="E552" s="9"/>
      <c r="F552" s="9"/>
      <c r="G552" s="59"/>
      <c r="H552" s="9"/>
    </row>
    <row r="553">
      <c r="A553" s="9"/>
      <c r="B553" s="9"/>
      <c r="C553" s="9"/>
      <c r="D553" s="9"/>
      <c r="E553" s="9"/>
      <c r="F553" s="9"/>
      <c r="G553" s="59"/>
      <c r="H553" s="9"/>
    </row>
    <row r="554">
      <c r="A554" s="9"/>
      <c r="B554" s="9"/>
      <c r="C554" s="9"/>
      <c r="D554" s="9"/>
      <c r="E554" s="9"/>
      <c r="F554" s="9"/>
      <c r="G554" s="59"/>
      <c r="H554" s="9"/>
    </row>
    <row r="555">
      <c r="A555" s="9"/>
      <c r="B555" s="9"/>
      <c r="C555" s="9"/>
      <c r="D555" s="9"/>
      <c r="E555" s="9"/>
      <c r="F555" s="9"/>
      <c r="G555" s="59"/>
      <c r="H555" s="9"/>
    </row>
    <row r="556">
      <c r="A556" s="9"/>
      <c r="B556" s="9"/>
      <c r="C556" s="9"/>
      <c r="D556" s="9"/>
      <c r="E556" s="9"/>
      <c r="F556" s="9"/>
      <c r="G556" s="59"/>
      <c r="H556" s="9"/>
    </row>
    <row r="557">
      <c r="A557" s="9"/>
      <c r="B557" s="9"/>
      <c r="C557" s="9"/>
      <c r="D557" s="9"/>
      <c r="E557" s="9"/>
      <c r="F557" s="9"/>
      <c r="G557" s="59"/>
      <c r="H557" s="9"/>
    </row>
    <row r="558">
      <c r="A558" s="9"/>
      <c r="B558" s="9"/>
      <c r="C558" s="9"/>
      <c r="D558" s="9"/>
      <c r="E558" s="9"/>
      <c r="F558" s="9"/>
      <c r="G558" s="59"/>
      <c r="H558" s="9"/>
    </row>
    <row r="559">
      <c r="A559" s="9"/>
      <c r="B559" s="9"/>
      <c r="C559" s="9"/>
      <c r="D559" s="9"/>
      <c r="E559" s="9"/>
      <c r="F559" s="9"/>
      <c r="G559" s="59"/>
      <c r="H559" s="9"/>
    </row>
    <row r="560">
      <c r="A560" s="9"/>
      <c r="B560" s="9"/>
      <c r="C560" s="9"/>
      <c r="D560" s="9"/>
      <c r="E560" s="9"/>
      <c r="F560" s="9"/>
      <c r="G560" s="59"/>
      <c r="H560" s="9"/>
    </row>
    <row r="561">
      <c r="A561" s="9"/>
      <c r="B561" s="9"/>
      <c r="C561" s="9"/>
      <c r="D561" s="9"/>
      <c r="E561" s="9"/>
      <c r="F561" s="9"/>
      <c r="G561" s="59"/>
      <c r="H561" s="9"/>
    </row>
    <row r="562">
      <c r="A562" s="9"/>
      <c r="B562" s="9"/>
      <c r="C562" s="9"/>
      <c r="D562" s="9"/>
      <c r="E562" s="9"/>
      <c r="F562" s="9"/>
      <c r="G562" s="59"/>
      <c r="H562" s="9"/>
    </row>
    <row r="563">
      <c r="A563" s="9"/>
      <c r="B563" s="9"/>
      <c r="C563" s="9"/>
      <c r="D563" s="9"/>
      <c r="E563" s="9"/>
      <c r="F563" s="9"/>
      <c r="G563" s="59"/>
      <c r="H563" s="9"/>
    </row>
    <row r="564">
      <c r="A564" s="9"/>
      <c r="B564" s="9"/>
      <c r="C564" s="9"/>
      <c r="D564" s="9"/>
      <c r="E564" s="9"/>
      <c r="F564" s="9"/>
      <c r="G564" s="59"/>
      <c r="H564" s="9"/>
    </row>
    <row r="565">
      <c r="A565" s="9"/>
      <c r="B565" s="9"/>
      <c r="C565" s="9"/>
      <c r="D565" s="9"/>
      <c r="E565" s="9"/>
      <c r="F565" s="9"/>
      <c r="G565" s="59"/>
      <c r="H565" s="9"/>
    </row>
    <row r="566">
      <c r="A566" s="9"/>
      <c r="B566" s="9"/>
      <c r="C566" s="9"/>
      <c r="D566" s="9"/>
      <c r="E566" s="9"/>
      <c r="F566" s="9"/>
      <c r="G566" s="59"/>
      <c r="H566" s="9"/>
    </row>
    <row r="567">
      <c r="A567" s="9"/>
      <c r="B567" s="9"/>
      <c r="C567" s="9"/>
      <c r="D567" s="9"/>
      <c r="E567" s="9"/>
      <c r="F567" s="9"/>
      <c r="G567" s="59"/>
      <c r="H567" s="9"/>
    </row>
    <row r="568">
      <c r="A568" s="9"/>
      <c r="B568" s="9"/>
      <c r="C568" s="9"/>
      <c r="D568" s="9"/>
      <c r="E568" s="9"/>
      <c r="F568" s="9"/>
      <c r="G568" s="59"/>
      <c r="H568" s="9"/>
    </row>
    <row r="569">
      <c r="A569" s="9"/>
      <c r="B569" s="9"/>
      <c r="C569" s="9"/>
      <c r="D569" s="9"/>
      <c r="E569" s="9"/>
      <c r="F569" s="9"/>
      <c r="G569" s="59"/>
      <c r="H569" s="9"/>
    </row>
    <row r="570">
      <c r="A570" s="9"/>
      <c r="B570" s="9"/>
      <c r="C570" s="9"/>
      <c r="D570" s="9"/>
      <c r="E570" s="9"/>
      <c r="F570" s="9"/>
      <c r="G570" s="59"/>
      <c r="H570" s="9"/>
    </row>
    <row r="571">
      <c r="A571" s="9"/>
      <c r="B571" s="9"/>
      <c r="C571" s="9"/>
      <c r="D571" s="9"/>
      <c r="E571" s="9"/>
      <c r="F571" s="9"/>
      <c r="G571" s="59"/>
      <c r="H571" s="9"/>
    </row>
    <row r="572">
      <c r="A572" s="9"/>
      <c r="B572" s="9"/>
      <c r="C572" s="9"/>
      <c r="D572" s="9"/>
      <c r="E572" s="9"/>
      <c r="F572" s="9"/>
      <c r="G572" s="59"/>
      <c r="H572" s="9"/>
    </row>
    <row r="573">
      <c r="A573" s="9"/>
      <c r="B573" s="9"/>
      <c r="C573" s="9"/>
      <c r="D573" s="9"/>
      <c r="E573" s="9"/>
      <c r="F573" s="9"/>
      <c r="G573" s="59"/>
      <c r="H573" s="9"/>
    </row>
    <row r="574">
      <c r="A574" s="9"/>
      <c r="B574" s="9"/>
      <c r="C574" s="9"/>
      <c r="D574" s="9"/>
      <c r="E574" s="9"/>
      <c r="F574" s="9"/>
      <c r="G574" s="59"/>
      <c r="H574" s="9"/>
    </row>
    <row r="575">
      <c r="A575" s="9"/>
      <c r="B575" s="9"/>
      <c r="C575" s="9"/>
      <c r="D575" s="9"/>
      <c r="E575" s="9"/>
      <c r="F575" s="9"/>
      <c r="G575" s="59"/>
      <c r="H575" s="9"/>
    </row>
    <row r="576">
      <c r="A576" s="9"/>
      <c r="B576" s="9"/>
      <c r="C576" s="9"/>
      <c r="D576" s="9"/>
      <c r="E576" s="9"/>
      <c r="F576" s="9"/>
      <c r="G576" s="59"/>
      <c r="H576" s="9"/>
    </row>
    <row r="577">
      <c r="A577" s="9"/>
      <c r="B577" s="9"/>
      <c r="C577" s="9"/>
      <c r="D577" s="9"/>
      <c r="E577" s="9"/>
      <c r="F577" s="9"/>
      <c r="G577" s="59"/>
      <c r="H577" s="9"/>
    </row>
    <row r="578">
      <c r="A578" s="9"/>
      <c r="B578" s="9"/>
      <c r="C578" s="9"/>
      <c r="D578" s="9"/>
      <c r="E578" s="9"/>
      <c r="F578" s="9"/>
      <c r="G578" s="59"/>
      <c r="H578" s="9"/>
    </row>
    <row r="579">
      <c r="A579" s="9"/>
      <c r="B579" s="9"/>
      <c r="C579" s="9"/>
      <c r="D579" s="9"/>
      <c r="E579" s="9"/>
      <c r="F579" s="9"/>
      <c r="G579" s="59"/>
      <c r="H579" s="9"/>
    </row>
    <row r="580">
      <c r="A580" s="9"/>
      <c r="B580" s="9"/>
      <c r="C580" s="9"/>
      <c r="D580" s="9"/>
      <c r="E580" s="9"/>
      <c r="F580" s="9"/>
      <c r="G580" s="59"/>
      <c r="H580" s="9"/>
    </row>
    <row r="581">
      <c r="A581" s="9"/>
      <c r="B581" s="9"/>
      <c r="C581" s="9"/>
      <c r="D581" s="9"/>
      <c r="E581" s="9"/>
      <c r="F581" s="9"/>
      <c r="G581" s="59"/>
      <c r="H581" s="9"/>
    </row>
    <row r="582">
      <c r="A582" s="9"/>
      <c r="B582" s="9"/>
      <c r="C582" s="9"/>
      <c r="D582" s="9"/>
      <c r="E582" s="9"/>
      <c r="F582" s="9"/>
      <c r="G582" s="59"/>
      <c r="H582" s="9"/>
    </row>
    <row r="583">
      <c r="A583" s="9"/>
      <c r="B583" s="9"/>
      <c r="C583" s="9"/>
      <c r="D583" s="9"/>
      <c r="E583" s="9"/>
      <c r="F583" s="9"/>
      <c r="G583" s="59"/>
      <c r="H583" s="9"/>
    </row>
    <row r="584">
      <c r="A584" s="9"/>
      <c r="B584" s="9"/>
      <c r="C584" s="9"/>
      <c r="D584" s="9"/>
      <c r="E584" s="9"/>
      <c r="F584" s="9"/>
      <c r="G584" s="59"/>
      <c r="H584" s="9"/>
    </row>
    <row r="585">
      <c r="A585" s="9"/>
      <c r="B585" s="9"/>
      <c r="C585" s="9"/>
      <c r="D585" s="9"/>
      <c r="E585" s="9"/>
      <c r="F585" s="9"/>
      <c r="G585" s="59"/>
      <c r="H585" s="9"/>
    </row>
    <row r="586">
      <c r="A586" s="9"/>
      <c r="B586" s="9"/>
      <c r="C586" s="9"/>
      <c r="D586" s="9"/>
      <c r="E586" s="9"/>
      <c r="F586" s="9"/>
      <c r="G586" s="59"/>
      <c r="H586" s="9"/>
    </row>
    <row r="587">
      <c r="A587" s="9"/>
      <c r="B587" s="9"/>
      <c r="C587" s="9"/>
      <c r="D587" s="9"/>
      <c r="E587" s="9"/>
      <c r="F587" s="9"/>
      <c r="G587" s="59"/>
      <c r="H587" s="9"/>
    </row>
    <row r="588">
      <c r="A588" s="9"/>
      <c r="B588" s="9"/>
      <c r="C588" s="9"/>
      <c r="D588" s="9"/>
      <c r="E588" s="9"/>
      <c r="F588" s="9"/>
      <c r="G588" s="59"/>
      <c r="H588" s="9"/>
    </row>
    <row r="589">
      <c r="A589" s="9"/>
      <c r="B589" s="9"/>
      <c r="C589" s="9"/>
      <c r="D589" s="9"/>
      <c r="E589" s="9"/>
      <c r="F589" s="9"/>
      <c r="G589" s="59"/>
      <c r="H589" s="9"/>
    </row>
    <row r="590">
      <c r="A590" s="9"/>
      <c r="B590" s="9"/>
      <c r="C590" s="9"/>
      <c r="D590" s="9"/>
      <c r="E590" s="9"/>
      <c r="F590" s="9"/>
      <c r="G590" s="59"/>
      <c r="H590" s="9"/>
    </row>
    <row r="591">
      <c r="A591" s="9"/>
      <c r="B591" s="9"/>
      <c r="C591" s="9"/>
      <c r="D591" s="9"/>
      <c r="E591" s="9"/>
      <c r="F591" s="9"/>
      <c r="G591" s="59"/>
      <c r="H591" s="9"/>
    </row>
    <row r="592">
      <c r="A592" s="9"/>
      <c r="B592" s="9"/>
      <c r="C592" s="9"/>
      <c r="D592" s="9"/>
      <c r="E592" s="9"/>
      <c r="F592" s="9"/>
      <c r="G592" s="59"/>
      <c r="H592" s="9"/>
    </row>
    <row r="593">
      <c r="A593" s="9"/>
      <c r="B593" s="9"/>
      <c r="C593" s="9"/>
      <c r="D593" s="9"/>
      <c r="E593" s="9"/>
      <c r="F593" s="9"/>
      <c r="G593" s="59"/>
      <c r="H593" s="9"/>
    </row>
    <row r="594">
      <c r="A594" s="9"/>
      <c r="B594" s="9"/>
      <c r="C594" s="9"/>
      <c r="D594" s="9"/>
      <c r="E594" s="9"/>
      <c r="F594" s="9"/>
      <c r="G594" s="59"/>
      <c r="H594" s="9"/>
    </row>
    <row r="595">
      <c r="A595" s="9"/>
      <c r="B595" s="9"/>
      <c r="C595" s="9"/>
      <c r="D595" s="9"/>
      <c r="E595" s="9"/>
      <c r="F595" s="9"/>
      <c r="G595" s="59"/>
      <c r="H595" s="9"/>
    </row>
    <row r="596">
      <c r="A596" s="9"/>
      <c r="B596" s="9"/>
      <c r="C596" s="9"/>
      <c r="D596" s="9"/>
      <c r="E596" s="9"/>
      <c r="F596" s="9"/>
      <c r="G596" s="59"/>
      <c r="H596" s="9"/>
    </row>
    <row r="597">
      <c r="A597" s="9"/>
      <c r="B597" s="9"/>
      <c r="C597" s="9"/>
      <c r="D597" s="9"/>
      <c r="E597" s="9"/>
      <c r="F597" s="9"/>
      <c r="G597" s="59"/>
      <c r="H597" s="9"/>
    </row>
    <row r="598">
      <c r="A598" s="9"/>
      <c r="B598" s="9"/>
      <c r="C598" s="9"/>
      <c r="D598" s="9"/>
      <c r="E598" s="9"/>
      <c r="F598" s="9"/>
      <c r="G598" s="59"/>
      <c r="H598" s="9"/>
    </row>
    <row r="599">
      <c r="A599" s="9"/>
      <c r="B599" s="9"/>
      <c r="C599" s="9"/>
      <c r="D599" s="9"/>
      <c r="E599" s="9"/>
      <c r="F599" s="9"/>
      <c r="G599" s="59"/>
      <c r="H599" s="9"/>
    </row>
    <row r="600">
      <c r="A600" s="9"/>
      <c r="B600" s="9"/>
      <c r="C600" s="9"/>
      <c r="D600" s="9"/>
      <c r="E600" s="9"/>
      <c r="F600" s="9"/>
      <c r="G600" s="59"/>
      <c r="H600" s="9"/>
    </row>
    <row r="601">
      <c r="A601" s="9"/>
      <c r="B601" s="9"/>
      <c r="C601" s="9"/>
      <c r="D601" s="9"/>
      <c r="E601" s="9"/>
      <c r="F601" s="9"/>
      <c r="G601" s="59"/>
      <c r="H601" s="9"/>
    </row>
    <row r="602">
      <c r="A602" s="9"/>
      <c r="B602" s="9"/>
      <c r="C602" s="9"/>
      <c r="D602" s="9"/>
      <c r="E602" s="9"/>
      <c r="F602" s="9"/>
      <c r="G602" s="59"/>
      <c r="H602" s="9"/>
    </row>
    <row r="603">
      <c r="A603" s="9"/>
      <c r="B603" s="9"/>
      <c r="C603" s="9"/>
      <c r="D603" s="9"/>
      <c r="E603" s="9"/>
      <c r="F603" s="9"/>
      <c r="G603" s="59"/>
      <c r="H603" s="9"/>
    </row>
    <row r="604">
      <c r="A604" s="9"/>
      <c r="B604" s="9"/>
      <c r="C604" s="9"/>
      <c r="D604" s="9"/>
      <c r="E604" s="9"/>
      <c r="F604" s="9"/>
      <c r="G604" s="59"/>
      <c r="H604" s="9"/>
    </row>
    <row r="605">
      <c r="A605" s="9"/>
      <c r="B605" s="9"/>
      <c r="C605" s="9"/>
      <c r="D605" s="9"/>
      <c r="E605" s="9"/>
      <c r="F605" s="9"/>
      <c r="G605" s="59"/>
      <c r="H605" s="9"/>
    </row>
    <row r="606">
      <c r="A606" s="9"/>
      <c r="B606" s="9"/>
      <c r="C606" s="9"/>
      <c r="D606" s="9"/>
      <c r="E606" s="9"/>
      <c r="F606" s="9"/>
      <c r="G606" s="59"/>
      <c r="H606" s="9"/>
    </row>
    <row r="607">
      <c r="A607" s="9"/>
      <c r="B607" s="9"/>
      <c r="C607" s="9"/>
      <c r="D607" s="9"/>
      <c r="E607" s="9"/>
      <c r="F607" s="9"/>
      <c r="G607" s="59"/>
      <c r="H607" s="9"/>
    </row>
    <row r="608">
      <c r="A608" s="9"/>
      <c r="B608" s="9"/>
      <c r="C608" s="9"/>
      <c r="D608" s="9"/>
      <c r="E608" s="9"/>
      <c r="F608" s="9"/>
      <c r="G608" s="59"/>
      <c r="H608" s="9"/>
    </row>
    <row r="609">
      <c r="A609" s="9"/>
      <c r="B609" s="9"/>
      <c r="C609" s="9"/>
      <c r="D609" s="9"/>
      <c r="E609" s="9"/>
      <c r="F609" s="9"/>
      <c r="G609" s="59"/>
      <c r="H609" s="9"/>
    </row>
    <row r="610">
      <c r="A610" s="9"/>
      <c r="B610" s="9"/>
      <c r="C610" s="9"/>
      <c r="D610" s="9"/>
      <c r="E610" s="9"/>
      <c r="F610" s="9"/>
      <c r="G610" s="59"/>
      <c r="H610" s="9"/>
    </row>
    <row r="611">
      <c r="A611" s="9"/>
      <c r="B611" s="9"/>
      <c r="C611" s="9"/>
      <c r="D611" s="9"/>
      <c r="E611" s="9"/>
      <c r="F611" s="9"/>
      <c r="G611" s="59"/>
      <c r="H611" s="9"/>
    </row>
    <row r="612">
      <c r="A612" s="9"/>
      <c r="B612" s="9"/>
      <c r="C612" s="9"/>
      <c r="D612" s="9"/>
      <c r="E612" s="9"/>
      <c r="F612" s="9"/>
      <c r="G612" s="59"/>
      <c r="H612" s="9"/>
    </row>
    <row r="613">
      <c r="A613" s="9"/>
      <c r="B613" s="9"/>
      <c r="C613" s="9"/>
      <c r="D613" s="9"/>
      <c r="E613" s="9"/>
      <c r="F613" s="9"/>
      <c r="G613" s="59"/>
      <c r="H613" s="9"/>
    </row>
    <row r="614">
      <c r="A614" s="9"/>
      <c r="B614" s="9"/>
      <c r="C614" s="9"/>
      <c r="D614" s="9"/>
      <c r="E614" s="9"/>
      <c r="F614" s="9"/>
      <c r="G614" s="59"/>
      <c r="H614" s="9"/>
    </row>
    <row r="615">
      <c r="A615" s="9"/>
      <c r="B615" s="9"/>
      <c r="C615" s="9"/>
      <c r="D615" s="9"/>
      <c r="E615" s="9"/>
      <c r="F615" s="9"/>
      <c r="G615" s="59"/>
      <c r="H615" s="9"/>
    </row>
    <row r="616">
      <c r="A616" s="9"/>
      <c r="B616" s="9"/>
      <c r="C616" s="9"/>
      <c r="D616" s="9"/>
      <c r="E616" s="9"/>
      <c r="F616" s="9"/>
      <c r="G616" s="59"/>
      <c r="H616" s="9"/>
    </row>
    <row r="617">
      <c r="A617" s="9"/>
      <c r="B617" s="9"/>
      <c r="C617" s="9"/>
      <c r="D617" s="9"/>
      <c r="E617" s="9"/>
      <c r="F617" s="9"/>
      <c r="G617" s="59"/>
      <c r="H617" s="9"/>
    </row>
    <row r="618">
      <c r="A618" s="9"/>
      <c r="B618" s="9"/>
      <c r="C618" s="9"/>
      <c r="D618" s="9"/>
      <c r="E618" s="9"/>
      <c r="F618" s="9"/>
      <c r="G618" s="59"/>
      <c r="H618" s="9"/>
    </row>
    <row r="619">
      <c r="A619" s="9"/>
      <c r="B619" s="9"/>
      <c r="C619" s="9"/>
      <c r="D619" s="9"/>
      <c r="E619" s="9"/>
      <c r="F619" s="9"/>
      <c r="G619" s="59"/>
      <c r="H619" s="9"/>
    </row>
    <row r="620">
      <c r="A620" s="9"/>
      <c r="B620" s="9"/>
      <c r="C620" s="9"/>
      <c r="D620" s="9"/>
      <c r="E620" s="9"/>
      <c r="F620" s="9"/>
      <c r="G620" s="59"/>
      <c r="H620" s="9"/>
    </row>
    <row r="621">
      <c r="A621" s="9"/>
      <c r="B621" s="9"/>
      <c r="C621" s="9"/>
      <c r="D621" s="9"/>
      <c r="E621" s="9"/>
      <c r="F621" s="9"/>
      <c r="G621" s="59"/>
      <c r="H621" s="9"/>
    </row>
    <row r="622">
      <c r="A622" s="9"/>
      <c r="B622" s="9"/>
      <c r="C622" s="9"/>
      <c r="D622" s="9"/>
      <c r="E622" s="9"/>
      <c r="F622" s="9"/>
      <c r="G622" s="59"/>
      <c r="H622" s="9"/>
    </row>
    <row r="623">
      <c r="A623" s="9"/>
      <c r="B623" s="9"/>
      <c r="C623" s="9"/>
      <c r="D623" s="9"/>
      <c r="E623" s="9"/>
      <c r="F623" s="9"/>
      <c r="G623" s="59"/>
      <c r="H623" s="9"/>
    </row>
    <row r="624">
      <c r="A624" s="9"/>
      <c r="B624" s="9"/>
      <c r="C624" s="9"/>
      <c r="D624" s="9"/>
      <c r="E624" s="9"/>
      <c r="F624" s="9"/>
      <c r="G624" s="59"/>
      <c r="H624" s="9"/>
    </row>
    <row r="625">
      <c r="A625" s="9"/>
      <c r="B625" s="9"/>
      <c r="C625" s="9"/>
      <c r="D625" s="9"/>
      <c r="E625" s="9"/>
      <c r="F625" s="9"/>
      <c r="G625" s="59"/>
      <c r="H625" s="9"/>
    </row>
    <row r="626">
      <c r="A626" s="9"/>
      <c r="B626" s="9"/>
      <c r="C626" s="9"/>
      <c r="D626" s="9"/>
      <c r="E626" s="9"/>
      <c r="F626" s="9"/>
      <c r="G626" s="59"/>
      <c r="H626" s="9"/>
    </row>
    <row r="627">
      <c r="A627" s="9"/>
      <c r="B627" s="9"/>
      <c r="C627" s="9"/>
      <c r="D627" s="9"/>
      <c r="E627" s="9"/>
      <c r="F627" s="9"/>
      <c r="G627" s="59"/>
      <c r="H627" s="9"/>
    </row>
    <row r="628">
      <c r="A628" s="9"/>
      <c r="B628" s="9"/>
      <c r="C628" s="9"/>
      <c r="D628" s="9"/>
      <c r="E628" s="9"/>
      <c r="F628" s="9"/>
      <c r="G628" s="59"/>
      <c r="H628" s="9"/>
    </row>
    <row r="629">
      <c r="A629" s="9"/>
      <c r="B629" s="9"/>
      <c r="C629" s="9"/>
      <c r="D629" s="9"/>
      <c r="E629" s="9"/>
      <c r="F629" s="9"/>
      <c r="G629" s="59"/>
      <c r="H629" s="9"/>
    </row>
    <row r="630">
      <c r="A630" s="9"/>
      <c r="B630" s="9"/>
      <c r="C630" s="9"/>
      <c r="D630" s="9"/>
      <c r="E630" s="9"/>
      <c r="F630" s="9"/>
      <c r="G630" s="59"/>
      <c r="H630" s="9"/>
    </row>
    <row r="631">
      <c r="A631" s="9"/>
      <c r="B631" s="9"/>
      <c r="C631" s="9"/>
      <c r="D631" s="9"/>
      <c r="E631" s="9"/>
      <c r="F631" s="9"/>
      <c r="G631" s="59"/>
      <c r="H631" s="9"/>
    </row>
    <row r="632">
      <c r="A632" s="9"/>
      <c r="B632" s="9"/>
      <c r="C632" s="9"/>
      <c r="D632" s="9"/>
      <c r="E632" s="9"/>
      <c r="F632" s="9"/>
      <c r="G632" s="59"/>
      <c r="H632" s="9"/>
    </row>
    <row r="633">
      <c r="A633" s="9"/>
      <c r="B633" s="9"/>
      <c r="C633" s="9"/>
      <c r="D633" s="9"/>
      <c r="E633" s="9"/>
      <c r="F633" s="9"/>
      <c r="G633" s="59"/>
      <c r="H633" s="9"/>
    </row>
    <row r="634">
      <c r="A634" s="9"/>
      <c r="B634" s="9"/>
      <c r="C634" s="9"/>
      <c r="D634" s="9"/>
      <c r="E634" s="9"/>
      <c r="F634" s="9"/>
      <c r="G634" s="59"/>
      <c r="H634" s="9"/>
    </row>
    <row r="635">
      <c r="A635" s="9"/>
      <c r="B635" s="9"/>
      <c r="C635" s="9"/>
      <c r="D635" s="9"/>
      <c r="E635" s="9"/>
      <c r="F635" s="9"/>
      <c r="G635" s="59"/>
      <c r="H635" s="9"/>
    </row>
    <row r="636">
      <c r="A636" s="9"/>
      <c r="B636" s="9"/>
      <c r="C636" s="9"/>
      <c r="D636" s="9"/>
      <c r="E636" s="9"/>
      <c r="F636" s="9"/>
      <c r="G636" s="59"/>
      <c r="H636" s="9"/>
    </row>
    <row r="637">
      <c r="A637" s="9"/>
      <c r="B637" s="9"/>
      <c r="C637" s="9"/>
      <c r="D637" s="9"/>
      <c r="E637" s="9"/>
      <c r="F637" s="9"/>
      <c r="G637" s="59"/>
      <c r="H637" s="9"/>
    </row>
    <row r="638">
      <c r="A638" s="9"/>
      <c r="B638" s="9"/>
      <c r="C638" s="9"/>
      <c r="D638" s="9"/>
      <c r="E638" s="9"/>
      <c r="F638" s="9"/>
      <c r="G638" s="59"/>
      <c r="H638" s="9"/>
    </row>
    <row r="639">
      <c r="A639" s="9"/>
      <c r="B639" s="9"/>
      <c r="C639" s="9"/>
      <c r="D639" s="9"/>
      <c r="E639" s="9"/>
      <c r="F639" s="9"/>
      <c r="G639" s="59"/>
      <c r="H639" s="9"/>
    </row>
    <row r="640">
      <c r="A640" s="9"/>
      <c r="B640" s="9"/>
      <c r="C640" s="9"/>
      <c r="D640" s="9"/>
      <c r="E640" s="9"/>
      <c r="F640" s="9"/>
      <c r="G640" s="59"/>
      <c r="H640" s="9"/>
    </row>
    <row r="641">
      <c r="A641" s="9"/>
      <c r="B641" s="9"/>
      <c r="C641" s="9"/>
      <c r="D641" s="9"/>
      <c r="E641" s="9"/>
      <c r="F641" s="9"/>
      <c r="G641" s="59"/>
      <c r="H641" s="9"/>
    </row>
    <row r="642">
      <c r="A642" s="9"/>
      <c r="B642" s="9"/>
      <c r="C642" s="9"/>
      <c r="D642" s="9"/>
      <c r="E642" s="9"/>
      <c r="F642" s="9"/>
      <c r="G642" s="59"/>
      <c r="H642" s="9"/>
    </row>
    <row r="643">
      <c r="A643" s="9"/>
      <c r="B643" s="9"/>
      <c r="C643" s="9"/>
      <c r="D643" s="9"/>
      <c r="E643" s="9"/>
      <c r="F643" s="9"/>
      <c r="G643" s="59"/>
      <c r="H643" s="9"/>
    </row>
    <row r="644">
      <c r="A644" s="9"/>
      <c r="B644" s="9"/>
      <c r="C644" s="9"/>
      <c r="D644" s="9"/>
      <c r="E644" s="9"/>
      <c r="F644" s="9"/>
      <c r="G644" s="59"/>
      <c r="H644" s="9"/>
    </row>
    <row r="645">
      <c r="A645" s="9"/>
      <c r="B645" s="9"/>
      <c r="C645" s="9"/>
      <c r="D645" s="9"/>
      <c r="E645" s="9"/>
      <c r="F645" s="9"/>
      <c r="G645" s="59"/>
      <c r="H645" s="9"/>
    </row>
    <row r="646">
      <c r="A646" s="9"/>
      <c r="B646" s="9"/>
      <c r="C646" s="9"/>
      <c r="D646" s="9"/>
      <c r="E646" s="9"/>
      <c r="F646" s="9"/>
      <c r="G646" s="59"/>
      <c r="H646" s="9"/>
    </row>
    <row r="647">
      <c r="A647" s="9"/>
      <c r="B647" s="9"/>
      <c r="C647" s="9"/>
      <c r="D647" s="9"/>
      <c r="E647" s="9"/>
      <c r="F647" s="9"/>
      <c r="G647" s="59"/>
      <c r="H647" s="9"/>
    </row>
    <row r="648">
      <c r="A648" s="9"/>
      <c r="B648" s="9"/>
      <c r="C648" s="9"/>
      <c r="D648" s="9"/>
      <c r="E648" s="9"/>
      <c r="F648" s="9"/>
      <c r="G648" s="59"/>
      <c r="H648" s="9"/>
    </row>
    <row r="649">
      <c r="A649" s="9"/>
      <c r="B649" s="9"/>
      <c r="C649" s="9"/>
      <c r="D649" s="9"/>
      <c r="E649" s="9"/>
      <c r="F649" s="9"/>
      <c r="G649" s="59"/>
      <c r="H649" s="9"/>
    </row>
    <row r="650">
      <c r="A650" s="9"/>
      <c r="B650" s="9"/>
      <c r="C650" s="9"/>
      <c r="D650" s="9"/>
      <c r="E650" s="9"/>
      <c r="F650" s="9"/>
      <c r="G650" s="59"/>
      <c r="H650" s="9"/>
    </row>
    <row r="651">
      <c r="A651" s="9"/>
      <c r="B651" s="9"/>
      <c r="C651" s="9"/>
      <c r="D651" s="9"/>
      <c r="E651" s="9"/>
      <c r="F651" s="9"/>
      <c r="G651" s="59"/>
      <c r="H651" s="9"/>
    </row>
    <row r="652">
      <c r="A652" s="9"/>
      <c r="B652" s="9"/>
      <c r="C652" s="9"/>
      <c r="D652" s="9"/>
      <c r="E652" s="9"/>
      <c r="F652" s="9"/>
      <c r="G652" s="59"/>
      <c r="H652" s="9"/>
    </row>
    <row r="653">
      <c r="A653" s="9"/>
      <c r="B653" s="9"/>
      <c r="C653" s="9"/>
      <c r="D653" s="9"/>
      <c r="E653" s="9"/>
      <c r="F653" s="9"/>
      <c r="G653" s="59"/>
      <c r="H653" s="9"/>
    </row>
    <row r="654">
      <c r="A654" s="9"/>
      <c r="B654" s="9"/>
      <c r="C654" s="9"/>
      <c r="D654" s="9"/>
      <c r="E654" s="9"/>
      <c r="F654" s="9"/>
      <c r="G654" s="59"/>
      <c r="H654" s="9"/>
    </row>
    <row r="655">
      <c r="A655" s="9"/>
      <c r="B655" s="9"/>
      <c r="C655" s="9"/>
      <c r="D655" s="9"/>
      <c r="E655" s="9"/>
      <c r="F655" s="9"/>
      <c r="G655" s="59"/>
      <c r="H655" s="9"/>
    </row>
    <row r="656">
      <c r="A656" s="9"/>
      <c r="B656" s="9"/>
      <c r="C656" s="9"/>
      <c r="D656" s="9"/>
      <c r="E656" s="9"/>
      <c r="F656" s="9"/>
      <c r="G656" s="59"/>
      <c r="H656" s="9"/>
    </row>
    <row r="657">
      <c r="A657" s="9"/>
      <c r="B657" s="9"/>
      <c r="C657" s="9"/>
      <c r="D657" s="9"/>
      <c r="E657" s="9"/>
      <c r="F657" s="9"/>
      <c r="G657" s="59"/>
      <c r="H657" s="9"/>
    </row>
    <row r="658">
      <c r="A658" s="9"/>
      <c r="B658" s="9"/>
      <c r="C658" s="9"/>
      <c r="D658" s="9"/>
      <c r="E658" s="9"/>
      <c r="F658" s="9"/>
      <c r="G658" s="59"/>
      <c r="H658" s="9"/>
    </row>
    <row r="659">
      <c r="A659" s="9"/>
      <c r="B659" s="9"/>
      <c r="C659" s="9"/>
      <c r="D659" s="9"/>
      <c r="E659" s="9"/>
      <c r="F659" s="9"/>
      <c r="G659" s="59"/>
      <c r="H659" s="9"/>
    </row>
    <row r="660">
      <c r="A660" s="9"/>
      <c r="B660" s="9"/>
      <c r="C660" s="9"/>
      <c r="D660" s="9"/>
      <c r="E660" s="9"/>
      <c r="F660" s="9"/>
      <c r="G660" s="59"/>
      <c r="H660" s="9"/>
    </row>
    <row r="661">
      <c r="A661" s="9"/>
      <c r="B661" s="9"/>
      <c r="C661" s="9"/>
      <c r="D661" s="9"/>
      <c r="E661" s="9"/>
      <c r="F661" s="9"/>
      <c r="G661" s="59"/>
      <c r="H661" s="9"/>
    </row>
    <row r="662">
      <c r="A662" s="9"/>
      <c r="B662" s="9"/>
      <c r="C662" s="9"/>
      <c r="D662" s="9"/>
      <c r="E662" s="9"/>
      <c r="F662" s="9"/>
      <c r="G662" s="59"/>
      <c r="H662" s="9"/>
    </row>
    <row r="663">
      <c r="A663" s="9"/>
      <c r="B663" s="9"/>
      <c r="C663" s="9"/>
      <c r="D663" s="9"/>
      <c r="E663" s="9"/>
      <c r="F663" s="9"/>
      <c r="G663" s="59"/>
      <c r="H663" s="9"/>
    </row>
    <row r="664">
      <c r="A664" s="9"/>
      <c r="B664" s="9"/>
      <c r="C664" s="9"/>
      <c r="D664" s="9"/>
      <c r="E664" s="9"/>
      <c r="F664" s="9"/>
      <c r="G664" s="59"/>
      <c r="H664" s="9"/>
    </row>
    <row r="665">
      <c r="A665" s="9"/>
      <c r="B665" s="9"/>
      <c r="C665" s="9"/>
      <c r="D665" s="9"/>
      <c r="E665" s="9"/>
      <c r="F665" s="9"/>
      <c r="G665" s="59"/>
      <c r="H665" s="9"/>
    </row>
    <row r="666">
      <c r="A666" s="9"/>
      <c r="B666" s="9"/>
      <c r="C666" s="9"/>
      <c r="D666" s="9"/>
      <c r="E666" s="9"/>
      <c r="F666" s="9"/>
      <c r="G666" s="59"/>
      <c r="H666" s="9"/>
    </row>
    <row r="667">
      <c r="A667" s="9"/>
      <c r="B667" s="9"/>
      <c r="C667" s="9"/>
      <c r="D667" s="9"/>
      <c r="E667" s="9"/>
      <c r="F667" s="9"/>
      <c r="G667" s="59"/>
      <c r="H667" s="9"/>
    </row>
    <row r="668">
      <c r="A668" s="9"/>
      <c r="B668" s="9"/>
      <c r="C668" s="9"/>
      <c r="D668" s="9"/>
      <c r="E668" s="9"/>
      <c r="F668" s="9"/>
      <c r="G668" s="59"/>
      <c r="H668" s="9"/>
    </row>
    <row r="669">
      <c r="A669" s="9"/>
      <c r="B669" s="9"/>
      <c r="C669" s="9"/>
      <c r="D669" s="9"/>
      <c r="E669" s="9"/>
      <c r="F669" s="9"/>
      <c r="G669" s="59"/>
      <c r="H669" s="9"/>
    </row>
    <row r="670">
      <c r="A670" s="9"/>
      <c r="B670" s="9"/>
      <c r="C670" s="9"/>
      <c r="D670" s="9"/>
      <c r="E670" s="9"/>
      <c r="F670" s="9"/>
      <c r="G670" s="59"/>
      <c r="H670" s="9"/>
    </row>
    <row r="671">
      <c r="A671" s="9"/>
      <c r="B671" s="9"/>
      <c r="C671" s="9"/>
      <c r="D671" s="9"/>
      <c r="E671" s="9"/>
      <c r="F671" s="9"/>
      <c r="G671" s="59"/>
      <c r="H671" s="9"/>
    </row>
    <row r="672">
      <c r="A672" s="9"/>
      <c r="B672" s="9"/>
      <c r="C672" s="9"/>
      <c r="D672" s="9"/>
      <c r="E672" s="9"/>
      <c r="F672" s="9"/>
      <c r="G672" s="59"/>
      <c r="H672" s="9"/>
    </row>
    <row r="673">
      <c r="A673" s="9"/>
      <c r="B673" s="9"/>
      <c r="C673" s="9"/>
      <c r="D673" s="9"/>
      <c r="E673" s="9"/>
      <c r="F673" s="9"/>
      <c r="G673" s="59"/>
      <c r="H673" s="9"/>
    </row>
    <row r="674">
      <c r="A674" s="9"/>
      <c r="B674" s="9"/>
      <c r="C674" s="9"/>
      <c r="D674" s="9"/>
      <c r="E674" s="9"/>
      <c r="F674" s="9"/>
      <c r="G674" s="59"/>
      <c r="H674" s="9"/>
    </row>
    <row r="675">
      <c r="A675" s="9"/>
      <c r="B675" s="9"/>
      <c r="C675" s="9"/>
      <c r="D675" s="9"/>
      <c r="E675" s="9"/>
      <c r="F675" s="9"/>
      <c r="G675" s="59"/>
      <c r="H675" s="9"/>
    </row>
    <row r="676">
      <c r="A676" s="9"/>
      <c r="B676" s="9"/>
      <c r="C676" s="9"/>
      <c r="D676" s="9"/>
      <c r="E676" s="9"/>
      <c r="F676" s="9"/>
      <c r="G676" s="59"/>
      <c r="H676" s="9"/>
    </row>
    <row r="677">
      <c r="A677" s="9"/>
      <c r="B677" s="9"/>
      <c r="C677" s="9"/>
      <c r="D677" s="9"/>
      <c r="E677" s="9"/>
      <c r="F677" s="9"/>
      <c r="G677" s="59"/>
      <c r="H677" s="9"/>
    </row>
    <row r="678">
      <c r="A678" s="9"/>
      <c r="B678" s="9"/>
      <c r="C678" s="9"/>
      <c r="D678" s="9"/>
      <c r="E678" s="9"/>
      <c r="F678" s="9"/>
      <c r="G678" s="59"/>
      <c r="H678" s="9"/>
    </row>
    <row r="679">
      <c r="A679" s="9"/>
      <c r="B679" s="9"/>
      <c r="C679" s="9"/>
      <c r="D679" s="9"/>
      <c r="E679" s="9"/>
      <c r="F679" s="9"/>
      <c r="G679" s="59"/>
      <c r="H679" s="9"/>
    </row>
    <row r="680">
      <c r="A680" s="9"/>
      <c r="B680" s="9"/>
      <c r="C680" s="9"/>
      <c r="D680" s="9"/>
      <c r="E680" s="9"/>
      <c r="F680" s="9"/>
      <c r="G680" s="59"/>
      <c r="H680" s="9"/>
    </row>
    <row r="681">
      <c r="A681" s="9"/>
      <c r="B681" s="9"/>
      <c r="C681" s="9"/>
      <c r="D681" s="9"/>
      <c r="E681" s="9"/>
      <c r="F681" s="9"/>
      <c r="G681" s="59"/>
      <c r="H681" s="9"/>
    </row>
    <row r="682">
      <c r="A682" s="9"/>
      <c r="B682" s="9"/>
      <c r="C682" s="9"/>
      <c r="D682" s="9"/>
      <c r="E682" s="9"/>
      <c r="F682" s="9"/>
      <c r="G682" s="59"/>
      <c r="H682" s="9"/>
    </row>
    <row r="683">
      <c r="A683" s="9"/>
      <c r="B683" s="9"/>
      <c r="C683" s="9"/>
      <c r="D683" s="9"/>
      <c r="E683" s="9"/>
      <c r="F683" s="9"/>
      <c r="G683" s="59"/>
      <c r="H683" s="9"/>
    </row>
    <row r="684">
      <c r="A684" s="9"/>
      <c r="B684" s="9"/>
      <c r="C684" s="9"/>
      <c r="D684" s="9"/>
      <c r="E684" s="9"/>
      <c r="F684" s="9"/>
      <c r="G684" s="59"/>
      <c r="H684" s="9"/>
    </row>
    <row r="685">
      <c r="A685" s="9"/>
      <c r="B685" s="9"/>
      <c r="C685" s="9"/>
      <c r="D685" s="9"/>
      <c r="E685" s="9"/>
      <c r="F685" s="9"/>
      <c r="G685" s="59"/>
      <c r="H685" s="9"/>
    </row>
    <row r="686">
      <c r="A686" s="9"/>
      <c r="B686" s="9"/>
      <c r="C686" s="9"/>
      <c r="D686" s="9"/>
      <c r="E686" s="9"/>
      <c r="F686" s="9"/>
      <c r="G686" s="59"/>
      <c r="H686" s="9"/>
    </row>
    <row r="687">
      <c r="A687" s="9"/>
      <c r="B687" s="9"/>
      <c r="C687" s="9"/>
      <c r="D687" s="9"/>
      <c r="E687" s="9"/>
      <c r="F687" s="9"/>
      <c r="G687" s="59"/>
      <c r="H687" s="9"/>
    </row>
    <row r="688">
      <c r="A688" s="9"/>
      <c r="B688" s="9"/>
      <c r="C688" s="9"/>
      <c r="D688" s="9"/>
      <c r="E688" s="9"/>
      <c r="F688" s="9"/>
      <c r="G688" s="59"/>
      <c r="H688" s="9"/>
    </row>
    <row r="689">
      <c r="A689" s="9"/>
      <c r="B689" s="9"/>
      <c r="C689" s="9"/>
      <c r="D689" s="9"/>
      <c r="E689" s="9"/>
      <c r="F689" s="9"/>
      <c r="G689" s="59"/>
      <c r="H689" s="9"/>
    </row>
    <row r="690">
      <c r="A690" s="9"/>
      <c r="B690" s="9"/>
      <c r="C690" s="9"/>
      <c r="D690" s="9"/>
      <c r="E690" s="9"/>
      <c r="F690" s="9"/>
      <c r="G690" s="59"/>
      <c r="H690" s="9"/>
    </row>
    <row r="691">
      <c r="A691" s="9"/>
      <c r="B691" s="9"/>
      <c r="C691" s="9"/>
      <c r="D691" s="9"/>
      <c r="E691" s="9"/>
      <c r="F691" s="9"/>
      <c r="G691" s="59"/>
      <c r="H691" s="9"/>
    </row>
    <row r="692">
      <c r="A692" s="9"/>
      <c r="B692" s="9"/>
      <c r="C692" s="9"/>
      <c r="D692" s="9"/>
      <c r="E692" s="9"/>
      <c r="F692" s="9"/>
      <c r="G692" s="59"/>
      <c r="H692" s="9"/>
    </row>
    <row r="693">
      <c r="A693" s="9"/>
      <c r="B693" s="9"/>
      <c r="C693" s="9"/>
      <c r="D693" s="9"/>
      <c r="E693" s="9"/>
      <c r="F693" s="9"/>
      <c r="G693" s="59"/>
      <c r="H693" s="9"/>
    </row>
    <row r="694">
      <c r="A694" s="9"/>
      <c r="B694" s="9"/>
      <c r="C694" s="9"/>
      <c r="D694" s="9"/>
      <c r="E694" s="9"/>
      <c r="F694" s="9"/>
      <c r="G694" s="59"/>
      <c r="H694" s="9"/>
    </row>
    <row r="695">
      <c r="A695" s="9"/>
      <c r="B695" s="9"/>
      <c r="C695" s="9"/>
      <c r="D695" s="9"/>
      <c r="E695" s="9"/>
      <c r="F695" s="9"/>
      <c r="G695" s="59"/>
      <c r="H695" s="9"/>
    </row>
    <row r="696">
      <c r="A696" s="9"/>
      <c r="B696" s="9"/>
      <c r="C696" s="9"/>
      <c r="D696" s="9"/>
      <c r="E696" s="9"/>
      <c r="F696" s="9"/>
      <c r="G696" s="59"/>
      <c r="H696" s="9"/>
    </row>
    <row r="697">
      <c r="A697" s="9"/>
      <c r="B697" s="9"/>
      <c r="C697" s="9"/>
      <c r="D697" s="9"/>
      <c r="E697" s="9"/>
      <c r="F697" s="9"/>
      <c r="G697" s="59"/>
      <c r="H697" s="9"/>
    </row>
    <row r="698">
      <c r="A698" s="9"/>
      <c r="B698" s="9"/>
      <c r="C698" s="9"/>
      <c r="D698" s="9"/>
      <c r="E698" s="9"/>
      <c r="F698" s="9"/>
      <c r="G698" s="59"/>
      <c r="H698" s="9"/>
    </row>
    <row r="699">
      <c r="A699" s="9"/>
      <c r="B699" s="9"/>
      <c r="C699" s="9"/>
      <c r="D699" s="9"/>
      <c r="E699" s="9"/>
      <c r="F699" s="9"/>
      <c r="G699" s="59"/>
      <c r="H699" s="9"/>
    </row>
    <row r="700">
      <c r="A700" s="9"/>
      <c r="B700" s="9"/>
      <c r="C700" s="9"/>
      <c r="D700" s="9"/>
      <c r="E700" s="9"/>
      <c r="F700" s="9"/>
      <c r="G700" s="59"/>
      <c r="H700" s="9"/>
    </row>
    <row r="701">
      <c r="A701" s="9"/>
      <c r="B701" s="9"/>
      <c r="C701" s="9"/>
      <c r="D701" s="9"/>
      <c r="E701" s="9"/>
      <c r="F701" s="9"/>
      <c r="G701" s="59"/>
      <c r="H701" s="9"/>
    </row>
    <row r="702">
      <c r="A702" s="9"/>
      <c r="B702" s="9"/>
      <c r="C702" s="9"/>
      <c r="D702" s="9"/>
      <c r="E702" s="9"/>
      <c r="F702" s="9"/>
      <c r="G702" s="59"/>
      <c r="H702" s="9"/>
    </row>
    <row r="703">
      <c r="A703" s="9"/>
      <c r="B703" s="9"/>
      <c r="C703" s="9"/>
      <c r="D703" s="9"/>
      <c r="E703" s="9"/>
      <c r="F703" s="9"/>
      <c r="G703" s="59"/>
      <c r="H703" s="9"/>
    </row>
    <row r="704">
      <c r="A704" s="9"/>
      <c r="B704" s="9"/>
      <c r="C704" s="9"/>
      <c r="D704" s="9"/>
      <c r="E704" s="9"/>
      <c r="F704" s="9"/>
      <c r="G704" s="59"/>
      <c r="H704" s="9"/>
    </row>
    <row r="705">
      <c r="A705" s="9"/>
      <c r="B705" s="9"/>
      <c r="C705" s="9"/>
      <c r="D705" s="9"/>
      <c r="E705" s="9"/>
      <c r="F705" s="9"/>
      <c r="G705" s="59"/>
      <c r="H705" s="9"/>
    </row>
    <row r="706">
      <c r="A706" s="9"/>
      <c r="B706" s="9"/>
      <c r="C706" s="9"/>
      <c r="D706" s="9"/>
      <c r="E706" s="9"/>
      <c r="F706" s="9"/>
      <c r="G706" s="59"/>
      <c r="H706" s="9"/>
    </row>
    <row r="707">
      <c r="A707" s="9"/>
      <c r="B707" s="9"/>
      <c r="C707" s="9"/>
      <c r="D707" s="9"/>
      <c r="E707" s="9"/>
      <c r="F707" s="9"/>
      <c r="G707" s="59"/>
      <c r="H707" s="9"/>
    </row>
    <row r="708">
      <c r="A708" s="9"/>
      <c r="B708" s="9"/>
      <c r="C708" s="9"/>
      <c r="D708" s="9"/>
      <c r="E708" s="9"/>
      <c r="F708" s="9"/>
      <c r="G708" s="59"/>
      <c r="H708" s="9"/>
    </row>
    <row r="709">
      <c r="A709" s="9"/>
      <c r="B709" s="9"/>
      <c r="C709" s="9"/>
      <c r="D709" s="9"/>
      <c r="E709" s="9"/>
      <c r="F709" s="9"/>
      <c r="G709" s="59"/>
      <c r="H709" s="9"/>
    </row>
    <row r="710">
      <c r="A710" s="9"/>
      <c r="B710" s="9"/>
      <c r="C710" s="9"/>
      <c r="D710" s="9"/>
      <c r="E710" s="9"/>
      <c r="F710" s="9"/>
      <c r="G710" s="59"/>
      <c r="H710" s="9"/>
    </row>
    <row r="711">
      <c r="A711" s="9"/>
      <c r="B711" s="9"/>
      <c r="C711" s="9"/>
      <c r="D711" s="9"/>
      <c r="E711" s="9"/>
      <c r="F711" s="9"/>
      <c r="G711" s="59"/>
      <c r="H711" s="9"/>
    </row>
    <row r="712">
      <c r="A712" s="9"/>
      <c r="B712" s="9"/>
      <c r="C712" s="9"/>
      <c r="D712" s="9"/>
      <c r="E712" s="9"/>
      <c r="F712" s="9"/>
      <c r="G712" s="59"/>
      <c r="H712" s="9"/>
    </row>
    <row r="713">
      <c r="A713" s="9"/>
      <c r="B713" s="9"/>
      <c r="C713" s="9"/>
      <c r="D713" s="9"/>
      <c r="E713" s="9"/>
      <c r="F713" s="9"/>
      <c r="G713" s="59"/>
      <c r="H713" s="9"/>
    </row>
    <row r="714">
      <c r="A714" s="9"/>
      <c r="B714" s="9"/>
      <c r="C714" s="9"/>
      <c r="D714" s="9"/>
      <c r="E714" s="9"/>
      <c r="F714" s="9"/>
      <c r="G714" s="59"/>
      <c r="H714" s="9"/>
    </row>
    <row r="715">
      <c r="A715" s="9"/>
      <c r="B715" s="9"/>
      <c r="C715" s="9"/>
      <c r="D715" s="9"/>
      <c r="E715" s="9"/>
      <c r="F715" s="9"/>
      <c r="G715" s="59"/>
      <c r="H715" s="9"/>
    </row>
    <row r="716">
      <c r="A716" s="9"/>
      <c r="B716" s="9"/>
      <c r="C716" s="9"/>
      <c r="D716" s="9"/>
      <c r="E716" s="9"/>
      <c r="F716" s="9"/>
      <c r="G716" s="59"/>
      <c r="H716" s="9"/>
    </row>
    <row r="717">
      <c r="A717" s="9"/>
      <c r="B717" s="9"/>
      <c r="C717" s="9"/>
      <c r="D717" s="9"/>
      <c r="E717" s="9"/>
      <c r="F717" s="9"/>
      <c r="G717" s="59"/>
      <c r="H717" s="9"/>
    </row>
    <row r="718">
      <c r="A718" s="9"/>
      <c r="B718" s="9"/>
      <c r="C718" s="9"/>
      <c r="D718" s="9"/>
      <c r="E718" s="9"/>
      <c r="F718" s="9"/>
      <c r="G718" s="59"/>
      <c r="H718" s="9"/>
    </row>
    <row r="719">
      <c r="A719" s="9"/>
      <c r="B719" s="9"/>
      <c r="C719" s="9"/>
      <c r="D719" s="9"/>
      <c r="E719" s="9"/>
      <c r="F719" s="9"/>
      <c r="G719" s="59"/>
      <c r="H719" s="9"/>
    </row>
    <row r="720">
      <c r="A720" s="9"/>
      <c r="B720" s="9"/>
      <c r="C720" s="9"/>
      <c r="D720" s="9"/>
      <c r="E720" s="9"/>
      <c r="F720" s="9"/>
      <c r="G720" s="59"/>
      <c r="H720" s="9"/>
    </row>
    <row r="721">
      <c r="A721" s="9"/>
      <c r="B721" s="9"/>
      <c r="C721" s="9"/>
      <c r="D721" s="9"/>
      <c r="E721" s="9"/>
      <c r="F721" s="9"/>
      <c r="G721" s="59"/>
      <c r="H721" s="9"/>
    </row>
    <row r="722">
      <c r="A722" s="9"/>
      <c r="B722" s="9"/>
      <c r="C722" s="9"/>
      <c r="D722" s="9"/>
      <c r="E722" s="9"/>
      <c r="F722" s="9"/>
      <c r="G722" s="59"/>
      <c r="H722" s="9"/>
    </row>
    <row r="723">
      <c r="A723" s="9"/>
      <c r="B723" s="9"/>
      <c r="C723" s="9"/>
      <c r="D723" s="9"/>
      <c r="E723" s="9"/>
      <c r="F723" s="9"/>
      <c r="G723" s="59"/>
      <c r="H723" s="9"/>
    </row>
    <row r="724">
      <c r="A724" s="9"/>
      <c r="B724" s="9"/>
      <c r="C724" s="9"/>
      <c r="D724" s="9"/>
      <c r="E724" s="9"/>
      <c r="F724" s="9"/>
      <c r="G724" s="59"/>
      <c r="H724" s="9"/>
    </row>
    <row r="725">
      <c r="A725" s="9"/>
      <c r="B725" s="9"/>
      <c r="C725" s="9"/>
      <c r="D725" s="9"/>
      <c r="E725" s="9"/>
      <c r="F725" s="9"/>
      <c r="G725" s="59"/>
      <c r="H725" s="9"/>
    </row>
    <row r="726">
      <c r="A726" s="9"/>
      <c r="B726" s="9"/>
      <c r="C726" s="9"/>
      <c r="D726" s="9"/>
      <c r="E726" s="9"/>
      <c r="F726" s="9"/>
      <c r="G726" s="59"/>
      <c r="H726" s="9"/>
    </row>
    <row r="727">
      <c r="A727" s="9"/>
      <c r="B727" s="9"/>
      <c r="C727" s="9"/>
      <c r="D727" s="9"/>
      <c r="E727" s="9"/>
      <c r="F727" s="9"/>
      <c r="G727" s="59"/>
      <c r="H727" s="9"/>
    </row>
    <row r="728">
      <c r="A728" s="9"/>
      <c r="B728" s="9"/>
      <c r="C728" s="9"/>
      <c r="D728" s="9"/>
      <c r="E728" s="9"/>
      <c r="F728" s="9"/>
      <c r="G728" s="59"/>
      <c r="H728" s="9"/>
    </row>
    <row r="729">
      <c r="A729" s="9"/>
      <c r="B729" s="9"/>
      <c r="C729" s="9"/>
      <c r="D729" s="9"/>
      <c r="E729" s="9"/>
      <c r="F729" s="9"/>
      <c r="G729" s="59"/>
      <c r="H729" s="9"/>
    </row>
    <row r="730">
      <c r="A730" s="9"/>
      <c r="B730" s="9"/>
      <c r="C730" s="9"/>
      <c r="D730" s="9"/>
      <c r="E730" s="9"/>
      <c r="F730" s="9"/>
      <c r="G730" s="59"/>
      <c r="H730" s="9"/>
    </row>
    <row r="731">
      <c r="A731" s="9"/>
      <c r="B731" s="9"/>
      <c r="C731" s="9"/>
      <c r="D731" s="9"/>
      <c r="E731" s="9"/>
      <c r="F731" s="9"/>
      <c r="G731" s="59"/>
      <c r="H731" s="9"/>
    </row>
    <row r="732">
      <c r="A732" s="9"/>
      <c r="B732" s="9"/>
      <c r="C732" s="9"/>
      <c r="D732" s="9"/>
      <c r="E732" s="9"/>
      <c r="F732" s="9"/>
      <c r="G732" s="59"/>
      <c r="H732" s="9"/>
    </row>
    <row r="733">
      <c r="A733" s="9"/>
      <c r="B733" s="9"/>
      <c r="C733" s="9"/>
      <c r="D733" s="9"/>
      <c r="E733" s="9"/>
      <c r="F733" s="9"/>
      <c r="G733" s="59"/>
      <c r="H733" s="9"/>
    </row>
    <row r="734">
      <c r="A734" s="9"/>
      <c r="B734" s="9"/>
      <c r="C734" s="9"/>
      <c r="D734" s="9"/>
      <c r="E734" s="9"/>
      <c r="F734" s="9"/>
      <c r="G734" s="59"/>
      <c r="H734" s="9"/>
    </row>
    <row r="735">
      <c r="A735" s="9"/>
      <c r="B735" s="9"/>
      <c r="C735" s="9"/>
      <c r="D735" s="9"/>
      <c r="E735" s="9"/>
      <c r="F735" s="9"/>
      <c r="G735" s="59"/>
      <c r="H735" s="9"/>
    </row>
    <row r="736">
      <c r="A736" s="9"/>
      <c r="B736" s="9"/>
      <c r="C736" s="9"/>
      <c r="D736" s="9"/>
      <c r="E736" s="9"/>
      <c r="F736" s="9"/>
      <c r="G736" s="59"/>
      <c r="H736" s="9"/>
    </row>
    <row r="737">
      <c r="A737" s="9"/>
      <c r="B737" s="9"/>
      <c r="C737" s="9"/>
      <c r="D737" s="9"/>
      <c r="E737" s="9"/>
      <c r="F737" s="9"/>
      <c r="G737" s="59"/>
      <c r="H737" s="9"/>
    </row>
    <row r="738">
      <c r="A738" s="9"/>
      <c r="B738" s="9"/>
      <c r="C738" s="9"/>
      <c r="D738" s="9"/>
      <c r="E738" s="9"/>
      <c r="F738" s="9"/>
      <c r="G738" s="59"/>
      <c r="H738" s="9"/>
    </row>
    <row r="739">
      <c r="A739" s="9"/>
      <c r="B739" s="9"/>
      <c r="C739" s="9"/>
      <c r="D739" s="9"/>
      <c r="E739" s="9"/>
      <c r="F739" s="9"/>
      <c r="G739" s="59"/>
      <c r="H739" s="9"/>
    </row>
    <row r="740">
      <c r="A740" s="9"/>
      <c r="B740" s="9"/>
      <c r="C740" s="9"/>
      <c r="D740" s="9"/>
      <c r="E740" s="9"/>
      <c r="F740" s="9"/>
      <c r="G740" s="59"/>
      <c r="H740" s="9"/>
    </row>
    <row r="741">
      <c r="A741" s="9"/>
      <c r="B741" s="9"/>
      <c r="C741" s="9"/>
      <c r="D741" s="9"/>
      <c r="E741" s="9"/>
      <c r="F741" s="9"/>
      <c r="G741" s="59"/>
      <c r="H741" s="9"/>
    </row>
    <row r="742">
      <c r="A742" s="9"/>
      <c r="B742" s="9"/>
      <c r="C742" s="9"/>
      <c r="D742" s="9"/>
      <c r="E742" s="9"/>
      <c r="F742" s="9"/>
      <c r="G742" s="59"/>
      <c r="H742" s="9"/>
    </row>
    <row r="743">
      <c r="A743" s="9"/>
      <c r="B743" s="9"/>
      <c r="C743" s="9"/>
      <c r="D743" s="9"/>
      <c r="E743" s="9"/>
      <c r="F743" s="9"/>
      <c r="G743" s="59"/>
      <c r="H743" s="9"/>
    </row>
    <row r="744">
      <c r="A744" s="9"/>
      <c r="B744" s="9"/>
      <c r="C744" s="9"/>
      <c r="D744" s="9"/>
      <c r="E744" s="9"/>
      <c r="F744" s="9"/>
      <c r="G744" s="59"/>
      <c r="H744" s="9"/>
    </row>
    <row r="745">
      <c r="A745" s="9"/>
      <c r="B745" s="9"/>
      <c r="C745" s="9"/>
      <c r="D745" s="9"/>
      <c r="E745" s="9"/>
      <c r="F745" s="9"/>
      <c r="G745" s="59"/>
      <c r="H745" s="9"/>
    </row>
    <row r="746">
      <c r="A746" s="9"/>
      <c r="B746" s="9"/>
      <c r="C746" s="9"/>
      <c r="D746" s="9"/>
      <c r="E746" s="9"/>
      <c r="F746" s="9"/>
      <c r="G746" s="59"/>
      <c r="H746" s="9"/>
    </row>
    <row r="747">
      <c r="A747" s="9"/>
      <c r="B747" s="9"/>
      <c r="C747" s="9"/>
      <c r="D747" s="9"/>
      <c r="E747" s="9"/>
      <c r="F747" s="9"/>
      <c r="G747" s="59"/>
      <c r="H747" s="9"/>
    </row>
    <row r="748">
      <c r="A748" s="9"/>
      <c r="B748" s="9"/>
      <c r="C748" s="9"/>
      <c r="D748" s="9"/>
      <c r="E748" s="9"/>
      <c r="F748" s="9"/>
      <c r="G748" s="59"/>
      <c r="H748" s="9"/>
    </row>
    <row r="749">
      <c r="A749" s="9"/>
      <c r="B749" s="9"/>
      <c r="C749" s="9"/>
      <c r="D749" s="9"/>
      <c r="E749" s="9"/>
      <c r="F749" s="9"/>
      <c r="G749" s="59"/>
      <c r="H749" s="9"/>
    </row>
    <row r="750">
      <c r="A750" s="9"/>
      <c r="B750" s="9"/>
      <c r="C750" s="9"/>
      <c r="D750" s="9"/>
      <c r="E750" s="9"/>
      <c r="F750" s="9"/>
      <c r="G750" s="59"/>
      <c r="H750" s="9"/>
    </row>
    <row r="751">
      <c r="A751" s="9"/>
      <c r="B751" s="9"/>
      <c r="C751" s="9"/>
      <c r="D751" s="9"/>
      <c r="E751" s="9"/>
      <c r="F751" s="9"/>
      <c r="G751" s="59"/>
      <c r="H751" s="9"/>
    </row>
    <row r="752">
      <c r="A752" s="9"/>
      <c r="B752" s="9"/>
      <c r="C752" s="9"/>
      <c r="D752" s="9"/>
      <c r="E752" s="9"/>
      <c r="F752" s="9"/>
      <c r="G752" s="59"/>
      <c r="H752" s="9"/>
    </row>
    <row r="753">
      <c r="A753" s="9"/>
      <c r="B753" s="9"/>
      <c r="C753" s="9"/>
      <c r="D753" s="9"/>
      <c r="E753" s="9"/>
      <c r="F753" s="9"/>
      <c r="G753" s="59"/>
      <c r="H753" s="9"/>
    </row>
    <row r="754">
      <c r="A754" s="9"/>
      <c r="B754" s="9"/>
      <c r="C754" s="9"/>
      <c r="D754" s="9"/>
      <c r="E754" s="9"/>
      <c r="F754" s="9"/>
      <c r="G754" s="59"/>
      <c r="H754" s="9"/>
    </row>
    <row r="755">
      <c r="A755" s="9"/>
      <c r="B755" s="9"/>
      <c r="C755" s="9"/>
      <c r="D755" s="9"/>
      <c r="E755" s="9"/>
      <c r="F755" s="9"/>
      <c r="G755" s="59"/>
      <c r="H755" s="9"/>
    </row>
    <row r="756">
      <c r="A756" s="9"/>
      <c r="B756" s="9"/>
      <c r="C756" s="9"/>
      <c r="D756" s="9"/>
      <c r="E756" s="9"/>
      <c r="F756" s="9"/>
      <c r="G756" s="59"/>
      <c r="H756" s="9"/>
    </row>
    <row r="757">
      <c r="A757" s="9"/>
      <c r="B757" s="9"/>
      <c r="C757" s="9"/>
      <c r="D757" s="9"/>
      <c r="E757" s="9"/>
      <c r="F757" s="9"/>
      <c r="G757" s="59"/>
      <c r="H757" s="9"/>
    </row>
    <row r="758">
      <c r="A758" s="9"/>
      <c r="B758" s="9"/>
      <c r="C758" s="9"/>
      <c r="D758" s="9"/>
      <c r="E758" s="9"/>
      <c r="F758" s="9"/>
      <c r="G758" s="59"/>
      <c r="H758" s="9"/>
    </row>
    <row r="759">
      <c r="A759" s="9"/>
      <c r="B759" s="9"/>
      <c r="C759" s="9"/>
      <c r="D759" s="9"/>
      <c r="E759" s="9"/>
      <c r="F759" s="9"/>
      <c r="G759" s="59"/>
      <c r="H759" s="9"/>
    </row>
    <row r="760">
      <c r="A760" s="9"/>
      <c r="B760" s="9"/>
      <c r="C760" s="9"/>
      <c r="D760" s="9"/>
      <c r="E760" s="9"/>
      <c r="F760" s="9"/>
      <c r="G760" s="59"/>
      <c r="H760" s="9"/>
    </row>
    <row r="761">
      <c r="A761" s="9"/>
      <c r="B761" s="9"/>
      <c r="C761" s="9"/>
      <c r="D761" s="9"/>
      <c r="E761" s="9"/>
      <c r="F761" s="9"/>
      <c r="G761" s="59"/>
      <c r="H761" s="9"/>
    </row>
    <row r="762">
      <c r="A762" s="9"/>
      <c r="B762" s="9"/>
      <c r="C762" s="9"/>
      <c r="D762" s="9"/>
      <c r="E762" s="9"/>
      <c r="F762" s="9"/>
      <c r="G762" s="59"/>
      <c r="H762" s="9"/>
    </row>
    <row r="763">
      <c r="A763" s="9"/>
      <c r="B763" s="9"/>
      <c r="C763" s="9"/>
      <c r="D763" s="9"/>
      <c r="E763" s="9"/>
      <c r="F763" s="9"/>
      <c r="G763" s="59"/>
      <c r="H763" s="9"/>
    </row>
    <row r="764">
      <c r="A764" s="9"/>
      <c r="B764" s="9"/>
      <c r="C764" s="9"/>
      <c r="D764" s="9"/>
      <c r="E764" s="9"/>
      <c r="F764" s="9"/>
      <c r="G764" s="59"/>
      <c r="H764" s="9"/>
    </row>
    <row r="765">
      <c r="A765" s="9"/>
      <c r="B765" s="9"/>
      <c r="C765" s="9"/>
      <c r="D765" s="9"/>
      <c r="E765" s="9"/>
      <c r="F765" s="9"/>
      <c r="G765" s="59"/>
      <c r="H765" s="9"/>
    </row>
    <row r="766">
      <c r="A766" s="9"/>
      <c r="B766" s="9"/>
      <c r="C766" s="9"/>
      <c r="D766" s="9"/>
      <c r="E766" s="9"/>
      <c r="F766" s="9"/>
      <c r="G766" s="59"/>
      <c r="H766" s="9"/>
    </row>
    <row r="767">
      <c r="A767" s="9"/>
      <c r="B767" s="9"/>
      <c r="C767" s="9"/>
      <c r="D767" s="9"/>
      <c r="E767" s="9"/>
      <c r="F767" s="9"/>
      <c r="G767" s="59"/>
      <c r="H767" s="9"/>
    </row>
    <row r="768">
      <c r="A768" s="9"/>
      <c r="B768" s="9"/>
      <c r="C768" s="9"/>
      <c r="D768" s="9"/>
      <c r="E768" s="9"/>
      <c r="F768" s="9"/>
      <c r="G768" s="59"/>
      <c r="H768" s="9"/>
    </row>
    <row r="769">
      <c r="A769" s="9"/>
      <c r="B769" s="9"/>
      <c r="C769" s="9"/>
      <c r="D769" s="9"/>
      <c r="E769" s="9"/>
      <c r="F769" s="9"/>
      <c r="G769" s="59"/>
      <c r="H769" s="9"/>
    </row>
    <row r="770">
      <c r="A770" s="9"/>
      <c r="B770" s="9"/>
      <c r="C770" s="9"/>
      <c r="D770" s="9"/>
      <c r="E770" s="9"/>
      <c r="F770" s="9"/>
      <c r="G770" s="59"/>
      <c r="H770" s="9"/>
    </row>
    <row r="771">
      <c r="A771" s="9"/>
      <c r="B771" s="9"/>
      <c r="C771" s="9"/>
      <c r="D771" s="9"/>
      <c r="E771" s="9"/>
      <c r="F771" s="9"/>
      <c r="G771" s="59"/>
      <c r="H771" s="9"/>
    </row>
    <row r="772">
      <c r="A772" s="9"/>
      <c r="B772" s="9"/>
      <c r="C772" s="9"/>
      <c r="D772" s="9"/>
      <c r="E772" s="9"/>
      <c r="F772" s="9"/>
      <c r="G772" s="59"/>
      <c r="H772" s="9"/>
    </row>
    <row r="773">
      <c r="A773" s="9"/>
      <c r="B773" s="9"/>
      <c r="C773" s="9"/>
      <c r="D773" s="9"/>
      <c r="E773" s="9"/>
      <c r="F773" s="9"/>
      <c r="G773" s="59"/>
      <c r="H773" s="9"/>
    </row>
    <row r="774">
      <c r="A774" s="9"/>
      <c r="B774" s="9"/>
      <c r="C774" s="9"/>
      <c r="D774" s="9"/>
      <c r="E774" s="9"/>
      <c r="F774" s="9"/>
      <c r="G774" s="59"/>
      <c r="H774" s="9"/>
    </row>
    <row r="775">
      <c r="A775" s="9"/>
      <c r="B775" s="9"/>
      <c r="C775" s="9"/>
      <c r="D775" s="9"/>
      <c r="E775" s="9"/>
      <c r="F775" s="9"/>
      <c r="G775" s="59"/>
      <c r="H775" s="9"/>
    </row>
    <row r="776">
      <c r="A776" s="9"/>
      <c r="B776" s="9"/>
      <c r="C776" s="9"/>
      <c r="D776" s="9"/>
      <c r="E776" s="9"/>
      <c r="F776" s="9"/>
      <c r="G776" s="59"/>
      <c r="H776" s="9"/>
    </row>
    <row r="777">
      <c r="A777" s="9"/>
      <c r="B777" s="9"/>
      <c r="C777" s="9"/>
      <c r="D777" s="9"/>
      <c r="E777" s="9"/>
      <c r="F777" s="9"/>
      <c r="G777" s="59"/>
      <c r="H777" s="9"/>
    </row>
    <row r="778">
      <c r="A778" s="9"/>
      <c r="B778" s="9"/>
      <c r="C778" s="9"/>
      <c r="D778" s="9"/>
      <c r="E778" s="9"/>
      <c r="F778" s="9"/>
      <c r="G778" s="59"/>
      <c r="H778" s="9"/>
    </row>
    <row r="779">
      <c r="A779" s="9"/>
      <c r="B779" s="9"/>
      <c r="C779" s="9"/>
      <c r="D779" s="9"/>
      <c r="E779" s="9"/>
      <c r="F779" s="9"/>
      <c r="G779" s="59"/>
      <c r="H779" s="9"/>
    </row>
    <row r="780">
      <c r="A780" s="9"/>
      <c r="B780" s="9"/>
      <c r="C780" s="9"/>
      <c r="D780" s="9"/>
      <c r="E780" s="9"/>
      <c r="F780" s="9"/>
      <c r="G780" s="59"/>
      <c r="H780" s="9"/>
    </row>
    <row r="781">
      <c r="A781" s="9"/>
      <c r="B781" s="9"/>
      <c r="C781" s="9"/>
      <c r="D781" s="9"/>
      <c r="E781" s="9"/>
      <c r="F781" s="9"/>
      <c r="G781" s="59"/>
      <c r="H781" s="9"/>
    </row>
    <row r="782">
      <c r="A782" s="9"/>
      <c r="B782" s="9"/>
      <c r="C782" s="9"/>
      <c r="D782" s="9"/>
      <c r="E782" s="9"/>
      <c r="F782" s="9"/>
      <c r="G782" s="59"/>
      <c r="H782" s="9"/>
    </row>
    <row r="783">
      <c r="A783" s="9"/>
      <c r="B783" s="9"/>
      <c r="C783" s="9"/>
      <c r="D783" s="9"/>
      <c r="E783" s="9"/>
      <c r="F783" s="9"/>
      <c r="G783" s="59"/>
      <c r="H783" s="9"/>
    </row>
    <row r="784">
      <c r="A784" s="9"/>
      <c r="B784" s="9"/>
      <c r="C784" s="9"/>
      <c r="D784" s="9"/>
      <c r="E784" s="9"/>
      <c r="F784" s="9"/>
      <c r="G784" s="59"/>
      <c r="H784" s="9"/>
    </row>
    <row r="785">
      <c r="A785" s="9"/>
      <c r="B785" s="9"/>
      <c r="C785" s="9"/>
      <c r="D785" s="9"/>
      <c r="E785" s="9"/>
      <c r="F785" s="9"/>
      <c r="G785" s="59"/>
      <c r="H785" s="9"/>
    </row>
    <row r="786">
      <c r="A786" s="9"/>
      <c r="B786" s="9"/>
      <c r="C786" s="9"/>
      <c r="D786" s="9"/>
      <c r="E786" s="9"/>
      <c r="F786" s="9"/>
      <c r="G786" s="59"/>
      <c r="H786" s="9"/>
    </row>
    <row r="787">
      <c r="A787" s="9"/>
      <c r="B787" s="9"/>
      <c r="C787" s="9"/>
      <c r="D787" s="9"/>
      <c r="E787" s="9"/>
      <c r="F787" s="9"/>
      <c r="G787" s="59"/>
      <c r="H787" s="9"/>
    </row>
    <row r="788">
      <c r="A788" s="9"/>
      <c r="B788" s="9"/>
      <c r="C788" s="9"/>
      <c r="D788" s="9"/>
      <c r="E788" s="9"/>
      <c r="F788" s="9"/>
      <c r="G788" s="59"/>
      <c r="H788" s="9"/>
    </row>
    <row r="789">
      <c r="A789" s="9"/>
      <c r="B789" s="9"/>
      <c r="C789" s="9"/>
      <c r="D789" s="9"/>
      <c r="E789" s="9"/>
      <c r="F789" s="9"/>
      <c r="G789" s="59"/>
      <c r="H789" s="9"/>
    </row>
    <row r="790">
      <c r="A790" s="9"/>
      <c r="B790" s="9"/>
      <c r="C790" s="9"/>
      <c r="D790" s="9"/>
      <c r="E790" s="9"/>
      <c r="F790" s="9"/>
      <c r="G790" s="59"/>
      <c r="H790" s="9"/>
    </row>
    <row r="791">
      <c r="A791" s="9"/>
      <c r="B791" s="9"/>
      <c r="C791" s="9"/>
      <c r="D791" s="9"/>
      <c r="E791" s="9"/>
      <c r="F791" s="9"/>
      <c r="G791" s="59"/>
      <c r="H791" s="9"/>
    </row>
    <row r="792">
      <c r="A792" s="9"/>
      <c r="B792" s="9"/>
      <c r="C792" s="9"/>
      <c r="D792" s="9"/>
      <c r="E792" s="9"/>
      <c r="F792" s="9"/>
      <c r="G792" s="59"/>
      <c r="H792" s="9"/>
    </row>
    <row r="793">
      <c r="A793" s="9"/>
      <c r="B793" s="9"/>
      <c r="C793" s="9"/>
      <c r="D793" s="9"/>
      <c r="E793" s="9"/>
      <c r="F793" s="9"/>
      <c r="G793" s="59"/>
      <c r="H793" s="9"/>
    </row>
    <row r="794">
      <c r="A794" s="9"/>
      <c r="B794" s="9"/>
      <c r="C794" s="9"/>
      <c r="D794" s="9"/>
      <c r="E794" s="9"/>
      <c r="F794" s="9"/>
      <c r="G794" s="59"/>
      <c r="H794" s="9"/>
    </row>
    <row r="795">
      <c r="A795" s="9"/>
      <c r="B795" s="9"/>
      <c r="C795" s="9"/>
      <c r="D795" s="9"/>
      <c r="E795" s="9"/>
      <c r="F795" s="9"/>
      <c r="G795" s="59"/>
      <c r="H795" s="9"/>
    </row>
    <row r="796">
      <c r="A796" s="9"/>
      <c r="B796" s="9"/>
      <c r="C796" s="9"/>
      <c r="D796" s="9"/>
      <c r="E796" s="9"/>
      <c r="F796" s="9"/>
      <c r="G796" s="59"/>
      <c r="H796" s="9"/>
    </row>
    <row r="797">
      <c r="A797" s="9"/>
      <c r="B797" s="9"/>
      <c r="C797" s="9"/>
      <c r="D797" s="9"/>
      <c r="E797" s="9"/>
      <c r="F797" s="9"/>
      <c r="G797" s="59"/>
      <c r="H797" s="9"/>
    </row>
    <row r="798">
      <c r="A798" s="9"/>
      <c r="B798" s="9"/>
      <c r="C798" s="9"/>
      <c r="D798" s="9"/>
      <c r="E798" s="9"/>
      <c r="F798" s="9"/>
      <c r="G798" s="59"/>
      <c r="H798" s="9"/>
    </row>
    <row r="799">
      <c r="A799" s="9"/>
      <c r="B799" s="9"/>
      <c r="C799" s="9"/>
      <c r="D799" s="9"/>
      <c r="E799" s="9"/>
      <c r="F799" s="9"/>
      <c r="G799" s="59"/>
      <c r="H799" s="9"/>
    </row>
    <row r="800">
      <c r="A800" s="9"/>
      <c r="B800" s="9"/>
      <c r="C800" s="9"/>
      <c r="D800" s="9"/>
      <c r="E800" s="9"/>
      <c r="F800" s="9"/>
      <c r="G800" s="59"/>
      <c r="H800" s="9"/>
    </row>
    <row r="801">
      <c r="A801" s="9"/>
      <c r="B801" s="9"/>
      <c r="C801" s="9"/>
      <c r="D801" s="9"/>
      <c r="E801" s="9"/>
      <c r="F801" s="9"/>
      <c r="G801" s="59"/>
      <c r="H801" s="9"/>
    </row>
    <row r="802">
      <c r="A802" s="9"/>
      <c r="B802" s="9"/>
      <c r="C802" s="9"/>
      <c r="D802" s="9"/>
      <c r="E802" s="9"/>
      <c r="F802" s="9"/>
      <c r="G802" s="59"/>
      <c r="H802" s="9"/>
    </row>
    <row r="803">
      <c r="A803" s="9"/>
      <c r="B803" s="9"/>
      <c r="C803" s="9"/>
      <c r="D803" s="9"/>
      <c r="E803" s="9"/>
      <c r="F803" s="9"/>
      <c r="G803" s="59"/>
      <c r="H803" s="9"/>
    </row>
    <row r="804">
      <c r="A804" s="9"/>
      <c r="B804" s="9"/>
      <c r="C804" s="9"/>
      <c r="D804" s="9"/>
      <c r="E804" s="9"/>
      <c r="F804" s="9"/>
      <c r="G804" s="59"/>
      <c r="H804" s="9"/>
    </row>
    <row r="805">
      <c r="A805" s="9"/>
      <c r="B805" s="9"/>
      <c r="C805" s="9"/>
      <c r="D805" s="9"/>
      <c r="E805" s="9"/>
      <c r="F805" s="9"/>
      <c r="G805" s="59"/>
      <c r="H805" s="9"/>
    </row>
    <row r="806">
      <c r="A806" s="9"/>
      <c r="B806" s="9"/>
      <c r="C806" s="9"/>
      <c r="D806" s="9"/>
      <c r="E806" s="9"/>
      <c r="F806" s="9"/>
      <c r="G806" s="59"/>
      <c r="H806" s="9"/>
    </row>
    <row r="807">
      <c r="A807" s="9"/>
      <c r="B807" s="9"/>
      <c r="C807" s="9"/>
      <c r="D807" s="9"/>
      <c r="E807" s="9"/>
      <c r="F807" s="9"/>
      <c r="G807" s="59"/>
      <c r="H807" s="9"/>
    </row>
    <row r="808">
      <c r="A808" s="9"/>
      <c r="B808" s="9"/>
      <c r="C808" s="9"/>
      <c r="D808" s="9"/>
      <c r="E808" s="9"/>
      <c r="F808" s="9"/>
      <c r="G808" s="59"/>
      <c r="H808" s="9"/>
    </row>
    <row r="809">
      <c r="A809" s="9"/>
      <c r="B809" s="9"/>
      <c r="C809" s="9"/>
      <c r="D809" s="9"/>
      <c r="E809" s="9"/>
      <c r="F809" s="9"/>
      <c r="G809" s="59"/>
      <c r="H809" s="9"/>
    </row>
    <row r="810">
      <c r="A810" s="9"/>
      <c r="B810" s="9"/>
      <c r="C810" s="9"/>
      <c r="D810" s="9"/>
      <c r="E810" s="9"/>
      <c r="F810" s="9"/>
      <c r="G810" s="59"/>
      <c r="H810" s="9"/>
    </row>
    <row r="811">
      <c r="A811" s="9"/>
      <c r="B811" s="9"/>
      <c r="C811" s="9"/>
      <c r="D811" s="9"/>
      <c r="E811" s="9"/>
      <c r="F811" s="9"/>
      <c r="G811" s="59"/>
      <c r="H811" s="9"/>
    </row>
    <row r="812">
      <c r="A812" s="9"/>
      <c r="B812" s="9"/>
      <c r="C812" s="9"/>
      <c r="D812" s="9"/>
      <c r="E812" s="9"/>
      <c r="F812" s="9"/>
      <c r="G812" s="59"/>
      <c r="H812" s="9"/>
    </row>
    <row r="813">
      <c r="A813" s="9"/>
      <c r="B813" s="9"/>
      <c r="C813" s="9"/>
      <c r="D813" s="9"/>
      <c r="E813" s="9"/>
      <c r="F813" s="9"/>
      <c r="G813" s="59"/>
      <c r="H813" s="9"/>
    </row>
    <row r="814">
      <c r="A814" s="9"/>
      <c r="B814" s="9"/>
      <c r="C814" s="9"/>
      <c r="D814" s="9"/>
      <c r="E814" s="9"/>
      <c r="F814" s="9"/>
      <c r="G814" s="59"/>
      <c r="H814" s="9"/>
    </row>
    <row r="815">
      <c r="A815" s="9"/>
      <c r="B815" s="9"/>
      <c r="C815" s="9"/>
      <c r="D815" s="9"/>
      <c r="E815" s="9"/>
      <c r="F815" s="9"/>
      <c r="G815" s="59"/>
      <c r="H815" s="9"/>
    </row>
    <row r="816">
      <c r="A816" s="9"/>
      <c r="B816" s="9"/>
      <c r="C816" s="9"/>
      <c r="D816" s="9"/>
      <c r="E816" s="9"/>
      <c r="F816" s="9"/>
      <c r="G816" s="59"/>
      <c r="H816" s="9"/>
    </row>
    <row r="817">
      <c r="A817" s="9"/>
      <c r="B817" s="9"/>
      <c r="C817" s="9"/>
      <c r="D817" s="9"/>
      <c r="E817" s="9"/>
      <c r="F817" s="9"/>
      <c r="G817" s="59"/>
      <c r="H817" s="9"/>
    </row>
    <row r="818">
      <c r="A818" s="9"/>
      <c r="B818" s="9"/>
      <c r="C818" s="9"/>
      <c r="D818" s="9"/>
      <c r="E818" s="9"/>
      <c r="F818" s="9"/>
      <c r="G818" s="59"/>
      <c r="H818" s="9"/>
    </row>
    <row r="819">
      <c r="A819" s="9"/>
      <c r="B819" s="9"/>
      <c r="C819" s="9"/>
      <c r="D819" s="9"/>
      <c r="E819" s="9"/>
      <c r="F819" s="9"/>
      <c r="G819" s="59"/>
      <c r="H819" s="9"/>
    </row>
    <row r="820">
      <c r="A820" s="9"/>
      <c r="B820" s="9"/>
      <c r="C820" s="9"/>
      <c r="D820" s="9"/>
      <c r="E820" s="9"/>
      <c r="F820" s="9"/>
      <c r="G820" s="59"/>
      <c r="H820" s="9"/>
    </row>
    <row r="821">
      <c r="A821" s="9"/>
      <c r="B821" s="9"/>
      <c r="C821" s="9"/>
      <c r="D821" s="9"/>
      <c r="E821" s="9"/>
      <c r="F821" s="9"/>
      <c r="G821" s="59"/>
      <c r="H821" s="9"/>
    </row>
    <row r="822">
      <c r="A822" s="9"/>
      <c r="B822" s="9"/>
      <c r="C822" s="9"/>
      <c r="D822" s="9"/>
      <c r="E822" s="9"/>
      <c r="F822" s="9"/>
      <c r="G822" s="59"/>
      <c r="H822" s="9"/>
    </row>
    <row r="823">
      <c r="A823" s="9"/>
      <c r="B823" s="9"/>
      <c r="C823" s="9"/>
      <c r="D823" s="9"/>
      <c r="E823" s="9"/>
      <c r="F823" s="9"/>
      <c r="G823" s="59"/>
      <c r="H823" s="9"/>
    </row>
    <row r="824">
      <c r="A824" s="9"/>
      <c r="B824" s="9"/>
      <c r="C824" s="9"/>
      <c r="D824" s="9"/>
      <c r="E824" s="9"/>
      <c r="F824" s="9"/>
      <c r="G824" s="59"/>
      <c r="H824" s="9"/>
    </row>
    <row r="825">
      <c r="A825" s="9"/>
      <c r="B825" s="9"/>
      <c r="C825" s="9"/>
      <c r="D825" s="9"/>
      <c r="E825" s="9"/>
      <c r="F825" s="9"/>
      <c r="G825" s="59"/>
      <c r="H825" s="9"/>
    </row>
    <row r="826">
      <c r="A826" s="9"/>
      <c r="B826" s="9"/>
      <c r="C826" s="9"/>
      <c r="D826" s="9"/>
      <c r="E826" s="9"/>
      <c r="F826" s="9"/>
      <c r="G826" s="59"/>
      <c r="H826" s="9"/>
    </row>
    <row r="827">
      <c r="A827" s="9"/>
      <c r="B827" s="9"/>
      <c r="C827" s="9"/>
      <c r="D827" s="9"/>
      <c r="E827" s="9"/>
      <c r="F827" s="9"/>
      <c r="G827" s="59"/>
      <c r="H827" s="9"/>
    </row>
    <row r="828">
      <c r="A828" s="9"/>
      <c r="B828" s="9"/>
      <c r="C828" s="9"/>
      <c r="D828" s="9"/>
      <c r="E828" s="9"/>
      <c r="F828" s="9"/>
      <c r="G828" s="59"/>
      <c r="H828" s="9"/>
    </row>
    <row r="829">
      <c r="A829" s="9"/>
      <c r="B829" s="9"/>
      <c r="C829" s="9"/>
      <c r="D829" s="9"/>
      <c r="E829" s="9"/>
      <c r="F829" s="9"/>
      <c r="G829" s="59"/>
      <c r="H829" s="9"/>
    </row>
    <row r="830">
      <c r="A830" s="9"/>
      <c r="B830" s="9"/>
      <c r="C830" s="9"/>
      <c r="D830" s="9"/>
      <c r="E830" s="9"/>
      <c r="F830" s="9"/>
      <c r="G830" s="59"/>
      <c r="H830" s="9"/>
    </row>
    <row r="831">
      <c r="A831" s="9"/>
      <c r="B831" s="9"/>
      <c r="C831" s="9"/>
      <c r="D831" s="9"/>
      <c r="E831" s="9"/>
      <c r="F831" s="9"/>
      <c r="G831" s="59"/>
      <c r="H831" s="9"/>
    </row>
    <row r="832">
      <c r="A832" s="9"/>
      <c r="B832" s="9"/>
      <c r="C832" s="9"/>
      <c r="D832" s="9"/>
      <c r="E832" s="9"/>
      <c r="F832" s="9"/>
      <c r="G832" s="59"/>
      <c r="H832" s="9"/>
    </row>
    <row r="833">
      <c r="A833" s="9"/>
      <c r="B833" s="9"/>
      <c r="C833" s="9"/>
      <c r="D833" s="9"/>
      <c r="E833" s="9"/>
      <c r="F833" s="9"/>
      <c r="G833" s="59"/>
      <c r="H833" s="9"/>
    </row>
    <row r="834">
      <c r="A834" s="9"/>
      <c r="B834" s="9"/>
      <c r="C834" s="9"/>
      <c r="D834" s="9"/>
      <c r="E834" s="9"/>
      <c r="F834" s="9"/>
      <c r="G834" s="59"/>
      <c r="H834" s="9"/>
    </row>
    <row r="835">
      <c r="A835" s="9"/>
      <c r="B835" s="9"/>
      <c r="C835" s="9"/>
      <c r="D835" s="9"/>
      <c r="E835" s="9"/>
      <c r="F835" s="9"/>
      <c r="G835" s="59"/>
      <c r="H835" s="9"/>
    </row>
    <row r="836">
      <c r="A836" s="9"/>
      <c r="B836" s="9"/>
      <c r="C836" s="9"/>
      <c r="D836" s="9"/>
      <c r="E836" s="9"/>
      <c r="F836" s="9"/>
      <c r="G836" s="59"/>
      <c r="H836" s="9"/>
    </row>
    <row r="837">
      <c r="A837" s="9"/>
      <c r="B837" s="9"/>
      <c r="C837" s="9"/>
      <c r="D837" s="9"/>
      <c r="E837" s="9"/>
      <c r="F837" s="9"/>
      <c r="G837" s="59"/>
      <c r="H837" s="9"/>
    </row>
    <row r="838">
      <c r="A838" s="9"/>
      <c r="B838" s="9"/>
      <c r="C838" s="9"/>
      <c r="D838" s="9"/>
      <c r="E838" s="9"/>
      <c r="F838" s="9"/>
      <c r="G838" s="59"/>
      <c r="H838" s="9"/>
    </row>
    <row r="839">
      <c r="A839" s="9"/>
      <c r="B839" s="9"/>
      <c r="C839" s="9"/>
      <c r="D839" s="9"/>
      <c r="E839" s="9"/>
      <c r="F839" s="9"/>
      <c r="G839" s="59"/>
      <c r="H839" s="9"/>
    </row>
    <row r="840">
      <c r="A840" s="9"/>
      <c r="B840" s="9"/>
      <c r="C840" s="9"/>
      <c r="D840" s="9"/>
      <c r="E840" s="9"/>
      <c r="F840" s="9"/>
      <c r="G840" s="59"/>
      <c r="H840" s="9"/>
    </row>
    <row r="841">
      <c r="A841" s="9"/>
      <c r="B841" s="9"/>
      <c r="C841" s="9"/>
      <c r="D841" s="9"/>
      <c r="E841" s="9"/>
      <c r="F841" s="9"/>
      <c r="G841" s="59"/>
      <c r="H841" s="9"/>
    </row>
    <row r="842">
      <c r="A842" s="9"/>
      <c r="B842" s="9"/>
      <c r="C842" s="9"/>
      <c r="D842" s="9"/>
      <c r="E842" s="9"/>
      <c r="F842" s="9"/>
      <c r="G842" s="59"/>
      <c r="H842" s="9"/>
    </row>
    <row r="843">
      <c r="A843" s="9"/>
      <c r="B843" s="9"/>
      <c r="C843" s="9"/>
      <c r="D843" s="9"/>
      <c r="E843" s="9"/>
      <c r="F843" s="9"/>
      <c r="G843" s="59"/>
      <c r="H843" s="9"/>
    </row>
    <row r="844">
      <c r="A844" s="9"/>
      <c r="B844" s="9"/>
      <c r="C844" s="9"/>
      <c r="D844" s="9"/>
      <c r="E844" s="9"/>
      <c r="F844" s="9"/>
      <c r="G844" s="59"/>
      <c r="H844" s="9"/>
    </row>
    <row r="845">
      <c r="A845" s="9"/>
      <c r="B845" s="9"/>
      <c r="C845" s="9"/>
      <c r="D845" s="9"/>
      <c r="E845" s="9"/>
      <c r="F845" s="9"/>
      <c r="G845" s="59"/>
      <c r="H845" s="9"/>
    </row>
    <row r="846">
      <c r="A846" s="9"/>
      <c r="B846" s="9"/>
      <c r="C846" s="9"/>
      <c r="D846" s="9"/>
      <c r="E846" s="9"/>
      <c r="F846" s="9"/>
      <c r="G846" s="59"/>
      <c r="H846" s="9"/>
    </row>
    <row r="847">
      <c r="A847" s="9"/>
      <c r="B847" s="9"/>
      <c r="C847" s="9"/>
      <c r="D847" s="9"/>
      <c r="E847" s="9"/>
      <c r="F847" s="9"/>
      <c r="G847" s="59"/>
      <c r="H847" s="9"/>
    </row>
    <row r="848">
      <c r="A848" s="9"/>
      <c r="B848" s="9"/>
      <c r="C848" s="9"/>
      <c r="D848" s="9"/>
      <c r="E848" s="9"/>
      <c r="F848" s="9"/>
      <c r="G848" s="59"/>
      <c r="H848" s="9"/>
    </row>
    <row r="849">
      <c r="A849" s="9"/>
      <c r="B849" s="9"/>
      <c r="C849" s="9"/>
      <c r="D849" s="9"/>
      <c r="E849" s="9"/>
      <c r="F849" s="9"/>
      <c r="G849" s="59"/>
      <c r="H849" s="9"/>
    </row>
    <row r="850">
      <c r="A850" s="9"/>
      <c r="B850" s="9"/>
      <c r="C850" s="9"/>
      <c r="D850" s="9"/>
      <c r="E850" s="9"/>
      <c r="F850" s="9"/>
      <c r="G850" s="59"/>
      <c r="H850" s="9"/>
    </row>
    <row r="851">
      <c r="A851" s="9"/>
      <c r="B851" s="9"/>
      <c r="C851" s="9"/>
      <c r="D851" s="9"/>
      <c r="E851" s="9"/>
      <c r="F851" s="9"/>
      <c r="G851" s="59"/>
      <c r="H851" s="9"/>
    </row>
    <row r="852">
      <c r="A852" s="9"/>
      <c r="B852" s="9"/>
      <c r="C852" s="9"/>
      <c r="D852" s="9"/>
      <c r="E852" s="9"/>
      <c r="F852" s="9"/>
      <c r="G852" s="59"/>
      <c r="H852" s="9"/>
    </row>
    <row r="853">
      <c r="A853" s="9"/>
      <c r="B853" s="9"/>
      <c r="C853" s="9"/>
      <c r="D853" s="9"/>
      <c r="E853" s="9"/>
      <c r="F853" s="9"/>
      <c r="G853" s="59"/>
      <c r="H853" s="9"/>
    </row>
    <row r="854">
      <c r="A854" s="9"/>
      <c r="B854" s="9"/>
      <c r="C854" s="9"/>
      <c r="D854" s="9"/>
      <c r="E854" s="9"/>
      <c r="F854" s="9"/>
      <c r="G854" s="59"/>
      <c r="H854" s="9"/>
    </row>
    <row r="855">
      <c r="A855" s="9"/>
      <c r="B855" s="9"/>
      <c r="C855" s="9"/>
      <c r="D855" s="9"/>
      <c r="E855" s="9"/>
      <c r="F855" s="9"/>
      <c r="G855" s="59"/>
      <c r="H855" s="9"/>
    </row>
    <row r="856">
      <c r="A856" s="9"/>
      <c r="B856" s="9"/>
      <c r="C856" s="9"/>
      <c r="D856" s="9"/>
      <c r="E856" s="9"/>
      <c r="F856" s="9"/>
      <c r="G856" s="59"/>
      <c r="H856" s="9"/>
    </row>
    <row r="857">
      <c r="A857" s="9"/>
      <c r="B857" s="9"/>
      <c r="C857" s="9"/>
      <c r="D857" s="9"/>
      <c r="E857" s="9"/>
      <c r="F857" s="9"/>
      <c r="G857" s="59"/>
      <c r="H857" s="9"/>
    </row>
    <row r="858">
      <c r="A858" s="9"/>
      <c r="B858" s="9"/>
      <c r="C858" s="9"/>
      <c r="D858" s="9"/>
      <c r="E858" s="9"/>
      <c r="F858" s="9"/>
      <c r="G858" s="59"/>
      <c r="H858" s="9"/>
    </row>
    <row r="859">
      <c r="A859" s="9"/>
      <c r="B859" s="9"/>
      <c r="C859" s="9"/>
      <c r="D859" s="9"/>
      <c r="E859" s="9"/>
      <c r="F859" s="9"/>
      <c r="G859" s="59"/>
      <c r="H859" s="9"/>
    </row>
    <row r="860">
      <c r="A860" s="9"/>
      <c r="B860" s="9"/>
      <c r="C860" s="9"/>
      <c r="D860" s="9"/>
      <c r="E860" s="9"/>
      <c r="F860" s="9"/>
      <c r="G860" s="59"/>
      <c r="H860" s="9"/>
    </row>
    <row r="861">
      <c r="A861" s="9"/>
      <c r="B861" s="9"/>
      <c r="C861" s="9"/>
      <c r="D861" s="9"/>
      <c r="E861" s="9"/>
      <c r="F861" s="9"/>
      <c r="G861" s="59"/>
      <c r="H861" s="9"/>
    </row>
    <row r="862">
      <c r="A862" s="9"/>
      <c r="B862" s="9"/>
      <c r="C862" s="9"/>
      <c r="D862" s="9"/>
      <c r="E862" s="9"/>
      <c r="F862" s="9"/>
      <c r="G862" s="59"/>
      <c r="H862" s="9"/>
    </row>
    <row r="863">
      <c r="A863" s="9"/>
      <c r="B863" s="9"/>
      <c r="C863" s="9"/>
      <c r="D863" s="9"/>
      <c r="E863" s="9"/>
      <c r="F863" s="9"/>
      <c r="G863" s="59"/>
      <c r="H863" s="9"/>
    </row>
    <row r="864">
      <c r="A864" s="9"/>
      <c r="B864" s="9"/>
      <c r="C864" s="9"/>
      <c r="D864" s="9"/>
      <c r="E864" s="9"/>
      <c r="F864" s="9"/>
      <c r="G864" s="59"/>
      <c r="H864" s="9"/>
    </row>
    <row r="865">
      <c r="A865" s="9"/>
      <c r="B865" s="9"/>
      <c r="C865" s="9"/>
      <c r="D865" s="9"/>
      <c r="E865" s="9"/>
      <c r="F865" s="9"/>
      <c r="G865" s="59"/>
      <c r="H865" s="9"/>
    </row>
    <row r="866">
      <c r="A866" s="9"/>
      <c r="B866" s="9"/>
      <c r="C866" s="9"/>
      <c r="D866" s="9"/>
      <c r="E866" s="9"/>
      <c r="F866" s="9"/>
      <c r="G866" s="59"/>
      <c r="H866" s="9"/>
    </row>
    <row r="867">
      <c r="A867" s="9"/>
      <c r="B867" s="9"/>
      <c r="C867" s="9"/>
      <c r="D867" s="9"/>
      <c r="E867" s="9"/>
      <c r="F867" s="9"/>
      <c r="G867" s="59"/>
      <c r="H867" s="9"/>
    </row>
    <row r="868">
      <c r="A868" s="9"/>
      <c r="B868" s="9"/>
      <c r="C868" s="9"/>
      <c r="D868" s="9"/>
      <c r="E868" s="9"/>
      <c r="F868" s="9"/>
      <c r="G868" s="59"/>
      <c r="H868" s="9"/>
    </row>
    <row r="869">
      <c r="A869" s="9"/>
      <c r="B869" s="9"/>
      <c r="C869" s="9"/>
      <c r="D869" s="9"/>
      <c r="E869" s="9"/>
      <c r="F869" s="9"/>
      <c r="G869" s="59"/>
      <c r="H869" s="9"/>
    </row>
    <row r="870">
      <c r="A870" s="9"/>
      <c r="B870" s="9"/>
      <c r="C870" s="9"/>
      <c r="D870" s="9"/>
      <c r="E870" s="9"/>
      <c r="F870" s="9"/>
      <c r="G870" s="59"/>
      <c r="H870" s="9"/>
    </row>
    <row r="871">
      <c r="A871" s="9"/>
      <c r="B871" s="9"/>
      <c r="C871" s="9"/>
      <c r="D871" s="9"/>
      <c r="E871" s="9"/>
      <c r="F871" s="9"/>
      <c r="G871" s="59"/>
      <c r="H871" s="9"/>
    </row>
    <row r="872">
      <c r="A872" s="9"/>
      <c r="B872" s="9"/>
      <c r="C872" s="9"/>
      <c r="D872" s="9"/>
      <c r="E872" s="9"/>
      <c r="F872" s="9"/>
      <c r="G872" s="59"/>
      <c r="H872" s="9"/>
    </row>
    <row r="873">
      <c r="A873" s="9"/>
      <c r="B873" s="9"/>
      <c r="C873" s="9"/>
      <c r="D873" s="9"/>
      <c r="E873" s="9"/>
      <c r="F873" s="9"/>
      <c r="G873" s="59"/>
      <c r="H873" s="9"/>
    </row>
    <row r="874">
      <c r="A874" s="9"/>
      <c r="B874" s="9"/>
      <c r="C874" s="9"/>
      <c r="D874" s="9"/>
      <c r="E874" s="9"/>
      <c r="F874" s="9"/>
      <c r="G874" s="59"/>
      <c r="H874" s="9"/>
    </row>
    <row r="875">
      <c r="A875" s="9"/>
      <c r="B875" s="9"/>
      <c r="C875" s="9"/>
      <c r="D875" s="9"/>
      <c r="E875" s="9"/>
      <c r="F875" s="9"/>
      <c r="G875" s="59"/>
      <c r="H875" s="9"/>
    </row>
    <row r="876">
      <c r="A876" s="9"/>
      <c r="B876" s="9"/>
      <c r="C876" s="9"/>
      <c r="D876" s="9"/>
      <c r="E876" s="9"/>
      <c r="F876" s="9"/>
      <c r="G876" s="59"/>
      <c r="H876" s="9"/>
    </row>
    <row r="877">
      <c r="A877" s="9"/>
      <c r="B877" s="9"/>
      <c r="C877" s="9"/>
      <c r="D877" s="9"/>
      <c r="E877" s="9"/>
      <c r="F877" s="9"/>
      <c r="G877" s="59"/>
      <c r="H877" s="9"/>
    </row>
    <row r="878">
      <c r="A878" s="9"/>
      <c r="B878" s="9"/>
      <c r="C878" s="9"/>
      <c r="D878" s="9"/>
      <c r="E878" s="9"/>
      <c r="F878" s="9"/>
      <c r="G878" s="59"/>
      <c r="H878" s="9"/>
    </row>
    <row r="879">
      <c r="A879" s="9"/>
      <c r="B879" s="9"/>
      <c r="C879" s="9"/>
      <c r="D879" s="9"/>
      <c r="E879" s="9"/>
      <c r="F879" s="9"/>
      <c r="G879" s="59"/>
      <c r="H879" s="9"/>
    </row>
    <row r="880">
      <c r="A880" s="9"/>
      <c r="B880" s="9"/>
      <c r="C880" s="9"/>
      <c r="D880" s="9"/>
      <c r="E880" s="9"/>
      <c r="F880" s="9"/>
      <c r="G880" s="59"/>
      <c r="H880" s="9"/>
    </row>
    <row r="881">
      <c r="A881" s="9"/>
      <c r="B881" s="9"/>
      <c r="C881" s="9"/>
      <c r="D881" s="9"/>
      <c r="E881" s="9"/>
      <c r="F881" s="9"/>
      <c r="G881" s="59"/>
      <c r="H881" s="9"/>
    </row>
    <row r="882">
      <c r="A882" s="9"/>
      <c r="B882" s="9"/>
      <c r="C882" s="9"/>
      <c r="D882" s="9"/>
      <c r="E882" s="9"/>
      <c r="F882" s="9"/>
      <c r="G882" s="59"/>
      <c r="H882" s="9"/>
    </row>
    <row r="883">
      <c r="A883" s="9"/>
      <c r="B883" s="9"/>
      <c r="C883" s="9"/>
      <c r="D883" s="9"/>
      <c r="E883" s="9"/>
      <c r="F883" s="9"/>
      <c r="G883" s="59"/>
      <c r="H883" s="9"/>
    </row>
    <row r="884">
      <c r="A884" s="9"/>
      <c r="B884" s="9"/>
      <c r="C884" s="9"/>
      <c r="D884" s="9"/>
      <c r="E884" s="9"/>
      <c r="F884" s="9"/>
      <c r="G884" s="59"/>
      <c r="H884" s="9"/>
    </row>
    <row r="885">
      <c r="A885" s="9"/>
      <c r="B885" s="9"/>
      <c r="C885" s="9"/>
      <c r="D885" s="9"/>
      <c r="E885" s="9"/>
      <c r="F885" s="9"/>
      <c r="G885" s="59"/>
      <c r="H885" s="9"/>
    </row>
    <row r="886">
      <c r="A886" s="9"/>
      <c r="B886" s="9"/>
      <c r="C886" s="9"/>
      <c r="D886" s="9"/>
      <c r="E886" s="9"/>
      <c r="F886" s="9"/>
      <c r="G886" s="59"/>
      <c r="H886" s="9"/>
    </row>
    <row r="887">
      <c r="A887" s="9"/>
      <c r="B887" s="9"/>
      <c r="C887" s="9"/>
      <c r="D887" s="9"/>
      <c r="E887" s="9"/>
      <c r="F887" s="9"/>
      <c r="G887" s="59"/>
      <c r="H887" s="9"/>
    </row>
    <row r="888">
      <c r="A888" s="9"/>
      <c r="B888" s="9"/>
      <c r="C888" s="9"/>
      <c r="D888" s="9"/>
      <c r="E888" s="9"/>
      <c r="F888" s="9"/>
      <c r="G888" s="59"/>
      <c r="H888" s="9"/>
    </row>
    <row r="889">
      <c r="A889" s="9"/>
      <c r="B889" s="9"/>
      <c r="C889" s="9"/>
      <c r="D889" s="9"/>
      <c r="E889" s="9"/>
      <c r="F889" s="9"/>
      <c r="G889" s="59"/>
      <c r="H889" s="9"/>
    </row>
    <row r="890">
      <c r="A890" s="9"/>
      <c r="B890" s="9"/>
      <c r="C890" s="9"/>
      <c r="D890" s="9"/>
      <c r="E890" s="9"/>
      <c r="F890" s="9"/>
      <c r="G890" s="59"/>
      <c r="H890" s="9"/>
    </row>
    <row r="891">
      <c r="A891" s="9"/>
      <c r="B891" s="9"/>
      <c r="C891" s="9"/>
      <c r="D891" s="9"/>
      <c r="E891" s="9"/>
      <c r="F891" s="9"/>
      <c r="G891" s="59"/>
      <c r="H891" s="9"/>
    </row>
    <row r="892">
      <c r="A892" s="9"/>
      <c r="B892" s="9"/>
      <c r="C892" s="9"/>
      <c r="D892" s="9"/>
      <c r="E892" s="9"/>
      <c r="F892" s="9"/>
      <c r="G892" s="59"/>
      <c r="H892" s="9"/>
    </row>
    <row r="893">
      <c r="A893" s="9"/>
      <c r="B893" s="9"/>
      <c r="C893" s="9"/>
      <c r="D893" s="9"/>
      <c r="E893" s="9"/>
      <c r="F893" s="9"/>
      <c r="G893" s="59"/>
      <c r="H893" s="9"/>
    </row>
    <row r="894">
      <c r="A894" s="9"/>
      <c r="B894" s="9"/>
      <c r="C894" s="9"/>
      <c r="D894" s="9"/>
      <c r="E894" s="9"/>
      <c r="F894" s="9"/>
      <c r="G894" s="59"/>
      <c r="H894" s="9"/>
    </row>
    <row r="895">
      <c r="A895" s="9"/>
      <c r="B895" s="9"/>
      <c r="C895" s="9"/>
      <c r="D895" s="9"/>
      <c r="E895" s="9"/>
      <c r="F895" s="9"/>
      <c r="G895" s="59"/>
      <c r="H895" s="9"/>
    </row>
    <row r="896">
      <c r="A896" s="9"/>
      <c r="B896" s="9"/>
      <c r="C896" s="9"/>
      <c r="D896" s="9"/>
      <c r="E896" s="9"/>
      <c r="F896" s="9"/>
      <c r="G896" s="59"/>
      <c r="H896" s="9"/>
    </row>
    <row r="897">
      <c r="A897" s="9"/>
      <c r="B897" s="9"/>
      <c r="C897" s="9"/>
      <c r="D897" s="9"/>
      <c r="E897" s="9"/>
      <c r="F897" s="9"/>
      <c r="G897" s="59"/>
      <c r="H897" s="9"/>
    </row>
    <row r="898">
      <c r="A898" s="9"/>
      <c r="B898" s="9"/>
      <c r="C898" s="9"/>
      <c r="D898" s="9"/>
      <c r="E898" s="9"/>
      <c r="F898" s="9"/>
      <c r="G898" s="59"/>
      <c r="H898" s="9"/>
    </row>
    <row r="899">
      <c r="A899" s="9"/>
      <c r="B899" s="9"/>
      <c r="C899" s="9"/>
      <c r="D899" s="9"/>
      <c r="E899" s="9"/>
      <c r="F899" s="9"/>
      <c r="G899" s="59"/>
      <c r="H899" s="9"/>
    </row>
    <row r="900">
      <c r="A900" s="9"/>
      <c r="B900" s="9"/>
      <c r="C900" s="9"/>
      <c r="D900" s="9"/>
      <c r="E900" s="9"/>
      <c r="F900" s="9"/>
      <c r="G900" s="59"/>
      <c r="H900" s="9"/>
    </row>
    <row r="901">
      <c r="A901" s="9"/>
      <c r="B901" s="9"/>
      <c r="C901" s="9"/>
      <c r="D901" s="9"/>
      <c r="E901" s="9"/>
      <c r="F901" s="9"/>
      <c r="G901" s="59"/>
      <c r="H901" s="9"/>
    </row>
    <row r="902">
      <c r="A902" s="9"/>
      <c r="B902" s="9"/>
      <c r="C902" s="9"/>
      <c r="D902" s="9"/>
      <c r="E902" s="9"/>
      <c r="F902" s="9"/>
      <c r="G902" s="59"/>
      <c r="H902" s="9"/>
    </row>
    <row r="903">
      <c r="A903" s="9"/>
      <c r="B903" s="9"/>
      <c r="C903" s="9"/>
      <c r="D903" s="9"/>
      <c r="E903" s="9"/>
      <c r="F903" s="9"/>
      <c r="G903" s="59"/>
      <c r="H903" s="9"/>
    </row>
    <row r="904">
      <c r="A904" s="9"/>
      <c r="B904" s="9"/>
      <c r="C904" s="9"/>
      <c r="D904" s="9"/>
      <c r="E904" s="9"/>
      <c r="F904" s="9"/>
      <c r="G904" s="59"/>
      <c r="H904" s="9"/>
    </row>
    <row r="905">
      <c r="A905" s="9"/>
      <c r="B905" s="9"/>
      <c r="C905" s="9"/>
      <c r="D905" s="9"/>
      <c r="E905" s="9"/>
      <c r="F905" s="9"/>
      <c r="G905" s="59"/>
      <c r="H905" s="9"/>
    </row>
    <row r="906">
      <c r="A906" s="9"/>
      <c r="B906" s="9"/>
      <c r="C906" s="9"/>
      <c r="D906" s="9"/>
      <c r="E906" s="9"/>
      <c r="F906" s="9"/>
      <c r="G906" s="59"/>
      <c r="H906" s="9"/>
    </row>
    <row r="907">
      <c r="A907" s="9"/>
      <c r="B907" s="9"/>
      <c r="C907" s="9"/>
      <c r="D907" s="9"/>
      <c r="E907" s="9"/>
      <c r="F907" s="9"/>
      <c r="G907" s="59"/>
      <c r="H907" s="9"/>
    </row>
    <row r="908">
      <c r="A908" s="9"/>
      <c r="B908" s="9"/>
      <c r="C908" s="9"/>
      <c r="D908" s="9"/>
      <c r="E908" s="9"/>
      <c r="F908" s="9"/>
      <c r="G908" s="59"/>
      <c r="H908" s="9"/>
    </row>
    <row r="909">
      <c r="A909" s="9"/>
      <c r="B909" s="9"/>
      <c r="C909" s="9"/>
      <c r="D909" s="9"/>
      <c r="E909" s="9"/>
      <c r="F909" s="9"/>
      <c r="G909" s="59"/>
      <c r="H909" s="9"/>
    </row>
    <row r="910">
      <c r="A910" s="9"/>
      <c r="B910" s="9"/>
      <c r="C910" s="9"/>
      <c r="D910" s="9"/>
      <c r="E910" s="9"/>
      <c r="F910" s="9"/>
      <c r="G910" s="59"/>
      <c r="H910" s="9"/>
    </row>
    <row r="911">
      <c r="A911" s="9"/>
      <c r="B911" s="9"/>
      <c r="C911" s="9"/>
      <c r="D911" s="9"/>
      <c r="E911" s="9"/>
      <c r="F911" s="9"/>
      <c r="G911" s="59"/>
      <c r="H911" s="9"/>
    </row>
    <row r="912">
      <c r="A912" s="9"/>
      <c r="B912" s="9"/>
      <c r="C912" s="9"/>
      <c r="D912" s="9"/>
      <c r="E912" s="9"/>
      <c r="F912" s="9"/>
      <c r="G912" s="59"/>
      <c r="H912" s="9"/>
    </row>
    <row r="913">
      <c r="A913" s="9"/>
      <c r="B913" s="9"/>
      <c r="C913" s="9"/>
      <c r="D913" s="9"/>
      <c r="E913" s="9"/>
      <c r="F913" s="9"/>
      <c r="G913" s="59"/>
      <c r="H913" s="9"/>
    </row>
    <row r="914">
      <c r="A914" s="9"/>
      <c r="B914" s="9"/>
      <c r="C914" s="9"/>
      <c r="D914" s="9"/>
      <c r="E914" s="9"/>
      <c r="F914" s="9"/>
      <c r="G914" s="59"/>
      <c r="H914" s="9"/>
    </row>
    <row r="915">
      <c r="A915" s="9"/>
      <c r="B915" s="9"/>
      <c r="C915" s="9"/>
      <c r="D915" s="9"/>
      <c r="E915" s="9"/>
      <c r="F915" s="9"/>
      <c r="G915" s="59"/>
      <c r="H915" s="9"/>
    </row>
    <row r="916">
      <c r="A916" s="9"/>
      <c r="B916" s="9"/>
      <c r="C916" s="9"/>
      <c r="D916" s="9"/>
      <c r="E916" s="9"/>
      <c r="F916" s="9"/>
      <c r="G916" s="59"/>
      <c r="H916" s="9"/>
    </row>
    <row r="917">
      <c r="A917" s="9"/>
      <c r="B917" s="9"/>
      <c r="C917" s="9"/>
      <c r="D917" s="9"/>
      <c r="E917" s="9"/>
      <c r="F917" s="9"/>
      <c r="G917" s="59"/>
      <c r="H917" s="9"/>
    </row>
    <row r="918">
      <c r="A918" s="9"/>
      <c r="B918" s="9"/>
      <c r="C918" s="9"/>
      <c r="D918" s="9"/>
      <c r="E918" s="9"/>
      <c r="F918" s="9"/>
      <c r="G918" s="59"/>
      <c r="H918" s="9"/>
    </row>
    <row r="919">
      <c r="A919" s="9"/>
      <c r="B919" s="9"/>
      <c r="C919" s="9"/>
      <c r="D919" s="9"/>
      <c r="E919" s="9"/>
      <c r="F919" s="9"/>
      <c r="G919" s="59"/>
      <c r="H919" s="9"/>
    </row>
    <row r="920">
      <c r="A920" s="9"/>
      <c r="B920" s="9"/>
      <c r="C920" s="9"/>
      <c r="D920" s="9"/>
      <c r="E920" s="9"/>
      <c r="F920" s="9"/>
      <c r="G920" s="59"/>
      <c r="H920" s="9"/>
    </row>
    <row r="921">
      <c r="A921" s="9"/>
      <c r="B921" s="9"/>
      <c r="C921" s="9"/>
      <c r="D921" s="9"/>
      <c r="E921" s="9"/>
      <c r="F921" s="9"/>
      <c r="G921" s="59"/>
      <c r="H921" s="9"/>
    </row>
    <row r="922">
      <c r="A922" s="9"/>
      <c r="B922" s="9"/>
      <c r="C922" s="9"/>
      <c r="D922" s="9"/>
      <c r="E922" s="9"/>
      <c r="F922" s="9"/>
      <c r="G922" s="59"/>
      <c r="H922" s="9"/>
    </row>
    <row r="923">
      <c r="A923" s="9"/>
      <c r="B923" s="9"/>
      <c r="C923" s="9"/>
      <c r="D923" s="9"/>
      <c r="E923" s="9"/>
      <c r="F923" s="9"/>
      <c r="G923" s="59"/>
      <c r="H923" s="9"/>
    </row>
    <row r="924">
      <c r="A924" s="9"/>
      <c r="B924" s="9"/>
      <c r="C924" s="9"/>
      <c r="D924" s="9"/>
      <c r="E924" s="9"/>
      <c r="F924" s="9"/>
      <c r="G924" s="59"/>
      <c r="H924" s="9"/>
    </row>
    <row r="925">
      <c r="A925" s="9"/>
      <c r="B925" s="9"/>
      <c r="C925" s="9"/>
      <c r="D925" s="9"/>
      <c r="E925" s="9"/>
      <c r="F925" s="9"/>
      <c r="G925" s="59"/>
      <c r="H925" s="9"/>
    </row>
    <row r="926">
      <c r="A926" s="9"/>
      <c r="B926" s="9"/>
      <c r="C926" s="9"/>
      <c r="D926" s="9"/>
      <c r="E926" s="9"/>
      <c r="F926" s="9"/>
      <c r="G926" s="59"/>
      <c r="H926" s="9"/>
    </row>
    <row r="927">
      <c r="A927" s="9"/>
      <c r="B927" s="9"/>
      <c r="C927" s="9"/>
      <c r="D927" s="9"/>
      <c r="E927" s="9"/>
      <c r="F927" s="9"/>
      <c r="G927" s="59"/>
      <c r="H927" s="9"/>
    </row>
    <row r="928">
      <c r="A928" s="9"/>
      <c r="B928" s="9"/>
      <c r="C928" s="9"/>
      <c r="D928" s="9"/>
      <c r="E928" s="9"/>
      <c r="F928" s="9"/>
      <c r="G928" s="59"/>
      <c r="H928" s="9"/>
    </row>
    <row r="929">
      <c r="A929" s="9"/>
      <c r="B929" s="9"/>
      <c r="C929" s="9"/>
      <c r="D929" s="9"/>
      <c r="E929" s="9"/>
      <c r="F929" s="9"/>
      <c r="G929" s="59"/>
      <c r="H929" s="9"/>
    </row>
    <row r="930">
      <c r="A930" s="9"/>
      <c r="B930" s="9"/>
      <c r="C930" s="9"/>
      <c r="D930" s="9"/>
      <c r="E930" s="9"/>
      <c r="F930" s="9"/>
      <c r="G930" s="59"/>
      <c r="H930" s="9"/>
    </row>
    <row r="931">
      <c r="A931" s="9"/>
      <c r="B931" s="9"/>
      <c r="C931" s="9"/>
      <c r="D931" s="9"/>
      <c r="E931" s="9"/>
      <c r="F931" s="9"/>
      <c r="G931" s="59"/>
      <c r="H931" s="9"/>
    </row>
    <row r="932">
      <c r="A932" s="9"/>
      <c r="B932" s="9"/>
      <c r="C932" s="9"/>
      <c r="D932" s="9"/>
      <c r="E932" s="9"/>
      <c r="F932" s="9"/>
      <c r="G932" s="59"/>
      <c r="H932" s="9"/>
    </row>
    <row r="933">
      <c r="A933" s="9"/>
      <c r="B933" s="9"/>
      <c r="C933" s="9"/>
      <c r="D933" s="9"/>
      <c r="E933" s="9"/>
      <c r="F933" s="9"/>
      <c r="G933" s="59"/>
      <c r="H933" s="9"/>
    </row>
    <row r="934">
      <c r="A934" s="9"/>
      <c r="B934" s="9"/>
      <c r="C934" s="9"/>
      <c r="D934" s="9"/>
      <c r="E934" s="9"/>
      <c r="F934" s="9"/>
      <c r="G934" s="59"/>
      <c r="H934" s="9"/>
    </row>
    <row r="935">
      <c r="A935" s="9"/>
      <c r="B935" s="9"/>
      <c r="C935" s="9"/>
      <c r="D935" s="9"/>
      <c r="E935" s="9"/>
      <c r="F935" s="9"/>
      <c r="G935" s="59"/>
      <c r="H935" s="9"/>
    </row>
    <row r="936">
      <c r="A936" s="9"/>
      <c r="B936" s="9"/>
      <c r="C936" s="9"/>
      <c r="D936" s="9"/>
      <c r="E936" s="9"/>
      <c r="F936" s="9"/>
      <c r="G936" s="59"/>
      <c r="H936" s="9"/>
    </row>
    <row r="937">
      <c r="A937" s="9"/>
      <c r="B937" s="9"/>
      <c r="C937" s="9"/>
      <c r="D937" s="9"/>
      <c r="E937" s="9"/>
      <c r="F937" s="9"/>
      <c r="G937" s="59"/>
      <c r="H937" s="9"/>
    </row>
    <row r="938">
      <c r="A938" s="9"/>
      <c r="B938" s="9"/>
      <c r="C938" s="9"/>
      <c r="D938" s="9"/>
      <c r="E938" s="9"/>
      <c r="F938" s="9"/>
      <c r="G938" s="59"/>
      <c r="H938" s="9"/>
    </row>
    <row r="939">
      <c r="A939" s="9"/>
      <c r="B939" s="9"/>
      <c r="C939" s="9"/>
      <c r="D939" s="9"/>
      <c r="E939" s="9"/>
      <c r="F939" s="9"/>
      <c r="G939" s="59"/>
      <c r="H939" s="9"/>
    </row>
    <row r="940">
      <c r="A940" s="9"/>
      <c r="B940" s="9"/>
      <c r="C940" s="9"/>
      <c r="D940" s="9"/>
      <c r="E940" s="9"/>
      <c r="F940" s="9"/>
      <c r="G940" s="59"/>
      <c r="H940" s="9"/>
    </row>
    <row r="941">
      <c r="A941" s="9"/>
      <c r="B941" s="9"/>
      <c r="C941" s="9"/>
      <c r="D941" s="9"/>
      <c r="E941" s="9"/>
      <c r="F941" s="9"/>
      <c r="G941" s="59"/>
      <c r="H941" s="9"/>
    </row>
    <row r="942">
      <c r="A942" s="9"/>
      <c r="B942" s="9"/>
      <c r="C942" s="9"/>
      <c r="D942" s="9"/>
      <c r="E942" s="9"/>
      <c r="F942" s="9"/>
      <c r="G942" s="59"/>
      <c r="H942" s="9"/>
    </row>
    <row r="943">
      <c r="A943" s="9"/>
      <c r="B943" s="9"/>
      <c r="C943" s="9"/>
      <c r="D943" s="9"/>
      <c r="E943" s="9"/>
      <c r="F943" s="9"/>
      <c r="G943" s="59"/>
      <c r="H943" s="9"/>
    </row>
    <row r="944">
      <c r="A944" s="9"/>
      <c r="B944" s="9"/>
      <c r="C944" s="9"/>
      <c r="D944" s="9"/>
      <c r="E944" s="9"/>
      <c r="F944" s="9"/>
      <c r="G944" s="59"/>
      <c r="H944" s="9"/>
    </row>
    <row r="945">
      <c r="A945" s="9"/>
      <c r="B945" s="9"/>
      <c r="C945" s="9"/>
      <c r="D945" s="9"/>
      <c r="E945" s="9"/>
      <c r="F945" s="9"/>
      <c r="G945" s="59"/>
      <c r="H945" s="9"/>
    </row>
    <row r="946">
      <c r="A946" s="9"/>
      <c r="B946" s="9"/>
      <c r="C946" s="9"/>
      <c r="D946" s="9"/>
      <c r="E946" s="9"/>
      <c r="F946" s="9"/>
      <c r="G946" s="59"/>
      <c r="H946" s="9"/>
    </row>
    <row r="947">
      <c r="A947" s="9"/>
      <c r="B947" s="9"/>
      <c r="C947" s="9"/>
      <c r="D947" s="9"/>
      <c r="E947" s="9"/>
      <c r="F947" s="9"/>
      <c r="G947" s="59"/>
      <c r="H947" s="9"/>
    </row>
    <row r="948">
      <c r="A948" s="9"/>
      <c r="B948" s="9"/>
      <c r="C948" s="9"/>
      <c r="D948" s="9"/>
      <c r="E948" s="9"/>
      <c r="F948" s="9"/>
      <c r="G948" s="59"/>
      <c r="H948" s="9"/>
    </row>
    <row r="949">
      <c r="A949" s="9"/>
      <c r="B949" s="9"/>
      <c r="C949" s="9"/>
      <c r="D949" s="9"/>
      <c r="E949" s="9"/>
      <c r="F949" s="9"/>
      <c r="G949" s="59"/>
      <c r="H949" s="9"/>
    </row>
    <row r="950">
      <c r="A950" s="9"/>
      <c r="B950" s="9"/>
      <c r="C950" s="9"/>
      <c r="D950" s="9"/>
      <c r="E950" s="9"/>
      <c r="F950" s="9"/>
      <c r="G950" s="59"/>
      <c r="H950" s="9"/>
    </row>
    <row r="951">
      <c r="A951" s="9"/>
      <c r="B951" s="9"/>
      <c r="C951" s="9"/>
      <c r="D951" s="9"/>
      <c r="E951" s="9"/>
      <c r="F951" s="9"/>
      <c r="G951" s="59"/>
      <c r="H951" s="9"/>
    </row>
    <row r="952">
      <c r="A952" s="9"/>
      <c r="B952" s="9"/>
      <c r="C952" s="9"/>
      <c r="D952" s="9"/>
      <c r="E952" s="9"/>
      <c r="F952" s="9"/>
      <c r="G952" s="59"/>
      <c r="H952" s="9"/>
    </row>
    <row r="953">
      <c r="A953" s="9"/>
      <c r="B953" s="9"/>
      <c r="C953" s="9"/>
      <c r="D953" s="9"/>
      <c r="E953" s="9"/>
      <c r="F953" s="9"/>
      <c r="G953" s="59"/>
      <c r="H953" s="9"/>
    </row>
    <row r="954">
      <c r="A954" s="9"/>
      <c r="B954" s="9"/>
      <c r="C954" s="9"/>
      <c r="D954" s="9"/>
      <c r="E954" s="9"/>
      <c r="F954" s="9"/>
      <c r="G954" s="59"/>
      <c r="H954" s="9"/>
    </row>
    <row r="955">
      <c r="A955" s="9"/>
      <c r="B955" s="9"/>
      <c r="C955" s="9"/>
      <c r="D955" s="9"/>
      <c r="E955" s="9"/>
      <c r="F955" s="9"/>
      <c r="G955" s="59"/>
      <c r="H955" s="9"/>
    </row>
    <row r="956">
      <c r="A956" s="9"/>
      <c r="B956" s="9"/>
      <c r="C956" s="9"/>
      <c r="D956" s="9"/>
      <c r="E956" s="9"/>
      <c r="F956" s="9"/>
      <c r="G956" s="59"/>
      <c r="H956" s="9"/>
    </row>
    <row r="957">
      <c r="A957" s="9"/>
      <c r="B957" s="9"/>
      <c r="C957" s="9"/>
      <c r="D957" s="9"/>
      <c r="E957" s="9"/>
      <c r="F957" s="9"/>
      <c r="G957" s="59"/>
      <c r="H957" s="9"/>
    </row>
    <row r="958">
      <c r="A958" s="9"/>
      <c r="B958" s="9"/>
      <c r="C958" s="9"/>
      <c r="D958" s="9"/>
      <c r="E958" s="9"/>
      <c r="F958" s="9"/>
      <c r="G958" s="59"/>
      <c r="H958" s="9"/>
    </row>
    <row r="959">
      <c r="A959" s="9"/>
      <c r="B959" s="9"/>
      <c r="C959" s="9"/>
      <c r="D959" s="9"/>
      <c r="E959" s="9"/>
      <c r="F959" s="9"/>
      <c r="G959" s="59"/>
      <c r="H959" s="9"/>
    </row>
    <row r="960">
      <c r="A960" s="9"/>
      <c r="B960" s="9"/>
      <c r="C960" s="9"/>
      <c r="D960" s="9"/>
      <c r="E960" s="9"/>
      <c r="F960" s="9"/>
      <c r="G960" s="59"/>
      <c r="H960" s="9"/>
    </row>
    <row r="961">
      <c r="A961" s="9"/>
      <c r="B961" s="9"/>
      <c r="C961" s="9"/>
      <c r="D961" s="9"/>
      <c r="E961" s="9"/>
      <c r="F961" s="9"/>
      <c r="G961" s="59"/>
      <c r="H961" s="9"/>
    </row>
    <row r="962">
      <c r="A962" s="9"/>
      <c r="B962" s="9"/>
      <c r="C962" s="9"/>
      <c r="D962" s="9"/>
      <c r="E962" s="9"/>
      <c r="F962" s="9"/>
      <c r="G962" s="59"/>
      <c r="H962" s="9"/>
    </row>
    <row r="963">
      <c r="A963" s="9"/>
      <c r="B963" s="9"/>
      <c r="C963" s="9"/>
      <c r="D963" s="9"/>
      <c r="E963" s="9"/>
      <c r="F963" s="9"/>
      <c r="G963" s="59"/>
      <c r="H963" s="9"/>
    </row>
    <row r="964">
      <c r="A964" s="9"/>
      <c r="B964" s="9"/>
      <c r="C964" s="9"/>
      <c r="D964" s="9"/>
      <c r="E964" s="9"/>
      <c r="F964" s="9"/>
      <c r="G964" s="59"/>
      <c r="H964" s="9"/>
    </row>
    <row r="965">
      <c r="A965" s="9"/>
      <c r="B965" s="9"/>
      <c r="C965" s="9"/>
      <c r="D965" s="9"/>
      <c r="E965" s="9"/>
      <c r="F965" s="9"/>
      <c r="G965" s="59"/>
      <c r="H965" s="9"/>
    </row>
    <row r="966">
      <c r="A966" s="9"/>
      <c r="B966" s="9"/>
      <c r="C966" s="9"/>
      <c r="D966" s="9"/>
      <c r="E966" s="9"/>
      <c r="F966" s="9"/>
      <c r="G966" s="59"/>
      <c r="H966" s="9"/>
    </row>
    <row r="967">
      <c r="A967" s="9"/>
      <c r="B967" s="9"/>
      <c r="C967" s="9"/>
      <c r="D967" s="9"/>
      <c r="E967" s="9"/>
      <c r="F967" s="9"/>
      <c r="G967" s="59"/>
      <c r="H967" s="9"/>
    </row>
    <row r="968">
      <c r="A968" s="9"/>
      <c r="B968" s="9"/>
      <c r="C968" s="9"/>
      <c r="D968" s="9"/>
      <c r="E968" s="9"/>
      <c r="F968" s="9"/>
      <c r="G968" s="59"/>
      <c r="H968" s="9"/>
    </row>
    <row r="969">
      <c r="A969" s="9"/>
      <c r="B969" s="9"/>
      <c r="C969" s="9"/>
      <c r="D969" s="9"/>
      <c r="E969" s="9"/>
      <c r="F969" s="9"/>
      <c r="G969" s="59"/>
      <c r="H969" s="9"/>
    </row>
    <row r="970">
      <c r="A970" s="9"/>
      <c r="B970" s="9"/>
      <c r="C970" s="9"/>
      <c r="D970" s="9"/>
      <c r="E970" s="9"/>
      <c r="F970" s="9"/>
      <c r="G970" s="59"/>
      <c r="H970" s="9"/>
    </row>
  </sheetData>
  <mergeCells count="3">
    <mergeCell ref="A1:F1"/>
    <mergeCell ref="A5:A6"/>
    <mergeCell ref="A10:I12"/>
  </mergeCells>
  <dataValidations>
    <dataValidation type="list" allowBlank="1" showErrorMessage="1" sqref="D16:D22">
      <formula1>Data!E4:E970</formula1>
    </dataValidation>
    <dataValidation type="list" allowBlank="1" showErrorMessage="1" sqref="B3">
      <formula1>"⚙️ กำลังดำเนินการ,✅ จัดส่งเรียบร้อย"</formula1>
    </dataValidation>
    <dataValidation type="list" allowBlank="1" showErrorMessage="1" sqref="D3">
      <formula1>"ทีมสีเหลือง,ทีมสีฟ้า,MKT,BD"</formula1>
    </dataValidation>
  </dataValidations>
  <hyperlinks>
    <hyperlink r:id="rId1" ref="I16"/>
    <hyperlink r:id="rId2" ref="I17"/>
    <hyperlink r:id="rId3" ref="I18"/>
    <hyperlink r:id="rId4" ref="I19"/>
    <hyperlink r:id="rId5" ref="I20"/>
    <hyperlink r:id="rId6" ref="I21"/>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29.75"/>
    <col customWidth="1" min="3" max="3" width="37.25"/>
    <col customWidth="1" min="4" max="4" width="27.5"/>
    <col customWidth="1" min="5" max="5" width="24.63"/>
    <col customWidth="1" min="6" max="6" width="23.88"/>
    <col customWidth="1" min="7" max="7" width="6.75"/>
  </cols>
  <sheetData>
    <row r="1">
      <c r="A1" s="92" t="s">
        <v>23</v>
      </c>
      <c r="G1" s="59"/>
      <c r="H1" s="9"/>
    </row>
    <row r="2">
      <c r="A2" s="60" t="s">
        <v>46</v>
      </c>
      <c r="B2" s="93">
        <v>46183.0</v>
      </c>
      <c r="C2" s="60" t="s">
        <v>47</v>
      </c>
      <c r="D2" s="62" t="s">
        <v>48</v>
      </c>
      <c r="E2" s="63" t="s">
        <v>49</v>
      </c>
      <c r="F2" s="9"/>
      <c r="G2" s="59"/>
      <c r="H2" s="9"/>
    </row>
    <row r="3">
      <c r="A3" s="60" t="s">
        <v>51</v>
      </c>
      <c r="B3" s="65" t="s">
        <v>27</v>
      </c>
      <c r="C3" s="113" t="s">
        <v>52</v>
      </c>
      <c r="D3" s="65" t="s">
        <v>53</v>
      </c>
      <c r="E3" s="67" t="s">
        <v>54</v>
      </c>
      <c r="F3" s="9"/>
      <c r="G3" s="59"/>
      <c r="H3" s="9"/>
    </row>
    <row r="4">
      <c r="A4" s="9"/>
      <c r="B4" s="9"/>
      <c r="C4" s="9"/>
      <c r="D4" s="9"/>
      <c r="E4" s="9"/>
      <c r="F4" s="9"/>
      <c r="G4" s="59"/>
      <c r="H4" s="9"/>
    </row>
    <row r="5">
      <c r="A5" s="70" t="s">
        <v>57</v>
      </c>
      <c r="B5" s="71" t="s">
        <v>58</v>
      </c>
      <c r="C5" s="72" t="s">
        <v>59</v>
      </c>
      <c r="D5" s="9"/>
      <c r="E5" s="9"/>
      <c r="F5" s="9"/>
      <c r="G5" s="59"/>
      <c r="H5" s="9"/>
    </row>
    <row r="6">
      <c r="B6" s="71" t="s">
        <v>60</v>
      </c>
      <c r="C6" s="72" t="s">
        <v>61</v>
      </c>
      <c r="D6" s="9"/>
      <c r="E6" s="9"/>
      <c r="F6" s="9"/>
      <c r="G6" s="59"/>
      <c r="H6" s="9"/>
    </row>
    <row r="7">
      <c r="A7" s="9"/>
      <c r="B7" s="9"/>
      <c r="C7" s="9"/>
      <c r="D7" s="9"/>
      <c r="E7" s="9"/>
      <c r="F7" s="9"/>
      <c r="G7" s="59"/>
      <c r="H7" s="9"/>
      <c r="I7" s="114" t="s">
        <v>108</v>
      </c>
    </row>
    <row r="8">
      <c r="A8" s="73" t="s">
        <v>62</v>
      </c>
      <c r="B8" s="73" t="s">
        <v>63</v>
      </c>
      <c r="C8" s="73" t="s">
        <v>64</v>
      </c>
      <c r="D8" s="73" t="s">
        <v>65</v>
      </c>
      <c r="E8" s="73" t="s">
        <v>66</v>
      </c>
      <c r="F8" s="73" t="s">
        <v>51</v>
      </c>
      <c r="G8" s="59"/>
      <c r="H8" s="9"/>
      <c r="I8" s="96" t="s">
        <v>55</v>
      </c>
      <c r="J8" s="115" t="s">
        <v>109</v>
      </c>
    </row>
    <row r="9">
      <c r="A9" s="65">
        <v>1.0</v>
      </c>
      <c r="B9" s="50" t="s">
        <v>67</v>
      </c>
      <c r="C9" s="116" t="s">
        <v>110</v>
      </c>
      <c r="D9" s="116" t="s">
        <v>111</v>
      </c>
      <c r="E9" s="75" t="s">
        <v>68</v>
      </c>
      <c r="F9" s="117" t="s">
        <v>69</v>
      </c>
      <c r="G9" s="59"/>
      <c r="H9" s="9"/>
      <c r="I9" s="118">
        <v>1154.0</v>
      </c>
    </row>
    <row r="10">
      <c r="A10" s="65">
        <v>2.0</v>
      </c>
      <c r="B10" s="50" t="s">
        <v>67</v>
      </c>
      <c r="C10" s="119" t="s">
        <v>112</v>
      </c>
      <c r="D10" s="119" t="s">
        <v>113</v>
      </c>
      <c r="E10" s="75" t="s">
        <v>68</v>
      </c>
      <c r="F10" s="117" t="s">
        <v>69</v>
      </c>
      <c r="G10" s="59"/>
      <c r="H10" s="9"/>
      <c r="I10" s="120" t="s">
        <v>114</v>
      </c>
      <c r="J10" s="121" t="s">
        <v>71</v>
      </c>
      <c r="K10" s="121" t="s">
        <v>72</v>
      </c>
      <c r="L10" s="122" t="s">
        <v>73</v>
      </c>
      <c r="M10" s="123" t="s">
        <v>74</v>
      </c>
      <c r="N10" s="121" t="s">
        <v>75</v>
      </c>
      <c r="O10" s="121" t="s">
        <v>76</v>
      </c>
      <c r="P10" s="121" t="s">
        <v>77</v>
      </c>
      <c r="Q10" s="124" t="s">
        <v>78</v>
      </c>
    </row>
    <row r="11">
      <c r="A11" s="65">
        <v>3.0</v>
      </c>
      <c r="B11" s="50" t="s">
        <v>67</v>
      </c>
      <c r="C11" s="125" t="s">
        <v>115</v>
      </c>
      <c r="D11" s="125" t="s">
        <v>116</v>
      </c>
      <c r="E11" s="75" t="s">
        <v>68</v>
      </c>
      <c r="F11" s="117" t="s">
        <v>69</v>
      </c>
      <c r="G11" s="59"/>
      <c r="H11" s="9"/>
      <c r="I11" s="126">
        <v>1205.0</v>
      </c>
      <c r="J11" s="82" t="str">
        <f t="array" ref="J11">IFERROR(INDEX(Data!$A$4:$O1003, MATCH($L11, INDEX(Data!$A$4:$O1003, 0, MATCH("Item EN", Data!$A$3:$O$3, FALSE)), FALSE), MATCH("Image", Data!$A$3:$O$3, FALSE)
),"")</f>
        <v/>
      </c>
      <c r="K11" s="83">
        <f t="array" ref="K11">IFERROR(INDEX(Data!$A$4:$O1003, MATCH($L11, INDEX(Data!$A$4:$O1003, 0, MATCH("Item EN", Data!$A$3:$O$3, FALSE)), FALSE), MATCH("Item ID", Data!$A$3:$O$3, FALSE)
),"")</f>
        <v>101002</v>
      </c>
      <c r="L11" s="102" t="s">
        <v>117</v>
      </c>
      <c r="M11" s="103"/>
      <c r="N11" s="83" t="str">
        <f t="array" ref="N11">IFERROR(INDEX(Data!$A$4:$O1003, MATCH($L11, INDEX(Data!$A$4:$O1003, 0, MATCH("Item EN", Data!$A$3:$O$3, FALSE)), FALSE), MATCH("Item Type", Data!$A$3:$O$3, FALSE)
),"")</f>
        <v>Weapon</v>
      </c>
      <c r="O11" s="102">
        <v>1.0</v>
      </c>
      <c r="P11" s="87">
        <f t="array" ref="P11">IF(O11="",,IFERROR(INDEX(Data!$A$4:$O1003, MATCH($L11, INDEX(Data!$A$4:$O1003, 0, MATCH("Item EN", Data!$A$3:$O$3, FALSE)), FALSE), MATCH("Price", Data!$A$3:$O$3, FALSE)
),"")*O11)</f>
        <v>4</v>
      </c>
      <c r="Q11" s="88" t="str">
        <f t="array" ref="Q11">IFERROR(INDEX(Data!$A$4:$O1003, MATCH($L11, INDEX(Data!$A$4:$O1003, 0, MATCH("Item EN", Data!$A$3:$O$3, FALSE)), FALSE), MATCH("Image URL", Data!$A$3:$O$3, FALSE)
),"")</f>
        <v>https://cdn.exe.in.th/marketing/WarzTH_LE/Item%20Dict/m16.png</v>
      </c>
    </row>
    <row r="12">
      <c r="A12" s="65">
        <v>4.0</v>
      </c>
      <c r="B12" s="50" t="s">
        <v>67</v>
      </c>
      <c r="C12" s="125" t="s">
        <v>118</v>
      </c>
      <c r="D12" s="125" t="s">
        <v>119</v>
      </c>
      <c r="E12" s="75" t="s">
        <v>68</v>
      </c>
      <c r="F12" s="117" t="s">
        <v>69</v>
      </c>
      <c r="G12" s="59"/>
      <c r="H12" s="9"/>
      <c r="I12" s="126">
        <v>1206.0</v>
      </c>
      <c r="J12" s="82" t="str">
        <f t="array" ref="J12">IFERROR(INDEX(Data!$A$4:$O1003, MATCH($L12, INDEX(Data!$A$4:$O1003, 0, MATCH("Item EN", Data!$A$3:$O$3, FALSE)), FALSE), MATCH("Image", Data!$A$3:$O$3, FALSE)
),"")</f>
        <v/>
      </c>
      <c r="K12" s="83">
        <f t="array" ref="K12">IFERROR(INDEX(Data!$A$4:$O1003, MATCH($L12, INDEX(Data!$A$4:$O1003, 0, MATCH("Item EN", Data!$A$3:$O$3, FALSE)), FALSE), MATCH("Item ID", Data!$A$3:$O$3, FALSE)
),"")</f>
        <v>400010</v>
      </c>
      <c r="L12" s="102" t="s">
        <v>120</v>
      </c>
      <c r="M12" s="103"/>
      <c r="N12" s="83" t="str">
        <f t="array" ref="N12">IFERROR(INDEX(Data!$A$4:$O1003, MATCH($L12, INDEX(Data!$A$4:$O1003, 0, MATCH("Item EN", Data!$A$3:$O$3, FALSE)), FALSE), MATCH("Item Type", Data!$A$3:$O$3, FALSE)
),"")</f>
        <v>Ammo</v>
      </c>
      <c r="O12" s="102">
        <v>2.0</v>
      </c>
      <c r="P12" s="87">
        <f t="array" ref="P12">IF(O12="",,IFERROR(INDEX(Data!$A$4:$O1003, MATCH($L12, INDEX(Data!$A$4:$O1003, 0, MATCH("Item EN", Data!$A$3:$O$3, FALSE)), FALSE), MATCH("Price", Data!$A$3:$O$3, FALSE)
),"")*O12)</f>
        <v>2</v>
      </c>
      <c r="Q12" s="88" t="str">
        <f t="array" ref="Q12">IFERROR(INDEX(Data!$A$4:$O1003, MATCH($L12, INDEX(Data!$A$4:$O1003, 0, MATCH("Item EN", Data!$A$3:$O$3, FALSE)), FALSE), MATCH("Image URL", Data!$A$3:$O$3, FALSE)
),"")</f>
        <v>https://cdn.exe.in.th/marketing/WarzTH_LE/Item%20Dict/stanag_60.png</v>
      </c>
    </row>
    <row r="13">
      <c r="A13" s="65">
        <v>5.0</v>
      </c>
      <c r="B13" s="50" t="s">
        <v>67</v>
      </c>
      <c r="C13" s="116" t="s">
        <v>121</v>
      </c>
      <c r="D13" s="116" t="s">
        <v>122</v>
      </c>
      <c r="E13" s="75" t="s">
        <v>68</v>
      </c>
      <c r="F13" s="117" t="s">
        <v>69</v>
      </c>
      <c r="G13" s="59"/>
      <c r="H13" s="9"/>
      <c r="I13" s="126">
        <v>1207.0</v>
      </c>
      <c r="J13" s="82" t="str">
        <f t="array" ref="J13">IFERROR(INDEX(Data!$A$4:$O1003, MATCH($L13, INDEX(Data!$A$4:$O1003, 0, MATCH("Item EN", Data!$A$3:$O$3, FALSE)), FALSE), MATCH("Image", Data!$A$3:$O$3, FALSE)
),"")</f>
        <v/>
      </c>
      <c r="K13" s="83">
        <f t="array" ref="K13">IFERROR(INDEX(Data!$A$4:$O1003, MATCH($L13, INDEX(Data!$A$4:$O1003, 0, MATCH("Item EN", Data!$A$3:$O$3, FALSE)), FALSE), MATCH("Item ID", Data!$A$3:$O$3, FALSE)
),"")</f>
        <v>20067</v>
      </c>
      <c r="L13" s="102" t="s">
        <v>123</v>
      </c>
      <c r="M13" s="103"/>
      <c r="N13" s="83" t="str">
        <f t="array" ref="N13">IFERROR(INDEX(Data!$A$4:$O1003, MATCH($L13, INDEX(Data!$A$4:$O1003, 0, MATCH("Item EN", Data!$A$3:$O$3, FALSE)), FALSE), MATCH("Item Type", Data!$A$3:$O$3, FALSE)
),"")</f>
        <v>Equipment</v>
      </c>
      <c r="O13" s="102">
        <v>1.0</v>
      </c>
      <c r="P13" s="87">
        <f t="array" ref="P13">IF(O13="",,IFERROR(INDEX(Data!$A$4:$O1003, MATCH($L13, INDEX(Data!$A$4:$O1003, 0, MATCH("Item EN", Data!$A$3:$O$3, FALSE)), FALSE), MATCH("Price", Data!$A$3:$O$3, FALSE)
),"")*O13)</f>
        <v>2</v>
      </c>
      <c r="Q13" s="88" t="str">
        <f t="array" ref="Q13">IFERROR(INDEX(Data!$A$4:$O1003, MATCH($L13, INDEX(Data!$A$4:$O1003, 0, MATCH("Item EN", Data!$A$3:$O$3, FALSE)), FALSE), MATCH("Image URL", Data!$A$3:$O$3, FALSE)
),"")</f>
        <v>https://cdn.exe.in.th/marketing/WarzTH_LE/Item%20Dict/nvg_goggles.png</v>
      </c>
    </row>
    <row r="14">
      <c r="A14" s="65">
        <v>6.0</v>
      </c>
      <c r="B14" s="50" t="s">
        <v>67</v>
      </c>
      <c r="C14" s="125" t="s">
        <v>124</v>
      </c>
      <c r="D14" s="125" t="s">
        <v>125</v>
      </c>
      <c r="E14" s="75" t="s">
        <v>68</v>
      </c>
      <c r="F14" s="117" t="s">
        <v>69</v>
      </c>
      <c r="G14" s="59"/>
      <c r="H14" s="9"/>
      <c r="I14" s="126">
        <v>1208.0</v>
      </c>
      <c r="J14" s="82" t="str">
        <f t="array" ref="J14">IFERROR(INDEX(Data!$A$4:$O1003, MATCH($L14, INDEX(Data!$A$4:$O1003, 0, MATCH("Item EN", Data!$A$3:$O$3, FALSE)), FALSE), MATCH("Image", Data!$A$3:$O$3, FALSE)
),"")</f>
        <v/>
      </c>
      <c r="K14" s="83">
        <f t="array" ref="K14">IFERROR(INDEX(Data!$A$4:$O1003, MATCH($L14, INDEX(Data!$A$4:$O1003, 0, MATCH("Item EN", Data!$A$3:$O$3, FALSE)), FALSE), MATCH("Item ID", Data!$A$3:$O$3, FALSE)
),"")</f>
        <v>20015</v>
      </c>
      <c r="L14" s="102" t="s">
        <v>126</v>
      </c>
      <c r="M14" s="103"/>
      <c r="N14" s="83" t="str">
        <f t="array" ref="N14">IFERROR(INDEX(Data!$A$4:$O1003, MATCH($L14, INDEX(Data!$A$4:$O1003, 0, MATCH("Item EN", Data!$A$3:$O$3, FALSE)), FALSE), MATCH("Item Type", Data!$A$3:$O$3, FALSE)
),"")</f>
        <v>Equipment</v>
      </c>
      <c r="O14" s="102">
        <v>1.0</v>
      </c>
      <c r="P14" s="87">
        <f t="array" ref="P14">IF(O14="",,IFERROR(INDEX(Data!$A$4:$O1003, MATCH($L14, INDEX(Data!$A$4:$O1003, 0, MATCH("Item EN", Data!$A$3:$O$3, FALSE)), FALSE), MATCH("Price", Data!$A$3:$O$3, FALSE)
),"")*O14)</f>
        <v>1.5</v>
      </c>
      <c r="Q14" s="88" t="str">
        <f t="array" ref="Q14">IFERROR(INDEX(Data!$A$4:$O1003, MATCH($L14, INDEX(Data!$A$4:$O1003, 0, MATCH("Item EN", Data!$A$3:$O$3, FALSE)), FALSE), MATCH("Image URL", Data!$A$3:$O$3, FALSE)
),"")</f>
        <v>https://cdn.exe.in.th/marketing/WarzTH_LE/Item%20Dict/custom_guerilla.png</v>
      </c>
    </row>
    <row r="15">
      <c r="A15" s="65">
        <v>7.0</v>
      </c>
      <c r="B15" s="50" t="s">
        <v>67</v>
      </c>
      <c r="C15" s="116" t="s">
        <v>127</v>
      </c>
      <c r="D15" s="116" t="s">
        <v>128</v>
      </c>
      <c r="E15" s="75" t="s">
        <v>68</v>
      </c>
      <c r="F15" s="117" t="s">
        <v>69</v>
      </c>
      <c r="G15" s="59"/>
      <c r="H15" s="9"/>
      <c r="I15" s="126">
        <v>1209.0</v>
      </c>
      <c r="J15" s="82" t="str">
        <f t="array" ref="J15">IFERROR(INDEX(Data!$A$4:$O1003, MATCH($L15, INDEX(Data!$A$4:$O1003, 0, MATCH("Item EN", Data!$A$3:$O$3, FALSE)), FALSE), MATCH("Image", Data!$A$3:$O$3, FALSE)
),"")</f>
        <v/>
      </c>
      <c r="K15" s="83">
        <f t="array" ref="K15">IFERROR(INDEX(Data!$A$4:$O1003, MATCH($L15, INDEX(Data!$A$4:$O1003, 0, MATCH("Item EN", Data!$A$3:$O$3, FALSE)), FALSE), MATCH("Item ID", Data!$A$3:$O$3, FALSE)
),"")</f>
        <v>20185</v>
      </c>
      <c r="L15" s="102" t="s">
        <v>129</v>
      </c>
      <c r="M15" s="103"/>
      <c r="N15" s="83" t="str">
        <f t="array" ref="N15">IFERROR(INDEX(Data!$A$4:$O1003, MATCH($L15, INDEX(Data!$A$4:$O1003, 0, MATCH("Item EN", Data!$A$3:$O$3, FALSE)), FALSE), MATCH("Item Type", Data!$A$3:$O$3, FALSE)
),"")</f>
        <v>Equipment</v>
      </c>
      <c r="O15" s="102">
        <v>1.0</v>
      </c>
      <c r="P15" s="87">
        <f t="array" ref="P15">IF(O15="",,IFERROR(INDEX(Data!$A$4:$O1003, MATCH($L15, INDEX(Data!$A$4:$O1003, 0, MATCH("Item EN", Data!$A$3:$O$3, FALSE)), FALSE), MATCH("Price", Data!$A$3:$O$3, FALSE)
),"")*O15)</f>
        <v>2.5</v>
      </c>
      <c r="Q15" s="88" t="str">
        <f t="array" ref="Q15">IFERROR(INDEX(Data!$A$4:$O1003, MATCH($L15, INDEX(Data!$A$4:$O1003, 0, MATCH("Item EN", Data!$A$3:$O$3, FALSE)), FALSE), MATCH("Image URL", Data!$A$3:$O$3, FALSE)
),"")</f>
        <v>https://cdn.exe.in.th/marketing/WarzTH_LE/Item%20Dict/alice_rucksack.png</v>
      </c>
    </row>
    <row r="16">
      <c r="A16" s="65">
        <v>8.0</v>
      </c>
      <c r="B16" s="50" t="s">
        <v>67</v>
      </c>
      <c r="C16" s="116" t="s">
        <v>130</v>
      </c>
      <c r="D16" s="116" t="s">
        <v>131</v>
      </c>
      <c r="E16" s="75" t="s">
        <v>68</v>
      </c>
      <c r="F16" s="117" t="s">
        <v>69</v>
      </c>
      <c r="G16" s="59"/>
      <c r="H16" s="9"/>
      <c r="I16" s="126">
        <v>1187.0</v>
      </c>
      <c r="J16" s="82" t="str">
        <f t="array" ref="J16">IFERROR(INDEX(Data!$A$4:$O1003, MATCH($L16, INDEX(Data!$A$4:$O1003, 0, MATCH("Item EN", Data!$A$3:$O$3, FALSE)), FALSE), MATCH("Image", Data!$A$3:$O$3, FALSE)
),"")</f>
        <v/>
      </c>
      <c r="K16" s="83">
        <f t="array" ref="K16">IFERROR(INDEX(Data!$A$4:$O1003, MATCH($L16, INDEX(Data!$A$4:$O1003, 0, MATCH("Item EN", Data!$A$3:$O$3, FALSE)), FALSE), MATCH("Item ID", Data!$A$3:$O$3, FALSE)
),"")</f>
        <v>101284</v>
      </c>
      <c r="L16" s="102" t="s">
        <v>88</v>
      </c>
      <c r="M16" s="103"/>
      <c r="N16" s="83" t="str">
        <f t="array" ref="N16">IFERROR(INDEX(Data!$A$4:$O1003, MATCH($L16, INDEX(Data!$A$4:$O1003, 0, MATCH("Item EN", Data!$A$3:$O$3, FALSE)), FALSE), MATCH("Item Type", Data!$A$3:$O$3, FALSE)
),"")</f>
        <v>Consumable</v>
      </c>
      <c r="O16" s="102">
        <v>1.0</v>
      </c>
      <c r="P16" s="87">
        <f t="array" ref="P16">IF(O16="",,IFERROR(INDEX(Data!$A$4:$O1003, MATCH($L16, INDEX(Data!$A$4:$O1003, 0, MATCH("Item EN", Data!$A$3:$O$3, FALSE)), FALSE), MATCH("Price", Data!$A$3:$O$3, FALSE)
),"")*O16)</f>
        <v>1</v>
      </c>
      <c r="Q16" s="88" t="str">
        <f t="array" ref="Q16">IFERROR(INDEX(Data!$A$4:$O1003, MATCH($L16, INDEX(Data!$A$4:$O1003, 0, MATCH("Item EN", Data!$A$3:$O$3, FALSE)), FALSE), MATCH("Image URL", Data!$A$3:$O$3, FALSE)
),"")</f>
        <v>https://cdn.exe.in.th/marketing/WarzTH_LE/Item%20Dict/mre.png</v>
      </c>
    </row>
    <row r="17">
      <c r="A17" s="65">
        <v>9.0</v>
      </c>
      <c r="B17" s="50" t="s">
        <v>67</v>
      </c>
      <c r="C17" s="116" t="s">
        <v>132</v>
      </c>
      <c r="D17" s="116" t="s">
        <v>133</v>
      </c>
      <c r="E17" s="75" t="s">
        <v>68</v>
      </c>
      <c r="F17" s="117" t="s">
        <v>69</v>
      </c>
      <c r="G17" s="59"/>
      <c r="H17" s="9"/>
      <c r="I17" s="126">
        <v>1188.0</v>
      </c>
      <c r="J17" s="82" t="str">
        <f t="array" ref="J17">IFERROR(INDEX(Data!$A$4:$O1003, MATCH($L17, INDEX(Data!$A$4:$O1003, 0, MATCH("Item EN", Data!$A$3:$O$3, FALSE)), FALSE), MATCH("Image", Data!$A$3:$O$3, FALSE)
),"")</f>
        <v/>
      </c>
      <c r="K17" s="83">
        <f t="array" ref="K17">IFERROR(INDEX(Data!$A$4:$O1003, MATCH($L17, INDEX(Data!$A$4:$O1003, 0, MATCH("Item EN", Data!$A$3:$O$3, FALSE)), FALSE), MATCH("Item ID", Data!$A$3:$O$3, FALSE)
),"")</f>
        <v>101295</v>
      </c>
      <c r="L17" s="102" t="s">
        <v>89</v>
      </c>
      <c r="M17" s="103"/>
      <c r="N17" s="83" t="str">
        <f t="array" ref="N17">IFERROR(INDEX(Data!$A$4:$O1003, MATCH($L17, INDEX(Data!$A$4:$O1003, 0, MATCH("Item EN", Data!$A$3:$O$3, FALSE)), FALSE), MATCH("Item Type", Data!$A$3:$O$3, FALSE)
),"")</f>
        <v>Consumable</v>
      </c>
      <c r="O17" s="102">
        <v>2.0</v>
      </c>
      <c r="P17" s="87">
        <f t="array" ref="P17">IF(O17="",,IFERROR(INDEX(Data!$A$4:$O1003, MATCH($L17, INDEX(Data!$A$4:$O1003, 0, MATCH("Item EN", Data!$A$3:$O$3, FALSE)), FALSE), MATCH("Price", Data!$A$3:$O$3, FALSE)
),"")*O17)</f>
        <v>5</v>
      </c>
      <c r="Q17" s="88" t="str">
        <f t="array" ref="Q17">IFERROR(INDEX(Data!$A$4:$O1003, MATCH($L17, INDEX(Data!$A$4:$O1003, 0, MATCH("Item EN", Data!$A$3:$O$3, FALSE)), FALSE), MATCH("Image URL", Data!$A$3:$O$3, FALSE)
),"")</f>
        <v>https://cdn.exe.in.th/marketing/WarzTH_LE/Item%20Dict/electro_aid.png</v>
      </c>
    </row>
    <row r="18">
      <c r="A18" s="65">
        <v>10.0</v>
      </c>
      <c r="B18" s="50" t="s">
        <v>67</v>
      </c>
      <c r="C18" s="125" t="s">
        <v>134</v>
      </c>
      <c r="D18" s="125" t="s">
        <v>135</v>
      </c>
      <c r="E18" s="75" t="s">
        <v>68</v>
      </c>
      <c r="F18" s="117" t="s">
        <v>69</v>
      </c>
      <c r="G18" s="59"/>
      <c r="H18" s="9"/>
      <c r="I18" s="126">
        <v>1184.0</v>
      </c>
      <c r="J18" s="82" t="str">
        <f t="array" ref="J18">IFERROR(INDEX(Data!$A$4:$O1003, MATCH($L18, INDEX(Data!$A$4:$O1003, 0, MATCH("Item EN", Data!$A$3:$O$3, FALSE)), FALSE), MATCH("Image", Data!$A$3:$O$3, FALSE)
),"")</f>
        <v/>
      </c>
      <c r="K18" s="83">
        <f t="array" ref="K18">IFERROR(INDEX(Data!$A$4:$O1003, MATCH($L18, INDEX(Data!$A$4:$O1003, 0, MATCH("Item EN", Data!$A$3:$O$3, FALSE)), FALSE), MATCH("Item ID", Data!$A$3:$O$3, FALSE)
),"")</f>
        <v>101256</v>
      </c>
      <c r="L18" s="102" t="s">
        <v>87</v>
      </c>
      <c r="M18" s="103"/>
      <c r="N18" s="83" t="str">
        <f t="array" ref="N18">IFERROR(INDEX(Data!$A$4:$O1003, MATCH($L18, INDEX(Data!$A$4:$O1003, 0, MATCH("Item EN", Data!$A$3:$O$3, FALSE)), FALSE), MATCH("Item Type", Data!$A$3:$O$3, FALSE)
),"")</f>
        <v>Consumable</v>
      </c>
      <c r="O18" s="102">
        <v>3.0</v>
      </c>
      <c r="P18" s="87">
        <f t="array" ref="P18">IF(O18="",,IFERROR(INDEX(Data!$A$4:$O1003, MATCH($L18, INDEX(Data!$A$4:$O1003, 0, MATCH("Item EN", Data!$A$3:$O$3, FALSE)), FALSE), MATCH("Price", Data!$A$3:$O$3, FALSE)
),"")*O18)</f>
        <v>1.5</v>
      </c>
      <c r="Q18" s="88" t="str">
        <f t="array" ref="Q18">IFERROR(INDEX(Data!$A$4:$O1003, MATCH($L18, INDEX(Data!$A$4:$O1003, 0, MATCH("Item EN", Data!$A$3:$O$3, FALSE)), FALSE), MATCH("Image URL", Data!$A$3:$O$3, FALSE)
),"")</f>
        <v>https://cdn.exe.in.th/marketing/WarzTH_LE/Item%20Dict/anitibiotics.png</v>
      </c>
    </row>
    <row r="19">
      <c r="A19" s="65">
        <v>11.0</v>
      </c>
      <c r="B19" s="50" t="s">
        <v>67</v>
      </c>
      <c r="C19" s="116" t="s">
        <v>136</v>
      </c>
      <c r="D19" s="116" t="s">
        <v>137</v>
      </c>
      <c r="E19" s="75" t="s">
        <v>68</v>
      </c>
      <c r="F19" s="117" t="s">
        <v>69</v>
      </c>
      <c r="G19" s="59"/>
      <c r="H19" s="9"/>
    </row>
    <row r="20">
      <c r="A20" s="65">
        <v>12.0</v>
      </c>
      <c r="B20" s="50" t="s">
        <v>67</v>
      </c>
      <c r="C20" s="125" t="s">
        <v>138</v>
      </c>
      <c r="D20" s="125" t="s">
        <v>139</v>
      </c>
      <c r="E20" s="75" t="s">
        <v>68</v>
      </c>
      <c r="F20" s="117" t="s">
        <v>69</v>
      </c>
      <c r="G20" s="59"/>
      <c r="H20" s="9"/>
    </row>
    <row r="21">
      <c r="A21" s="65">
        <v>13.0</v>
      </c>
      <c r="B21" s="50" t="s">
        <v>67</v>
      </c>
      <c r="C21" s="116" t="s">
        <v>140</v>
      </c>
      <c r="D21" s="116" t="s">
        <v>141</v>
      </c>
      <c r="E21" s="75" t="s">
        <v>68</v>
      </c>
      <c r="F21" s="117" t="s">
        <v>69</v>
      </c>
      <c r="G21" s="59"/>
      <c r="H21" s="9"/>
    </row>
    <row r="22">
      <c r="A22" s="65">
        <v>14.0</v>
      </c>
      <c r="B22" s="50" t="s">
        <v>67</v>
      </c>
      <c r="C22" s="125" t="s">
        <v>142</v>
      </c>
      <c r="D22" s="125" t="s">
        <v>143</v>
      </c>
      <c r="E22" s="75" t="s">
        <v>68</v>
      </c>
      <c r="F22" s="117" t="s">
        <v>69</v>
      </c>
      <c r="G22" s="59"/>
      <c r="H22" s="9"/>
    </row>
    <row r="23">
      <c r="A23" s="65">
        <v>15.0</v>
      </c>
      <c r="B23" s="50" t="s">
        <v>67</v>
      </c>
      <c r="C23" s="116" t="s">
        <v>144</v>
      </c>
      <c r="D23" s="116" t="s">
        <v>145</v>
      </c>
      <c r="E23" s="75" t="s">
        <v>68</v>
      </c>
      <c r="F23" s="117" t="s">
        <v>69</v>
      </c>
      <c r="G23" s="59"/>
      <c r="H23" s="9"/>
    </row>
    <row r="24">
      <c r="A24" s="65">
        <v>16.0</v>
      </c>
      <c r="B24" s="50" t="s">
        <v>67</v>
      </c>
      <c r="C24" s="125" t="s">
        <v>146</v>
      </c>
      <c r="D24" s="125" t="s">
        <v>147</v>
      </c>
      <c r="E24" s="75" t="s">
        <v>68</v>
      </c>
      <c r="F24" s="117" t="s">
        <v>69</v>
      </c>
      <c r="G24" s="59"/>
      <c r="H24" s="9"/>
    </row>
    <row r="25">
      <c r="A25" s="65">
        <v>17.0</v>
      </c>
      <c r="B25" s="50" t="s">
        <v>67</v>
      </c>
      <c r="C25" s="116" t="s">
        <v>148</v>
      </c>
      <c r="D25" s="116" t="s">
        <v>149</v>
      </c>
      <c r="E25" s="75" t="s">
        <v>68</v>
      </c>
      <c r="F25" s="117" t="s">
        <v>69</v>
      </c>
      <c r="G25" s="59"/>
      <c r="H25" s="9"/>
    </row>
    <row r="26">
      <c r="A26" s="65">
        <v>18.0</v>
      </c>
      <c r="B26" s="50" t="s">
        <v>67</v>
      </c>
      <c r="C26" s="125" t="s">
        <v>150</v>
      </c>
      <c r="D26" s="125" t="s">
        <v>151</v>
      </c>
      <c r="E26" s="75" t="s">
        <v>68</v>
      </c>
      <c r="F26" s="117" t="s">
        <v>69</v>
      </c>
      <c r="G26" s="59"/>
      <c r="H26" s="9"/>
    </row>
    <row r="27">
      <c r="A27" s="65">
        <v>19.0</v>
      </c>
      <c r="B27" s="50" t="s">
        <v>67</v>
      </c>
      <c r="C27" s="116" t="s">
        <v>152</v>
      </c>
      <c r="D27" s="116" t="s">
        <v>153</v>
      </c>
      <c r="E27" s="75" t="s">
        <v>68</v>
      </c>
      <c r="F27" s="117" t="s">
        <v>69</v>
      </c>
      <c r="G27" s="59"/>
      <c r="H27" s="9"/>
    </row>
    <row r="28">
      <c r="A28" s="65">
        <v>20.0</v>
      </c>
      <c r="B28" s="50" t="s">
        <v>67</v>
      </c>
      <c r="C28" s="125" t="s">
        <v>154</v>
      </c>
      <c r="D28" s="125" t="s">
        <v>155</v>
      </c>
      <c r="E28" s="75" t="s">
        <v>68</v>
      </c>
      <c r="F28" s="117" t="s">
        <v>69</v>
      </c>
      <c r="G28" s="59"/>
      <c r="H28" s="9"/>
    </row>
    <row r="29">
      <c r="A29" s="65">
        <v>21.0</v>
      </c>
      <c r="B29" s="50" t="s">
        <v>67</v>
      </c>
      <c r="C29" s="116" t="s">
        <v>156</v>
      </c>
      <c r="D29" s="116" t="s">
        <v>157</v>
      </c>
      <c r="E29" s="75" t="s">
        <v>68</v>
      </c>
      <c r="F29" s="117" t="s">
        <v>69</v>
      </c>
      <c r="G29" s="59"/>
      <c r="H29" s="9"/>
    </row>
    <row r="30">
      <c r="A30" s="65">
        <v>22.0</v>
      </c>
      <c r="B30" s="50" t="s">
        <v>67</v>
      </c>
      <c r="C30" s="125" t="s">
        <v>158</v>
      </c>
      <c r="D30" s="125" t="s">
        <v>159</v>
      </c>
      <c r="E30" s="75" t="s">
        <v>68</v>
      </c>
      <c r="F30" s="117" t="s">
        <v>69</v>
      </c>
      <c r="G30" s="59"/>
      <c r="H30" s="9"/>
    </row>
    <row r="31">
      <c r="A31" s="65">
        <v>23.0</v>
      </c>
      <c r="B31" s="50" t="s">
        <v>67</v>
      </c>
      <c r="C31" s="116" t="s">
        <v>160</v>
      </c>
      <c r="D31" s="116" t="s">
        <v>161</v>
      </c>
      <c r="E31" s="75" t="s">
        <v>68</v>
      </c>
      <c r="F31" s="117" t="s">
        <v>69</v>
      </c>
      <c r="G31" s="59"/>
      <c r="H31" s="9"/>
    </row>
    <row r="32">
      <c r="A32" s="65">
        <v>24.0</v>
      </c>
      <c r="B32" s="50" t="s">
        <v>67</v>
      </c>
      <c r="C32" s="125" t="s">
        <v>162</v>
      </c>
      <c r="D32" s="125" t="s">
        <v>163</v>
      </c>
      <c r="E32" s="75" t="s">
        <v>68</v>
      </c>
      <c r="F32" s="117" t="s">
        <v>69</v>
      </c>
      <c r="G32" s="59"/>
      <c r="H32" s="9"/>
    </row>
    <row r="33">
      <c r="A33" s="65">
        <v>25.0</v>
      </c>
      <c r="B33" s="50" t="s">
        <v>67</v>
      </c>
      <c r="C33" s="116" t="s">
        <v>164</v>
      </c>
      <c r="D33" s="116" t="s">
        <v>165</v>
      </c>
      <c r="E33" s="75" t="s">
        <v>68</v>
      </c>
      <c r="F33" s="117" t="s">
        <v>69</v>
      </c>
      <c r="G33" s="59"/>
      <c r="H33" s="9"/>
    </row>
    <row r="34">
      <c r="A34" s="65">
        <v>26.0</v>
      </c>
      <c r="B34" s="50" t="s">
        <v>67</v>
      </c>
      <c r="C34" s="125" t="s">
        <v>166</v>
      </c>
      <c r="D34" s="125" t="s">
        <v>167</v>
      </c>
      <c r="E34" s="75" t="s">
        <v>68</v>
      </c>
      <c r="F34" s="117" t="s">
        <v>69</v>
      </c>
      <c r="G34" s="59"/>
      <c r="H34" s="9"/>
    </row>
    <row r="35">
      <c r="A35" s="65">
        <v>27.0</v>
      </c>
      <c r="B35" s="50" t="s">
        <v>67</v>
      </c>
      <c r="C35" s="116" t="s">
        <v>168</v>
      </c>
      <c r="D35" s="116" t="s">
        <v>169</v>
      </c>
      <c r="E35" s="75" t="s">
        <v>68</v>
      </c>
      <c r="F35" s="117" t="s">
        <v>69</v>
      </c>
      <c r="G35" s="59"/>
      <c r="H35" s="9"/>
      <c r="I35" s="101" t="s">
        <v>170</v>
      </c>
    </row>
    <row r="36">
      <c r="A36" s="65">
        <v>28.0</v>
      </c>
      <c r="B36" s="50" t="s">
        <v>67</v>
      </c>
      <c r="C36" s="125" t="s">
        <v>171</v>
      </c>
      <c r="D36" s="125" t="s">
        <v>172</v>
      </c>
      <c r="E36" s="75" t="s">
        <v>68</v>
      </c>
      <c r="F36" s="117" t="s">
        <v>69</v>
      </c>
      <c r="G36" s="59"/>
      <c r="H36" s="9"/>
    </row>
    <row r="37">
      <c r="A37" s="65">
        <v>29.0</v>
      </c>
      <c r="B37" s="50" t="s">
        <v>67</v>
      </c>
      <c r="C37" s="116" t="s">
        <v>173</v>
      </c>
      <c r="D37" s="116" t="s">
        <v>174</v>
      </c>
      <c r="E37" s="75" t="s">
        <v>68</v>
      </c>
      <c r="F37" s="117" t="s">
        <v>69</v>
      </c>
      <c r="G37" s="59"/>
      <c r="H37" s="9"/>
    </row>
    <row r="38">
      <c r="A38" s="65">
        <v>30.0</v>
      </c>
      <c r="B38" s="50" t="s">
        <v>67</v>
      </c>
      <c r="C38" s="125" t="s">
        <v>175</v>
      </c>
      <c r="D38" s="125" t="s">
        <v>176</v>
      </c>
      <c r="E38" s="75" t="s">
        <v>68</v>
      </c>
      <c r="F38" s="117" t="s">
        <v>69</v>
      </c>
      <c r="G38" s="59"/>
      <c r="H38" s="9"/>
    </row>
    <row r="39">
      <c r="A39" s="65">
        <v>31.0</v>
      </c>
      <c r="B39" s="50" t="s">
        <v>67</v>
      </c>
      <c r="C39" s="116" t="s">
        <v>177</v>
      </c>
      <c r="D39" s="116" t="s">
        <v>178</v>
      </c>
      <c r="E39" s="75" t="s">
        <v>68</v>
      </c>
      <c r="F39" s="117" t="s">
        <v>69</v>
      </c>
      <c r="G39" s="59"/>
      <c r="H39" s="9"/>
    </row>
    <row r="40">
      <c r="A40" s="65">
        <v>32.0</v>
      </c>
      <c r="B40" s="50" t="s">
        <v>67</v>
      </c>
      <c r="C40" s="125" t="s">
        <v>179</v>
      </c>
      <c r="D40" s="125" t="s">
        <v>180</v>
      </c>
      <c r="E40" s="75" t="s">
        <v>68</v>
      </c>
      <c r="F40" s="117" t="s">
        <v>69</v>
      </c>
      <c r="G40" s="59"/>
      <c r="H40" s="9"/>
    </row>
    <row r="41">
      <c r="A41" s="65">
        <v>33.0</v>
      </c>
      <c r="B41" s="50" t="s">
        <v>67</v>
      </c>
      <c r="C41" s="116" t="s">
        <v>181</v>
      </c>
      <c r="D41" s="116" t="s">
        <v>182</v>
      </c>
      <c r="E41" s="75" t="s">
        <v>68</v>
      </c>
      <c r="F41" s="117" t="s">
        <v>69</v>
      </c>
      <c r="G41" s="59"/>
      <c r="H41" s="9"/>
    </row>
    <row r="42">
      <c r="A42" s="65">
        <v>34.0</v>
      </c>
      <c r="B42" s="50" t="s">
        <v>67</v>
      </c>
      <c r="C42" s="125" t="s">
        <v>183</v>
      </c>
      <c r="D42" s="125" t="s">
        <v>184</v>
      </c>
      <c r="E42" s="75" t="s">
        <v>68</v>
      </c>
      <c r="F42" s="117" t="s">
        <v>69</v>
      </c>
      <c r="G42" s="59"/>
      <c r="H42" s="9"/>
    </row>
    <row r="43">
      <c r="A43" s="65">
        <v>35.0</v>
      </c>
      <c r="B43" s="50" t="s">
        <v>67</v>
      </c>
      <c r="C43" s="116" t="s">
        <v>185</v>
      </c>
      <c r="D43" s="116" t="s">
        <v>186</v>
      </c>
      <c r="E43" s="75" t="s">
        <v>68</v>
      </c>
      <c r="F43" s="117" t="s">
        <v>69</v>
      </c>
      <c r="G43" s="59"/>
      <c r="H43" s="9"/>
    </row>
    <row r="44">
      <c r="A44" s="65">
        <v>36.0</v>
      </c>
      <c r="B44" s="50" t="s">
        <v>67</v>
      </c>
      <c r="C44" s="125" t="s">
        <v>187</v>
      </c>
      <c r="D44" s="125" t="s">
        <v>188</v>
      </c>
      <c r="E44" s="75" t="s">
        <v>68</v>
      </c>
      <c r="F44" s="117" t="s">
        <v>69</v>
      </c>
      <c r="G44" s="59"/>
      <c r="H44" s="9"/>
    </row>
    <row r="45">
      <c r="A45" s="65">
        <v>37.0</v>
      </c>
      <c r="B45" s="50" t="s">
        <v>67</v>
      </c>
      <c r="C45" s="116" t="s">
        <v>189</v>
      </c>
      <c r="D45" s="116" t="s">
        <v>190</v>
      </c>
      <c r="E45" s="75" t="s">
        <v>68</v>
      </c>
      <c r="F45" s="117" t="s">
        <v>69</v>
      </c>
      <c r="G45" s="59"/>
      <c r="H45" s="9"/>
    </row>
    <row r="46">
      <c r="A46" s="65">
        <v>38.0</v>
      </c>
      <c r="B46" s="50" t="s">
        <v>67</v>
      </c>
      <c r="C46" s="125" t="s">
        <v>191</v>
      </c>
      <c r="D46" s="125" t="s">
        <v>192</v>
      </c>
      <c r="E46" s="75" t="s">
        <v>68</v>
      </c>
      <c r="F46" s="117" t="s">
        <v>69</v>
      </c>
      <c r="G46" s="59"/>
      <c r="H46" s="9"/>
    </row>
    <row r="47">
      <c r="A47" s="65">
        <v>39.0</v>
      </c>
      <c r="B47" s="50" t="s">
        <v>67</v>
      </c>
      <c r="C47" s="116" t="s">
        <v>193</v>
      </c>
      <c r="D47" s="116" t="s">
        <v>194</v>
      </c>
      <c r="E47" s="75" t="s">
        <v>68</v>
      </c>
      <c r="F47" s="117" t="s">
        <v>69</v>
      </c>
      <c r="G47" s="59"/>
      <c r="H47" s="9"/>
    </row>
    <row r="48">
      <c r="A48" s="65">
        <v>40.0</v>
      </c>
      <c r="B48" s="50" t="s">
        <v>67</v>
      </c>
      <c r="C48" s="125" t="s">
        <v>195</v>
      </c>
      <c r="D48" s="125" t="s">
        <v>196</v>
      </c>
      <c r="E48" s="75" t="s">
        <v>68</v>
      </c>
      <c r="F48" s="117" t="s">
        <v>69</v>
      </c>
      <c r="G48" s="59"/>
      <c r="H48" s="9"/>
    </row>
    <row r="49">
      <c r="A49" s="65">
        <v>41.0</v>
      </c>
      <c r="B49" s="50" t="s">
        <v>67</v>
      </c>
      <c r="C49" s="116" t="s">
        <v>197</v>
      </c>
      <c r="D49" s="116" t="s">
        <v>198</v>
      </c>
      <c r="E49" s="75" t="s">
        <v>68</v>
      </c>
      <c r="F49" s="117" t="s">
        <v>69</v>
      </c>
      <c r="G49" s="59"/>
      <c r="H49" s="9"/>
    </row>
    <row r="50">
      <c r="A50" s="65">
        <v>42.0</v>
      </c>
      <c r="B50" s="50" t="s">
        <v>67</v>
      </c>
      <c r="C50" s="125" t="s">
        <v>199</v>
      </c>
      <c r="D50" s="125" t="s">
        <v>200</v>
      </c>
      <c r="E50" s="75" t="s">
        <v>68</v>
      </c>
      <c r="F50" s="117" t="s">
        <v>69</v>
      </c>
      <c r="G50" s="59"/>
      <c r="H50" s="9"/>
    </row>
    <row r="51">
      <c r="A51" s="65">
        <v>43.0</v>
      </c>
      <c r="B51" s="50" t="s">
        <v>67</v>
      </c>
      <c r="C51" s="116" t="s">
        <v>201</v>
      </c>
      <c r="D51" s="116" t="s">
        <v>202</v>
      </c>
      <c r="E51" s="75" t="s">
        <v>68</v>
      </c>
      <c r="F51" s="117" t="s">
        <v>69</v>
      </c>
      <c r="G51" s="59"/>
      <c r="H51" s="9"/>
    </row>
    <row r="52">
      <c r="A52" s="65">
        <v>44.0</v>
      </c>
      <c r="B52" s="50" t="s">
        <v>67</v>
      </c>
      <c r="C52" s="125" t="s">
        <v>203</v>
      </c>
      <c r="D52" s="125" t="s">
        <v>204</v>
      </c>
      <c r="E52" s="75" t="s">
        <v>68</v>
      </c>
      <c r="F52" s="117" t="s">
        <v>69</v>
      </c>
      <c r="G52" s="59"/>
      <c r="H52" s="9"/>
    </row>
    <row r="53">
      <c r="A53" s="65">
        <v>45.0</v>
      </c>
      <c r="B53" s="50" t="s">
        <v>67</v>
      </c>
      <c r="C53" s="116" t="s">
        <v>205</v>
      </c>
      <c r="D53" s="116" t="s">
        <v>206</v>
      </c>
      <c r="E53" s="75" t="s">
        <v>68</v>
      </c>
      <c r="F53" s="117" t="s">
        <v>69</v>
      </c>
      <c r="G53" s="59"/>
      <c r="H53" s="9"/>
    </row>
    <row r="54">
      <c r="A54" s="65">
        <v>46.0</v>
      </c>
      <c r="B54" s="50" t="s">
        <v>67</v>
      </c>
      <c r="C54" s="125" t="s">
        <v>207</v>
      </c>
      <c r="D54" s="125" t="s">
        <v>208</v>
      </c>
      <c r="E54" s="75" t="s">
        <v>68</v>
      </c>
      <c r="F54" s="117" t="s">
        <v>69</v>
      </c>
      <c r="G54" s="59"/>
      <c r="H54" s="9"/>
    </row>
    <row r="55">
      <c r="A55" s="65">
        <v>47.0</v>
      </c>
      <c r="B55" s="50" t="s">
        <v>67</v>
      </c>
      <c r="C55" s="116" t="s">
        <v>209</v>
      </c>
      <c r="D55" s="116" t="s">
        <v>210</v>
      </c>
      <c r="E55" s="75" t="s">
        <v>68</v>
      </c>
      <c r="F55" s="117" t="s">
        <v>69</v>
      </c>
      <c r="G55" s="59"/>
      <c r="H55" s="9"/>
    </row>
    <row r="56">
      <c r="A56" s="65">
        <v>48.0</v>
      </c>
      <c r="B56" s="50" t="s">
        <v>67</v>
      </c>
      <c r="C56" s="125" t="s">
        <v>211</v>
      </c>
      <c r="D56" s="125" t="s">
        <v>212</v>
      </c>
      <c r="E56" s="75" t="s">
        <v>68</v>
      </c>
      <c r="F56" s="117" t="s">
        <v>69</v>
      </c>
      <c r="G56" s="59"/>
      <c r="H56" s="9"/>
    </row>
    <row r="57">
      <c r="A57" s="65">
        <v>49.0</v>
      </c>
      <c r="B57" s="50" t="s">
        <v>67</v>
      </c>
      <c r="C57" s="116" t="s">
        <v>213</v>
      </c>
      <c r="D57" s="116" t="s">
        <v>214</v>
      </c>
      <c r="E57" s="75" t="s">
        <v>68</v>
      </c>
      <c r="F57" s="117" t="s">
        <v>69</v>
      </c>
      <c r="G57" s="59"/>
      <c r="H57" s="9"/>
    </row>
    <row r="58">
      <c r="A58" s="65">
        <v>50.0</v>
      </c>
      <c r="B58" s="50" t="s">
        <v>67</v>
      </c>
      <c r="C58" s="125" t="s">
        <v>215</v>
      </c>
      <c r="D58" s="125" t="s">
        <v>216</v>
      </c>
      <c r="E58" s="75" t="s">
        <v>68</v>
      </c>
      <c r="F58" s="117" t="s">
        <v>69</v>
      </c>
      <c r="G58" s="59"/>
      <c r="H58" s="9"/>
    </row>
    <row r="59">
      <c r="A59" s="65">
        <v>51.0</v>
      </c>
      <c r="B59" s="50" t="s">
        <v>67</v>
      </c>
      <c r="C59" s="116" t="s">
        <v>217</v>
      </c>
      <c r="D59" s="116" t="s">
        <v>218</v>
      </c>
      <c r="E59" s="75" t="s">
        <v>68</v>
      </c>
      <c r="F59" s="117" t="s">
        <v>69</v>
      </c>
      <c r="G59" s="59"/>
      <c r="H59" s="9"/>
    </row>
    <row r="60">
      <c r="A60" s="65">
        <v>52.0</v>
      </c>
      <c r="B60" s="50" t="s">
        <v>67</v>
      </c>
      <c r="C60" s="125" t="s">
        <v>219</v>
      </c>
      <c r="D60" s="125" t="s">
        <v>220</v>
      </c>
      <c r="E60" s="75" t="s">
        <v>68</v>
      </c>
      <c r="F60" s="117" t="s">
        <v>69</v>
      </c>
      <c r="G60" s="59"/>
      <c r="H60" s="9"/>
    </row>
    <row r="61">
      <c r="A61" s="65">
        <v>53.0</v>
      </c>
      <c r="B61" s="50" t="s">
        <v>67</v>
      </c>
      <c r="C61" s="116" t="s">
        <v>221</v>
      </c>
      <c r="D61" s="116" t="s">
        <v>222</v>
      </c>
      <c r="E61" s="75" t="s">
        <v>68</v>
      </c>
      <c r="F61" s="117" t="s">
        <v>69</v>
      </c>
      <c r="G61" s="59"/>
      <c r="H61" s="9"/>
    </row>
    <row r="62">
      <c r="A62" s="65">
        <v>54.0</v>
      </c>
      <c r="B62" s="50" t="s">
        <v>67</v>
      </c>
      <c r="C62" s="125" t="s">
        <v>223</v>
      </c>
      <c r="D62" s="125" t="s">
        <v>224</v>
      </c>
      <c r="E62" s="75" t="s">
        <v>68</v>
      </c>
      <c r="F62" s="117" t="s">
        <v>69</v>
      </c>
      <c r="G62" s="59"/>
      <c r="H62" s="9"/>
    </row>
    <row r="63">
      <c r="A63" s="65">
        <v>55.0</v>
      </c>
      <c r="B63" s="50" t="s">
        <v>67</v>
      </c>
      <c r="C63" s="116" t="s">
        <v>225</v>
      </c>
      <c r="D63" s="116" t="s">
        <v>226</v>
      </c>
      <c r="E63" s="75" t="s">
        <v>68</v>
      </c>
      <c r="F63" s="117" t="s">
        <v>69</v>
      </c>
      <c r="G63" s="59"/>
      <c r="H63" s="9"/>
    </row>
    <row r="64">
      <c r="A64" s="65">
        <v>56.0</v>
      </c>
      <c r="B64" s="50" t="s">
        <v>67</v>
      </c>
      <c r="C64" s="125" t="s">
        <v>227</v>
      </c>
      <c r="D64" s="125" t="s">
        <v>228</v>
      </c>
      <c r="E64" s="75" t="s">
        <v>68</v>
      </c>
      <c r="F64" s="117" t="s">
        <v>69</v>
      </c>
      <c r="G64" s="59"/>
      <c r="H64" s="9"/>
    </row>
    <row r="65">
      <c r="A65" s="65">
        <v>57.0</v>
      </c>
      <c r="B65" s="50" t="s">
        <v>67</v>
      </c>
      <c r="C65" s="116" t="s">
        <v>229</v>
      </c>
      <c r="D65" s="116" t="s">
        <v>230</v>
      </c>
      <c r="E65" s="75" t="s">
        <v>68</v>
      </c>
      <c r="F65" s="117" t="s">
        <v>69</v>
      </c>
      <c r="G65" s="59"/>
      <c r="H65" s="9"/>
    </row>
    <row r="66">
      <c r="A66" s="65">
        <v>58.0</v>
      </c>
      <c r="B66" s="50" t="s">
        <v>67</v>
      </c>
      <c r="C66" s="125" t="s">
        <v>231</v>
      </c>
      <c r="D66" s="125" t="s">
        <v>232</v>
      </c>
      <c r="E66" s="75" t="s">
        <v>68</v>
      </c>
      <c r="F66" s="117" t="s">
        <v>69</v>
      </c>
      <c r="G66" s="59"/>
      <c r="H66" s="9"/>
    </row>
    <row r="67">
      <c r="A67" s="65">
        <v>59.0</v>
      </c>
      <c r="B67" s="50" t="s">
        <v>67</v>
      </c>
      <c r="C67" s="116" t="s">
        <v>233</v>
      </c>
      <c r="D67" s="116" t="s">
        <v>234</v>
      </c>
      <c r="E67" s="75" t="s">
        <v>68</v>
      </c>
      <c r="F67" s="117" t="s">
        <v>69</v>
      </c>
      <c r="G67" s="59"/>
      <c r="H67" s="9"/>
    </row>
    <row r="68">
      <c r="A68" s="65">
        <v>60.0</v>
      </c>
      <c r="B68" s="50" t="s">
        <v>67</v>
      </c>
      <c r="C68" s="125" t="s">
        <v>235</v>
      </c>
      <c r="D68" s="125" t="s">
        <v>236</v>
      </c>
      <c r="E68" s="75" t="s">
        <v>68</v>
      </c>
      <c r="F68" s="117" t="s">
        <v>69</v>
      </c>
      <c r="G68" s="59"/>
      <c r="H68" s="9"/>
    </row>
    <row r="69">
      <c r="A69" s="65">
        <v>61.0</v>
      </c>
      <c r="B69" s="50" t="s">
        <v>67</v>
      </c>
      <c r="C69" s="116" t="s">
        <v>237</v>
      </c>
      <c r="D69" s="116" t="s">
        <v>238</v>
      </c>
      <c r="E69" s="75" t="s">
        <v>68</v>
      </c>
      <c r="F69" s="117" t="s">
        <v>69</v>
      </c>
      <c r="G69" s="59"/>
      <c r="H69" s="9"/>
    </row>
    <row r="70">
      <c r="A70" s="65">
        <v>62.0</v>
      </c>
      <c r="B70" s="50" t="s">
        <v>67</v>
      </c>
      <c r="C70" s="125" t="s">
        <v>239</v>
      </c>
      <c r="D70" s="125" t="s">
        <v>240</v>
      </c>
      <c r="E70" s="75" t="s">
        <v>68</v>
      </c>
      <c r="F70" s="117" t="s">
        <v>69</v>
      </c>
      <c r="G70" s="59"/>
      <c r="H70" s="9"/>
    </row>
    <row r="71">
      <c r="A71" s="65">
        <v>63.0</v>
      </c>
      <c r="B71" s="50" t="s">
        <v>67</v>
      </c>
      <c r="C71" s="116" t="s">
        <v>241</v>
      </c>
      <c r="D71" s="116" t="s">
        <v>242</v>
      </c>
      <c r="E71" s="75" t="s">
        <v>68</v>
      </c>
      <c r="F71" s="117" t="s">
        <v>69</v>
      </c>
      <c r="G71" s="59"/>
      <c r="H71" s="9"/>
    </row>
    <row r="72">
      <c r="A72" s="65">
        <v>64.0</v>
      </c>
      <c r="B72" s="50" t="s">
        <v>67</v>
      </c>
      <c r="C72" s="125" t="s">
        <v>243</v>
      </c>
      <c r="D72" s="125" t="s">
        <v>244</v>
      </c>
      <c r="E72" s="75" t="s">
        <v>68</v>
      </c>
      <c r="F72" s="117" t="s">
        <v>69</v>
      </c>
      <c r="G72" s="59"/>
      <c r="H72" s="9"/>
    </row>
    <row r="73">
      <c r="A73" s="65">
        <v>65.0</v>
      </c>
      <c r="B73" s="50" t="s">
        <v>67</v>
      </c>
      <c r="C73" s="116" t="s">
        <v>245</v>
      </c>
      <c r="D73" s="116" t="s">
        <v>246</v>
      </c>
      <c r="E73" s="75" t="s">
        <v>68</v>
      </c>
      <c r="F73" s="117" t="s">
        <v>69</v>
      </c>
      <c r="G73" s="59"/>
      <c r="H73" s="9"/>
    </row>
    <row r="74">
      <c r="A74" s="65">
        <v>66.0</v>
      </c>
      <c r="B74" s="50" t="s">
        <v>67</v>
      </c>
      <c r="C74" s="125" t="s">
        <v>247</v>
      </c>
      <c r="D74" s="125" t="s">
        <v>248</v>
      </c>
      <c r="E74" s="75" t="s">
        <v>68</v>
      </c>
      <c r="F74" s="117" t="s">
        <v>69</v>
      </c>
      <c r="G74" s="59"/>
      <c r="H74" s="9"/>
    </row>
    <row r="75">
      <c r="A75" s="65">
        <v>67.0</v>
      </c>
      <c r="B75" s="50" t="s">
        <v>67</v>
      </c>
      <c r="C75" s="116" t="s">
        <v>249</v>
      </c>
      <c r="D75" s="116" t="s">
        <v>250</v>
      </c>
      <c r="E75" s="75" t="s">
        <v>68</v>
      </c>
      <c r="F75" s="117" t="s">
        <v>69</v>
      </c>
      <c r="G75" s="59"/>
      <c r="H75" s="9"/>
    </row>
    <row r="76">
      <c r="A76" s="65">
        <v>68.0</v>
      </c>
      <c r="B76" s="50" t="s">
        <v>67</v>
      </c>
      <c r="C76" s="116" t="s">
        <v>251</v>
      </c>
      <c r="D76" s="116" t="s">
        <v>252</v>
      </c>
      <c r="E76" s="75" t="s">
        <v>68</v>
      </c>
      <c r="F76" s="117" t="s">
        <v>69</v>
      </c>
      <c r="G76" s="59"/>
      <c r="H76" s="9"/>
    </row>
    <row r="77">
      <c r="A77" s="65">
        <v>69.0</v>
      </c>
      <c r="B77" s="50" t="s">
        <v>67</v>
      </c>
      <c r="C77" s="116" t="s">
        <v>253</v>
      </c>
      <c r="D77" s="116" t="s">
        <v>254</v>
      </c>
      <c r="E77" s="75" t="s">
        <v>68</v>
      </c>
      <c r="F77" s="117" t="s">
        <v>69</v>
      </c>
      <c r="G77" s="59"/>
      <c r="H77" s="9"/>
    </row>
    <row r="78">
      <c r="A78" s="65">
        <v>70.0</v>
      </c>
      <c r="B78" s="50" t="s">
        <v>67</v>
      </c>
      <c r="C78" s="125" t="s">
        <v>255</v>
      </c>
      <c r="D78" s="125" t="s">
        <v>256</v>
      </c>
      <c r="E78" s="75" t="s">
        <v>68</v>
      </c>
      <c r="F78" s="117" t="s">
        <v>69</v>
      </c>
      <c r="G78" s="59"/>
      <c r="H78" s="9"/>
    </row>
    <row r="79">
      <c r="A79" s="65">
        <v>71.0</v>
      </c>
      <c r="B79" s="50" t="s">
        <v>67</v>
      </c>
      <c r="C79" s="116" t="s">
        <v>257</v>
      </c>
      <c r="D79" s="116" t="s">
        <v>258</v>
      </c>
      <c r="E79" s="75" t="s">
        <v>68</v>
      </c>
      <c r="F79" s="117" t="s">
        <v>69</v>
      </c>
      <c r="G79" s="59"/>
      <c r="H79" s="9"/>
    </row>
    <row r="80">
      <c r="A80" s="65">
        <v>72.0</v>
      </c>
      <c r="B80" s="50" t="s">
        <v>67</v>
      </c>
      <c r="C80" s="125" t="s">
        <v>259</v>
      </c>
      <c r="D80" s="125" t="s">
        <v>260</v>
      </c>
      <c r="E80" s="75" t="s">
        <v>68</v>
      </c>
      <c r="F80" s="117" t="s">
        <v>69</v>
      </c>
      <c r="G80" s="59"/>
      <c r="H80" s="9"/>
    </row>
    <row r="81">
      <c r="A81" s="65">
        <v>73.0</v>
      </c>
      <c r="B81" s="50" t="s">
        <v>67</v>
      </c>
      <c r="C81" s="116" t="s">
        <v>261</v>
      </c>
      <c r="D81" s="116" t="s">
        <v>262</v>
      </c>
      <c r="E81" s="75" t="s">
        <v>68</v>
      </c>
      <c r="F81" s="117" t="s">
        <v>69</v>
      </c>
      <c r="G81" s="59"/>
      <c r="H81" s="9"/>
    </row>
    <row r="82">
      <c r="A82" s="65">
        <v>74.0</v>
      </c>
      <c r="B82" s="50" t="s">
        <v>67</v>
      </c>
      <c r="C82" s="125" t="s">
        <v>263</v>
      </c>
      <c r="D82" s="125" t="s">
        <v>264</v>
      </c>
      <c r="E82" s="75" t="s">
        <v>68</v>
      </c>
      <c r="F82" s="117" t="s">
        <v>69</v>
      </c>
      <c r="G82" s="59"/>
      <c r="H82" s="9"/>
    </row>
    <row r="83">
      <c r="A83" s="65">
        <v>75.0</v>
      </c>
      <c r="B83" s="50" t="s">
        <v>67</v>
      </c>
      <c r="C83" s="116" t="s">
        <v>265</v>
      </c>
      <c r="D83" s="116" t="s">
        <v>266</v>
      </c>
      <c r="E83" s="75" t="s">
        <v>68</v>
      </c>
      <c r="F83" s="117" t="s">
        <v>69</v>
      </c>
      <c r="G83" s="59"/>
      <c r="H83" s="9"/>
    </row>
    <row r="84">
      <c r="A84" s="65">
        <v>76.0</v>
      </c>
      <c r="B84" s="50" t="s">
        <v>67</v>
      </c>
      <c r="C84" s="125" t="s">
        <v>267</v>
      </c>
      <c r="D84" s="125" t="s">
        <v>268</v>
      </c>
      <c r="E84" s="75" t="s">
        <v>68</v>
      </c>
      <c r="F84" s="117" t="s">
        <v>69</v>
      </c>
      <c r="G84" s="59"/>
      <c r="H84" s="9"/>
    </row>
    <row r="85">
      <c r="A85" s="65">
        <v>77.0</v>
      </c>
      <c r="B85" s="50" t="s">
        <v>67</v>
      </c>
      <c r="C85" s="116" t="s">
        <v>269</v>
      </c>
      <c r="D85" s="116" t="s">
        <v>270</v>
      </c>
      <c r="E85" s="75" t="s">
        <v>68</v>
      </c>
      <c r="F85" s="117" t="s">
        <v>69</v>
      </c>
      <c r="G85" s="59"/>
      <c r="H85" s="9"/>
    </row>
    <row r="86">
      <c r="A86" s="65">
        <v>78.0</v>
      </c>
      <c r="B86" s="50" t="s">
        <v>67</v>
      </c>
      <c r="C86" s="125" t="s">
        <v>271</v>
      </c>
      <c r="D86" s="125" t="s">
        <v>272</v>
      </c>
      <c r="E86" s="75" t="s">
        <v>68</v>
      </c>
      <c r="F86" s="117" t="s">
        <v>69</v>
      </c>
      <c r="G86" s="59"/>
      <c r="H86" s="9"/>
    </row>
    <row r="87">
      <c r="A87" s="65">
        <v>79.0</v>
      </c>
      <c r="B87" s="50" t="s">
        <v>67</v>
      </c>
      <c r="C87" s="116" t="s">
        <v>273</v>
      </c>
      <c r="D87" s="116" t="s">
        <v>274</v>
      </c>
      <c r="E87" s="75" t="s">
        <v>68</v>
      </c>
      <c r="F87" s="117" t="s">
        <v>69</v>
      </c>
      <c r="G87" s="59"/>
      <c r="H87" s="9"/>
    </row>
    <row r="88">
      <c r="A88" s="65">
        <v>80.0</v>
      </c>
      <c r="B88" s="50" t="s">
        <v>67</v>
      </c>
      <c r="C88" s="116" t="s">
        <v>275</v>
      </c>
      <c r="D88" s="116" t="s">
        <v>276</v>
      </c>
      <c r="E88" s="75" t="s">
        <v>68</v>
      </c>
      <c r="F88" s="117" t="s">
        <v>69</v>
      </c>
      <c r="G88" s="59"/>
      <c r="H88" s="9"/>
    </row>
    <row r="89">
      <c r="A89" s="65">
        <v>81.0</v>
      </c>
      <c r="B89" s="50" t="s">
        <v>67</v>
      </c>
      <c r="C89" s="116" t="s">
        <v>277</v>
      </c>
      <c r="D89" s="116" t="s">
        <v>278</v>
      </c>
      <c r="E89" s="75" t="s">
        <v>68</v>
      </c>
      <c r="F89" s="117" t="s">
        <v>69</v>
      </c>
      <c r="G89" s="59"/>
      <c r="H89" s="9"/>
    </row>
    <row r="90">
      <c r="A90" s="65">
        <v>82.0</v>
      </c>
      <c r="B90" s="50" t="s">
        <v>67</v>
      </c>
      <c r="C90" s="125" t="s">
        <v>279</v>
      </c>
      <c r="D90" s="125" t="s">
        <v>280</v>
      </c>
      <c r="E90" s="75" t="s">
        <v>68</v>
      </c>
      <c r="F90" s="117" t="s">
        <v>69</v>
      </c>
      <c r="G90" s="59"/>
      <c r="H90" s="9"/>
    </row>
    <row r="91">
      <c r="A91" s="65">
        <v>83.0</v>
      </c>
      <c r="B91" s="50" t="s">
        <v>67</v>
      </c>
      <c r="C91" s="116" t="s">
        <v>281</v>
      </c>
      <c r="D91" s="116" t="s">
        <v>282</v>
      </c>
      <c r="E91" s="75" t="s">
        <v>68</v>
      </c>
      <c r="F91" s="117" t="s">
        <v>69</v>
      </c>
      <c r="G91" s="59"/>
      <c r="H91" s="9"/>
    </row>
    <row r="92">
      <c r="A92" s="65">
        <v>84.0</v>
      </c>
      <c r="B92" s="50" t="s">
        <v>67</v>
      </c>
      <c r="C92" s="125" t="s">
        <v>283</v>
      </c>
      <c r="D92" s="125" t="s">
        <v>284</v>
      </c>
      <c r="E92" s="75" t="s">
        <v>68</v>
      </c>
      <c r="F92" s="117" t="s">
        <v>69</v>
      </c>
      <c r="G92" s="59"/>
      <c r="H92" s="9"/>
    </row>
    <row r="93">
      <c r="A93" s="65">
        <v>85.0</v>
      </c>
      <c r="B93" s="50" t="s">
        <v>67</v>
      </c>
      <c r="C93" s="116" t="s">
        <v>285</v>
      </c>
      <c r="D93" s="116" t="s">
        <v>286</v>
      </c>
      <c r="E93" s="75" t="s">
        <v>68</v>
      </c>
      <c r="F93" s="117" t="s">
        <v>69</v>
      </c>
      <c r="G93" s="59"/>
      <c r="H93" s="9"/>
    </row>
    <row r="94">
      <c r="A94" s="65">
        <v>86.0</v>
      </c>
      <c r="B94" s="50" t="s">
        <v>67</v>
      </c>
      <c r="C94" s="125" t="s">
        <v>287</v>
      </c>
      <c r="D94" s="125" t="s">
        <v>288</v>
      </c>
      <c r="E94" s="75" t="s">
        <v>68</v>
      </c>
      <c r="F94" s="117" t="s">
        <v>69</v>
      </c>
      <c r="G94" s="59"/>
      <c r="H94" s="9"/>
    </row>
    <row r="95">
      <c r="A95" s="127">
        <v>87.0</v>
      </c>
      <c r="B95" s="128" t="s">
        <v>67</v>
      </c>
      <c r="C95" s="129" t="s">
        <v>289</v>
      </c>
      <c r="D95" s="129" t="s">
        <v>290</v>
      </c>
      <c r="E95" s="130" t="s">
        <v>68</v>
      </c>
      <c r="F95" s="131" t="s">
        <v>27</v>
      </c>
      <c r="G95" s="132"/>
      <c r="H95" s="133" t="s">
        <v>291</v>
      </c>
      <c r="I95" s="134"/>
      <c r="J95" s="134"/>
      <c r="K95" s="134"/>
      <c r="L95" s="134"/>
      <c r="M95" s="134"/>
      <c r="N95" s="134"/>
      <c r="O95" s="134"/>
      <c r="P95" s="134"/>
      <c r="Q95" s="134"/>
      <c r="R95" s="134"/>
      <c r="S95" s="134"/>
    </row>
    <row r="96">
      <c r="A96" s="65">
        <v>88.0</v>
      </c>
      <c r="B96" s="50" t="s">
        <v>67</v>
      </c>
      <c r="C96" s="125" t="s">
        <v>292</v>
      </c>
      <c r="D96" s="125" t="s">
        <v>293</v>
      </c>
      <c r="E96" s="75" t="s">
        <v>68</v>
      </c>
      <c r="F96" s="117" t="s">
        <v>69</v>
      </c>
      <c r="G96" s="59"/>
      <c r="H96" s="9"/>
    </row>
    <row r="97">
      <c r="A97" s="65">
        <v>89.0</v>
      </c>
      <c r="B97" s="50" t="s">
        <v>67</v>
      </c>
      <c r="C97" s="116" t="s">
        <v>294</v>
      </c>
      <c r="D97" s="116" t="s">
        <v>295</v>
      </c>
      <c r="E97" s="75" t="s">
        <v>68</v>
      </c>
      <c r="F97" s="117" t="s">
        <v>69</v>
      </c>
      <c r="G97" s="59"/>
      <c r="H97" s="9"/>
    </row>
    <row r="98">
      <c r="A98" s="65">
        <v>90.0</v>
      </c>
      <c r="B98" s="50" t="s">
        <v>67</v>
      </c>
      <c r="C98" s="125" t="s">
        <v>296</v>
      </c>
      <c r="D98" s="125" t="s">
        <v>297</v>
      </c>
      <c r="E98" s="75" t="s">
        <v>68</v>
      </c>
      <c r="F98" s="117" t="s">
        <v>69</v>
      </c>
      <c r="G98" s="59"/>
      <c r="H98" s="9"/>
    </row>
    <row r="99">
      <c r="A99" s="65">
        <v>91.0</v>
      </c>
      <c r="B99" s="50" t="s">
        <v>67</v>
      </c>
      <c r="C99" s="116" t="s">
        <v>298</v>
      </c>
      <c r="D99" s="116" t="s">
        <v>299</v>
      </c>
      <c r="E99" s="75" t="s">
        <v>68</v>
      </c>
      <c r="F99" s="117" t="s">
        <v>69</v>
      </c>
      <c r="G99" s="59"/>
      <c r="H99" s="9"/>
    </row>
    <row r="100">
      <c r="A100" s="65">
        <v>92.0</v>
      </c>
      <c r="B100" s="50" t="s">
        <v>67</v>
      </c>
      <c r="C100" s="125" t="s">
        <v>300</v>
      </c>
      <c r="D100" s="125" t="s">
        <v>301</v>
      </c>
      <c r="E100" s="75" t="s">
        <v>68</v>
      </c>
      <c r="F100" s="117" t="s">
        <v>69</v>
      </c>
      <c r="G100" s="59"/>
      <c r="H100" s="9"/>
    </row>
    <row r="101">
      <c r="A101" s="65">
        <v>93.0</v>
      </c>
      <c r="B101" s="50" t="s">
        <v>67</v>
      </c>
      <c r="C101" s="116" t="s">
        <v>302</v>
      </c>
      <c r="D101" s="116" t="s">
        <v>303</v>
      </c>
      <c r="E101" s="75" t="s">
        <v>68</v>
      </c>
      <c r="F101" s="117" t="s">
        <v>69</v>
      </c>
      <c r="G101" s="59"/>
      <c r="H101" s="9"/>
    </row>
    <row r="102">
      <c r="A102" s="65">
        <v>94.0</v>
      </c>
      <c r="B102" s="50" t="s">
        <v>67</v>
      </c>
      <c r="C102" s="125" t="s">
        <v>304</v>
      </c>
      <c r="D102" s="125" t="s">
        <v>305</v>
      </c>
      <c r="E102" s="75" t="s">
        <v>68</v>
      </c>
      <c r="F102" s="117" t="s">
        <v>69</v>
      </c>
      <c r="G102" s="59"/>
      <c r="H102" s="9"/>
    </row>
    <row r="103">
      <c r="A103" s="65">
        <v>95.0</v>
      </c>
      <c r="B103" s="50" t="s">
        <v>67</v>
      </c>
      <c r="C103" s="116" t="s">
        <v>306</v>
      </c>
      <c r="D103" s="116" t="s">
        <v>307</v>
      </c>
      <c r="E103" s="75" t="s">
        <v>68</v>
      </c>
      <c r="F103" s="117" t="s">
        <v>69</v>
      </c>
      <c r="G103" s="59"/>
      <c r="H103" s="9"/>
    </row>
    <row r="104">
      <c r="A104" s="127">
        <v>96.0</v>
      </c>
      <c r="B104" s="128" t="s">
        <v>67</v>
      </c>
      <c r="C104" s="129" t="s">
        <v>308</v>
      </c>
      <c r="D104" s="129" t="s">
        <v>309</v>
      </c>
      <c r="E104" s="130" t="s">
        <v>68</v>
      </c>
      <c r="F104" s="131" t="s">
        <v>27</v>
      </c>
      <c r="G104" s="132"/>
      <c r="H104" s="133" t="s">
        <v>291</v>
      </c>
      <c r="I104" s="134"/>
      <c r="J104" s="134"/>
      <c r="K104" s="134"/>
      <c r="L104" s="134"/>
      <c r="M104" s="134"/>
      <c r="N104" s="134"/>
      <c r="O104" s="134"/>
      <c r="P104" s="134"/>
      <c r="Q104" s="134"/>
      <c r="R104" s="134"/>
      <c r="S104" s="134"/>
    </row>
    <row r="105">
      <c r="A105" s="65">
        <v>97.0</v>
      </c>
      <c r="B105" s="50" t="s">
        <v>67</v>
      </c>
      <c r="C105" s="116" t="s">
        <v>310</v>
      </c>
      <c r="D105" s="116" t="s">
        <v>311</v>
      </c>
      <c r="E105" s="75" t="s">
        <v>68</v>
      </c>
      <c r="F105" s="117" t="s">
        <v>69</v>
      </c>
      <c r="G105" s="59"/>
      <c r="H105" s="9"/>
    </row>
    <row r="106">
      <c r="A106" s="65">
        <v>98.0</v>
      </c>
      <c r="B106" s="50" t="s">
        <v>67</v>
      </c>
      <c r="C106" s="116" t="s">
        <v>312</v>
      </c>
      <c r="D106" s="116" t="s">
        <v>313</v>
      </c>
      <c r="E106" s="75" t="s">
        <v>68</v>
      </c>
      <c r="F106" s="117" t="s">
        <v>69</v>
      </c>
      <c r="G106" s="59"/>
      <c r="H106" s="9"/>
    </row>
    <row r="107">
      <c r="A107" s="65">
        <v>99.0</v>
      </c>
      <c r="B107" s="50" t="s">
        <v>67</v>
      </c>
      <c r="C107" s="116" t="s">
        <v>314</v>
      </c>
      <c r="D107" s="116" t="s">
        <v>315</v>
      </c>
      <c r="E107" s="75" t="s">
        <v>68</v>
      </c>
      <c r="F107" s="117" t="s">
        <v>69</v>
      </c>
      <c r="G107" s="59"/>
      <c r="H107" s="9"/>
    </row>
    <row r="108">
      <c r="A108" s="65">
        <v>100.0</v>
      </c>
      <c r="B108" s="50" t="s">
        <v>67</v>
      </c>
      <c r="C108" s="125" t="s">
        <v>316</v>
      </c>
      <c r="D108" s="125" t="s">
        <v>317</v>
      </c>
      <c r="E108" s="75" t="s">
        <v>68</v>
      </c>
      <c r="F108" s="117" t="s">
        <v>69</v>
      </c>
      <c r="G108" s="59"/>
      <c r="H108" s="9"/>
    </row>
    <row r="109">
      <c r="A109" s="65">
        <v>101.0</v>
      </c>
      <c r="B109" s="50" t="s">
        <v>67</v>
      </c>
      <c r="C109" s="116" t="s">
        <v>318</v>
      </c>
      <c r="D109" s="116" t="s">
        <v>319</v>
      </c>
      <c r="E109" s="75" t="s">
        <v>68</v>
      </c>
      <c r="F109" s="117" t="s">
        <v>69</v>
      </c>
      <c r="G109" s="59"/>
      <c r="H109" s="9"/>
    </row>
    <row r="110">
      <c r="A110" s="65">
        <v>102.0</v>
      </c>
      <c r="B110" s="50" t="s">
        <v>67</v>
      </c>
      <c r="C110" s="125" t="s">
        <v>320</v>
      </c>
      <c r="D110" s="125" t="s">
        <v>321</v>
      </c>
      <c r="E110" s="75" t="s">
        <v>68</v>
      </c>
      <c r="F110" s="117" t="s">
        <v>69</v>
      </c>
      <c r="G110" s="59"/>
      <c r="H110" s="9"/>
    </row>
    <row r="111">
      <c r="A111" s="65">
        <v>103.0</v>
      </c>
      <c r="B111" s="50" t="s">
        <v>67</v>
      </c>
      <c r="C111" s="116" t="s">
        <v>322</v>
      </c>
      <c r="D111" s="116" t="s">
        <v>323</v>
      </c>
      <c r="E111" s="75" t="s">
        <v>68</v>
      </c>
      <c r="F111" s="117" t="s">
        <v>69</v>
      </c>
      <c r="G111" s="59"/>
      <c r="H111" s="9"/>
    </row>
    <row r="112">
      <c r="A112" s="65">
        <v>104.0</v>
      </c>
      <c r="B112" s="50" t="s">
        <v>67</v>
      </c>
      <c r="C112" s="125" t="s">
        <v>324</v>
      </c>
      <c r="D112" s="125" t="s">
        <v>325</v>
      </c>
      <c r="E112" s="75" t="s">
        <v>68</v>
      </c>
      <c r="F112" s="117" t="s">
        <v>69</v>
      </c>
      <c r="G112" s="59"/>
      <c r="H112" s="9"/>
    </row>
    <row r="113">
      <c r="A113" s="65">
        <v>105.0</v>
      </c>
      <c r="B113" s="50" t="s">
        <v>67</v>
      </c>
      <c r="C113" s="116" t="s">
        <v>326</v>
      </c>
      <c r="D113" s="116" t="s">
        <v>327</v>
      </c>
      <c r="E113" s="75" t="s">
        <v>68</v>
      </c>
      <c r="F113" s="117" t="s">
        <v>69</v>
      </c>
      <c r="G113" s="59"/>
      <c r="H113" s="9"/>
    </row>
    <row r="114">
      <c r="A114" s="65">
        <v>106.0</v>
      </c>
      <c r="B114" s="50" t="s">
        <v>67</v>
      </c>
      <c r="C114" s="125" t="s">
        <v>328</v>
      </c>
      <c r="D114" s="125" t="s">
        <v>329</v>
      </c>
      <c r="E114" s="75" t="s">
        <v>68</v>
      </c>
      <c r="F114" s="117" t="s">
        <v>69</v>
      </c>
      <c r="G114" s="59"/>
      <c r="H114" s="9"/>
    </row>
    <row r="115">
      <c r="A115" s="65">
        <v>107.0</v>
      </c>
      <c r="B115" s="50" t="s">
        <v>67</v>
      </c>
      <c r="C115" s="116" t="s">
        <v>330</v>
      </c>
      <c r="D115" s="116" t="s">
        <v>331</v>
      </c>
      <c r="E115" s="75" t="s">
        <v>68</v>
      </c>
      <c r="F115" s="117" t="s">
        <v>69</v>
      </c>
      <c r="G115" s="59"/>
      <c r="H115" s="9"/>
    </row>
    <row r="116">
      <c r="A116" s="65">
        <v>108.0</v>
      </c>
      <c r="B116" s="50" t="s">
        <v>67</v>
      </c>
      <c r="C116" s="125" t="s">
        <v>332</v>
      </c>
      <c r="D116" s="125" t="s">
        <v>333</v>
      </c>
      <c r="E116" s="75" t="s">
        <v>68</v>
      </c>
      <c r="F116" s="117" t="s">
        <v>69</v>
      </c>
      <c r="G116" s="59"/>
      <c r="H116" s="9"/>
    </row>
    <row r="117">
      <c r="A117" s="65">
        <v>109.0</v>
      </c>
      <c r="B117" s="50" t="s">
        <v>67</v>
      </c>
      <c r="C117" s="116" t="s">
        <v>334</v>
      </c>
      <c r="D117" s="116" t="s">
        <v>335</v>
      </c>
      <c r="E117" s="75" t="s">
        <v>68</v>
      </c>
      <c r="F117" s="117" t="s">
        <v>69</v>
      </c>
      <c r="G117" s="59"/>
      <c r="H117" s="9"/>
    </row>
    <row r="118">
      <c r="A118" s="65">
        <v>110.0</v>
      </c>
      <c r="B118" s="50" t="s">
        <v>67</v>
      </c>
      <c r="C118" s="125" t="s">
        <v>336</v>
      </c>
      <c r="D118" s="125" t="s">
        <v>337</v>
      </c>
      <c r="E118" s="75" t="s">
        <v>68</v>
      </c>
      <c r="F118" s="117" t="s">
        <v>69</v>
      </c>
      <c r="G118" s="59"/>
      <c r="H118" s="9"/>
    </row>
    <row r="119">
      <c r="A119" s="65">
        <v>111.0</v>
      </c>
      <c r="B119" s="50" t="s">
        <v>67</v>
      </c>
      <c r="C119" s="116" t="s">
        <v>338</v>
      </c>
      <c r="D119" s="116" t="s">
        <v>339</v>
      </c>
      <c r="E119" s="75" t="s">
        <v>68</v>
      </c>
      <c r="F119" s="117" t="s">
        <v>69</v>
      </c>
      <c r="G119" s="59"/>
      <c r="H119" s="9"/>
    </row>
    <row r="120">
      <c r="A120" s="65">
        <v>112.0</v>
      </c>
      <c r="B120" s="50" t="s">
        <v>67</v>
      </c>
      <c r="C120" s="125" t="s">
        <v>340</v>
      </c>
      <c r="D120" s="125" t="s">
        <v>341</v>
      </c>
      <c r="E120" s="75" t="s">
        <v>68</v>
      </c>
      <c r="F120" s="117" t="s">
        <v>69</v>
      </c>
      <c r="G120" s="59"/>
      <c r="H120" s="9"/>
    </row>
    <row r="121">
      <c r="A121" s="65">
        <v>113.0</v>
      </c>
      <c r="B121" s="50" t="s">
        <v>67</v>
      </c>
      <c r="C121" s="116" t="s">
        <v>342</v>
      </c>
      <c r="D121" s="116" t="s">
        <v>343</v>
      </c>
      <c r="E121" s="75" t="s">
        <v>68</v>
      </c>
      <c r="F121" s="117" t="s">
        <v>69</v>
      </c>
      <c r="G121" s="59"/>
      <c r="H121" s="9"/>
    </row>
    <row r="122">
      <c r="A122" s="65">
        <v>114.0</v>
      </c>
      <c r="B122" s="50" t="s">
        <v>67</v>
      </c>
      <c r="C122" s="125" t="s">
        <v>344</v>
      </c>
      <c r="D122" s="125" t="s">
        <v>345</v>
      </c>
      <c r="E122" s="75" t="s">
        <v>68</v>
      </c>
      <c r="F122" s="117" t="s">
        <v>69</v>
      </c>
      <c r="G122" s="59"/>
      <c r="H122" s="9"/>
    </row>
    <row r="123">
      <c r="A123" s="65">
        <v>115.0</v>
      </c>
      <c r="B123" s="50" t="s">
        <v>67</v>
      </c>
      <c r="C123" s="116" t="s">
        <v>346</v>
      </c>
      <c r="D123" s="116" t="s">
        <v>347</v>
      </c>
      <c r="E123" s="75" t="s">
        <v>68</v>
      </c>
      <c r="F123" s="117" t="s">
        <v>69</v>
      </c>
      <c r="G123" s="59"/>
      <c r="H123" s="9"/>
    </row>
    <row r="124">
      <c r="A124" s="65">
        <v>116.0</v>
      </c>
      <c r="B124" s="50" t="s">
        <v>67</v>
      </c>
      <c r="C124" s="125" t="s">
        <v>348</v>
      </c>
      <c r="D124" s="125" t="s">
        <v>349</v>
      </c>
      <c r="E124" s="75" t="s">
        <v>68</v>
      </c>
      <c r="F124" s="117" t="s">
        <v>69</v>
      </c>
      <c r="G124" s="59"/>
      <c r="H124" s="9"/>
    </row>
    <row r="125">
      <c r="A125" s="65">
        <v>117.0</v>
      </c>
      <c r="B125" s="50" t="s">
        <v>67</v>
      </c>
      <c r="C125" s="116" t="s">
        <v>350</v>
      </c>
      <c r="D125" s="116" t="s">
        <v>351</v>
      </c>
      <c r="E125" s="75" t="s">
        <v>68</v>
      </c>
      <c r="F125" s="117" t="s">
        <v>69</v>
      </c>
      <c r="G125" s="59"/>
      <c r="H125" s="9"/>
    </row>
    <row r="126">
      <c r="A126" s="65">
        <v>118.0</v>
      </c>
      <c r="B126" s="50" t="s">
        <v>67</v>
      </c>
      <c r="C126" s="125" t="s">
        <v>352</v>
      </c>
      <c r="D126" s="125" t="s">
        <v>353</v>
      </c>
      <c r="E126" s="75" t="s">
        <v>68</v>
      </c>
      <c r="F126" s="117" t="s">
        <v>69</v>
      </c>
      <c r="G126" s="59"/>
      <c r="H126" s="9"/>
    </row>
    <row r="127">
      <c r="A127" s="65">
        <v>119.0</v>
      </c>
      <c r="B127" s="50" t="s">
        <v>67</v>
      </c>
      <c r="C127" s="116" t="s">
        <v>354</v>
      </c>
      <c r="D127" s="116" t="s">
        <v>355</v>
      </c>
      <c r="E127" s="75" t="s">
        <v>68</v>
      </c>
      <c r="F127" s="117" t="s">
        <v>69</v>
      </c>
      <c r="G127" s="59"/>
      <c r="H127" s="9"/>
    </row>
    <row r="128">
      <c r="A128" s="65">
        <v>120.0</v>
      </c>
      <c r="B128" s="50" t="s">
        <v>67</v>
      </c>
      <c r="C128" s="125" t="s">
        <v>356</v>
      </c>
      <c r="D128" s="125" t="s">
        <v>357</v>
      </c>
      <c r="E128" s="75" t="s">
        <v>68</v>
      </c>
      <c r="F128" s="117" t="s">
        <v>69</v>
      </c>
      <c r="G128" s="59"/>
      <c r="H128" s="9"/>
    </row>
    <row r="129">
      <c r="A129" s="65">
        <v>121.0</v>
      </c>
      <c r="B129" s="50" t="s">
        <v>67</v>
      </c>
      <c r="C129" s="116" t="s">
        <v>358</v>
      </c>
      <c r="D129" s="116" t="s">
        <v>359</v>
      </c>
      <c r="E129" s="75" t="s">
        <v>68</v>
      </c>
      <c r="F129" s="117" t="s">
        <v>69</v>
      </c>
      <c r="G129" s="59"/>
      <c r="H129" s="9"/>
    </row>
    <row r="130">
      <c r="A130" s="65">
        <v>122.0</v>
      </c>
      <c r="B130" s="50" t="s">
        <v>67</v>
      </c>
      <c r="C130" s="125" t="s">
        <v>360</v>
      </c>
      <c r="D130" s="125" t="s">
        <v>361</v>
      </c>
      <c r="E130" s="75" t="s">
        <v>68</v>
      </c>
      <c r="F130" s="117" t="s">
        <v>69</v>
      </c>
      <c r="G130" s="59"/>
      <c r="H130" s="9"/>
    </row>
    <row r="131">
      <c r="A131" s="65">
        <v>123.0</v>
      </c>
      <c r="B131" s="50" t="s">
        <v>67</v>
      </c>
      <c r="C131" s="116" t="s">
        <v>362</v>
      </c>
      <c r="D131" s="116" t="s">
        <v>363</v>
      </c>
      <c r="E131" s="75" t="s">
        <v>68</v>
      </c>
      <c r="F131" s="117" t="s">
        <v>69</v>
      </c>
      <c r="G131" s="59"/>
      <c r="H131" s="9"/>
    </row>
    <row r="132">
      <c r="A132" s="65">
        <v>124.0</v>
      </c>
      <c r="B132" s="50" t="s">
        <v>67</v>
      </c>
      <c r="C132" s="125" t="s">
        <v>364</v>
      </c>
      <c r="D132" s="125" t="s">
        <v>365</v>
      </c>
      <c r="E132" s="75" t="s">
        <v>68</v>
      </c>
      <c r="F132" s="117" t="s">
        <v>69</v>
      </c>
      <c r="G132" s="59"/>
      <c r="H132" s="9"/>
    </row>
    <row r="133">
      <c r="A133" s="65">
        <v>125.0</v>
      </c>
      <c r="B133" s="50" t="s">
        <v>67</v>
      </c>
      <c r="C133" s="116" t="s">
        <v>366</v>
      </c>
      <c r="D133" s="116" t="s">
        <v>367</v>
      </c>
      <c r="E133" s="75" t="s">
        <v>68</v>
      </c>
      <c r="F133" s="117" t="s">
        <v>69</v>
      </c>
      <c r="G133" s="59"/>
      <c r="H133" s="9"/>
    </row>
    <row r="134">
      <c r="A134" s="65">
        <v>126.0</v>
      </c>
      <c r="B134" s="50" t="s">
        <v>67</v>
      </c>
      <c r="C134" s="125" t="s">
        <v>368</v>
      </c>
      <c r="D134" s="125" t="s">
        <v>369</v>
      </c>
      <c r="E134" s="75" t="s">
        <v>68</v>
      </c>
      <c r="F134" s="117" t="s">
        <v>69</v>
      </c>
      <c r="G134" s="59"/>
      <c r="H134" s="9"/>
    </row>
    <row r="135">
      <c r="A135" s="65">
        <v>127.0</v>
      </c>
      <c r="B135" s="50" t="s">
        <v>67</v>
      </c>
      <c r="C135" s="116" t="s">
        <v>370</v>
      </c>
      <c r="D135" s="116" t="s">
        <v>371</v>
      </c>
      <c r="E135" s="75" t="s">
        <v>68</v>
      </c>
      <c r="F135" s="117" t="s">
        <v>69</v>
      </c>
      <c r="G135" s="59"/>
      <c r="H135" s="9"/>
    </row>
    <row r="136">
      <c r="A136" s="65">
        <v>128.0</v>
      </c>
      <c r="B136" s="50" t="s">
        <v>67</v>
      </c>
      <c r="C136" s="125" t="s">
        <v>372</v>
      </c>
      <c r="D136" s="125" t="s">
        <v>373</v>
      </c>
      <c r="E136" s="75" t="s">
        <v>68</v>
      </c>
      <c r="F136" s="117" t="s">
        <v>69</v>
      </c>
      <c r="G136" s="59"/>
      <c r="H136" s="9"/>
    </row>
    <row r="137">
      <c r="A137" s="65">
        <v>129.0</v>
      </c>
      <c r="B137" s="50" t="s">
        <v>67</v>
      </c>
      <c r="C137" s="116" t="s">
        <v>374</v>
      </c>
      <c r="D137" s="116" t="s">
        <v>375</v>
      </c>
      <c r="E137" s="75" t="s">
        <v>68</v>
      </c>
      <c r="F137" s="117" t="s">
        <v>69</v>
      </c>
      <c r="G137" s="59"/>
      <c r="H137" s="9"/>
    </row>
    <row r="138">
      <c r="A138" s="65">
        <v>130.0</v>
      </c>
      <c r="B138" s="50" t="s">
        <v>67</v>
      </c>
      <c r="C138" s="125" t="s">
        <v>376</v>
      </c>
      <c r="D138" s="125" t="s">
        <v>377</v>
      </c>
      <c r="E138" s="75" t="s">
        <v>68</v>
      </c>
      <c r="F138" s="117" t="s">
        <v>69</v>
      </c>
      <c r="G138" s="59"/>
      <c r="H138" s="9"/>
    </row>
    <row r="139">
      <c r="A139" s="65">
        <v>131.0</v>
      </c>
      <c r="B139" s="50" t="s">
        <v>67</v>
      </c>
      <c r="C139" s="116" t="s">
        <v>378</v>
      </c>
      <c r="D139" s="116" t="s">
        <v>379</v>
      </c>
      <c r="E139" s="75" t="s">
        <v>68</v>
      </c>
      <c r="F139" s="117" t="s">
        <v>69</v>
      </c>
      <c r="G139" s="59"/>
      <c r="H139" s="9"/>
    </row>
    <row r="140">
      <c r="A140" s="65">
        <v>132.0</v>
      </c>
      <c r="B140" s="50" t="s">
        <v>67</v>
      </c>
      <c r="C140" s="125" t="s">
        <v>380</v>
      </c>
      <c r="D140" s="125" t="s">
        <v>381</v>
      </c>
      <c r="E140" s="75" t="s">
        <v>68</v>
      </c>
      <c r="F140" s="117" t="s">
        <v>69</v>
      </c>
      <c r="G140" s="59"/>
      <c r="H140" s="9"/>
    </row>
    <row r="141">
      <c r="A141" s="65">
        <v>133.0</v>
      </c>
      <c r="B141" s="50" t="s">
        <v>67</v>
      </c>
      <c r="C141" s="116" t="s">
        <v>382</v>
      </c>
      <c r="D141" s="116" t="s">
        <v>383</v>
      </c>
      <c r="E141" s="75" t="s">
        <v>68</v>
      </c>
      <c r="F141" s="117" t="s">
        <v>69</v>
      </c>
      <c r="G141" s="59"/>
      <c r="H141" s="9"/>
    </row>
    <row r="142">
      <c r="A142" s="127">
        <v>134.0</v>
      </c>
      <c r="B142" s="128" t="s">
        <v>67</v>
      </c>
      <c r="C142" s="129" t="s">
        <v>384</v>
      </c>
      <c r="D142" s="129" t="s">
        <v>385</v>
      </c>
      <c r="E142" s="130" t="s">
        <v>68</v>
      </c>
      <c r="F142" s="131" t="s">
        <v>27</v>
      </c>
      <c r="G142" s="132"/>
      <c r="H142" s="133" t="s">
        <v>291</v>
      </c>
      <c r="I142" s="134"/>
      <c r="J142" s="134"/>
      <c r="K142" s="134"/>
      <c r="L142" s="134"/>
      <c r="M142" s="134"/>
      <c r="N142" s="134"/>
      <c r="O142" s="134"/>
      <c r="P142" s="134"/>
      <c r="Q142" s="134"/>
      <c r="R142" s="134"/>
      <c r="S142" s="134"/>
    </row>
    <row r="143">
      <c r="A143" s="65">
        <v>135.0</v>
      </c>
      <c r="B143" s="50" t="s">
        <v>67</v>
      </c>
      <c r="C143" s="116" t="s">
        <v>386</v>
      </c>
      <c r="D143" s="116" t="s">
        <v>387</v>
      </c>
      <c r="E143" s="75" t="s">
        <v>68</v>
      </c>
      <c r="F143" s="117" t="s">
        <v>69</v>
      </c>
      <c r="G143" s="59"/>
      <c r="H143" s="9"/>
    </row>
    <row r="144">
      <c r="A144" s="65">
        <v>136.0</v>
      </c>
      <c r="B144" s="50" t="s">
        <v>67</v>
      </c>
      <c r="C144" s="125" t="s">
        <v>388</v>
      </c>
      <c r="D144" s="125" t="s">
        <v>389</v>
      </c>
      <c r="E144" s="75" t="s">
        <v>68</v>
      </c>
      <c r="F144" s="117" t="s">
        <v>69</v>
      </c>
      <c r="G144" s="59"/>
      <c r="H144" s="9"/>
    </row>
    <row r="145">
      <c r="A145" s="65">
        <v>137.0</v>
      </c>
      <c r="B145" s="50" t="s">
        <v>67</v>
      </c>
      <c r="C145" s="116" t="s">
        <v>390</v>
      </c>
      <c r="D145" s="116" t="s">
        <v>391</v>
      </c>
      <c r="E145" s="75" t="s">
        <v>68</v>
      </c>
      <c r="F145" s="117" t="s">
        <v>69</v>
      </c>
      <c r="G145" s="59"/>
      <c r="H145" s="9"/>
    </row>
    <row r="146">
      <c r="A146" s="65">
        <v>138.0</v>
      </c>
      <c r="B146" s="50" t="s">
        <v>67</v>
      </c>
      <c r="C146" s="125" t="s">
        <v>392</v>
      </c>
      <c r="D146" s="125" t="s">
        <v>393</v>
      </c>
      <c r="E146" s="75" t="s">
        <v>68</v>
      </c>
      <c r="F146" s="117" t="s">
        <v>69</v>
      </c>
      <c r="G146" s="59"/>
      <c r="H146" s="9"/>
    </row>
    <row r="147">
      <c r="A147" s="65">
        <v>139.0</v>
      </c>
      <c r="B147" s="50" t="s">
        <v>67</v>
      </c>
      <c r="C147" s="116" t="s">
        <v>394</v>
      </c>
      <c r="D147" s="116" t="s">
        <v>395</v>
      </c>
      <c r="E147" s="75" t="s">
        <v>68</v>
      </c>
      <c r="F147" s="117" t="s">
        <v>69</v>
      </c>
      <c r="G147" s="59"/>
      <c r="H147" s="9"/>
    </row>
    <row r="148">
      <c r="A148" s="65">
        <v>140.0</v>
      </c>
      <c r="B148" s="50" t="s">
        <v>67</v>
      </c>
      <c r="C148" s="116" t="s">
        <v>396</v>
      </c>
      <c r="D148" s="116" t="s">
        <v>397</v>
      </c>
      <c r="E148" s="75" t="s">
        <v>68</v>
      </c>
      <c r="F148" s="117" t="s">
        <v>69</v>
      </c>
      <c r="G148" s="59"/>
      <c r="H148" s="9"/>
    </row>
    <row r="149">
      <c r="A149" s="65">
        <v>141.0</v>
      </c>
      <c r="B149" s="50" t="s">
        <v>67</v>
      </c>
      <c r="C149" s="116" t="s">
        <v>398</v>
      </c>
      <c r="D149" s="116" t="s">
        <v>399</v>
      </c>
      <c r="E149" s="75" t="s">
        <v>68</v>
      </c>
      <c r="F149" s="117" t="s">
        <v>69</v>
      </c>
      <c r="G149" s="59"/>
      <c r="H149" s="9"/>
    </row>
    <row r="150">
      <c r="A150" s="65">
        <v>142.0</v>
      </c>
      <c r="B150" s="50" t="s">
        <v>67</v>
      </c>
      <c r="C150" s="125" t="s">
        <v>400</v>
      </c>
      <c r="D150" s="125" t="s">
        <v>401</v>
      </c>
      <c r="E150" s="75" t="s">
        <v>68</v>
      </c>
      <c r="F150" s="117" t="s">
        <v>69</v>
      </c>
      <c r="G150" s="59"/>
      <c r="H150" s="9"/>
    </row>
    <row r="151">
      <c r="A151" s="65">
        <v>143.0</v>
      </c>
      <c r="B151" s="50" t="s">
        <v>67</v>
      </c>
      <c r="C151" s="116" t="s">
        <v>402</v>
      </c>
      <c r="D151" s="116" t="s">
        <v>403</v>
      </c>
      <c r="E151" s="75" t="s">
        <v>68</v>
      </c>
      <c r="F151" s="117" t="s">
        <v>69</v>
      </c>
      <c r="G151" s="59"/>
      <c r="H151" s="9"/>
    </row>
    <row r="152">
      <c r="A152" s="65">
        <v>144.0</v>
      </c>
      <c r="B152" s="50" t="s">
        <v>67</v>
      </c>
      <c r="C152" s="125" t="s">
        <v>404</v>
      </c>
      <c r="D152" s="125" t="s">
        <v>405</v>
      </c>
      <c r="E152" s="75" t="s">
        <v>68</v>
      </c>
      <c r="F152" s="117" t="s">
        <v>69</v>
      </c>
      <c r="G152" s="59"/>
      <c r="H152" s="9"/>
    </row>
    <row r="153">
      <c r="A153" s="65">
        <v>145.0</v>
      </c>
      <c r="B153" s="50" t="s">
        <v>67</v>
      </c>
      <c r="C153" s="116" t="s">
        <v>406</v>
      </c>
      <c r="D153" s="116" t="s">
        <v>407</v>
      </c>
      <c r="E153" s="75" t="s">
        <v>68</v>
      </c>
      <c r="F153" s="117" t="s">
        <v>69</v>
      </c>
      <c r="G153" s="59"/>
      <c r="H153" s="9"/>
    </row>
    <row r="154">
      <c r="A154" s="65">
        <v>146.0</v>
      </c>
      <c r="B154" s="50" t="s">
        <v>67</v>
      </c>
      <c r="C154" s="125" t="s">
        <v>408</v>
      </c>
      <c r="D154" s="125" t="s">
        <v>409</v>
      </c>
      <c r="E154" s="75" t="s">
        <v>68</v>
      </c>
      <c r="F154" s="117" t="s">
        <v>69</v>
      </c>
      <c r="G154" s="59"/>
      <c r="H154" s="9"/>
    </row>
    <row r="155">
      <c r="A155" s="65">
        <v>147.0</v>
      </c>
      <c r="B155" s="50" t="s">
        <v>67</v>
      </c>
      <c r="C155" s="116" t="s">
        <v>410</v>
      </c>
      <c r="D155" s="116" t="s">
        <v>411</v>
      </c>
      <c r="E155" s="75" t="s">
        <v>68</v>
      </c>
      <c r="F155" s="117" t="s">
        <v>69</v>
      </c>
      <c r="G155" s="59"/>
      <c r="H155" s="9"/>
    </row>
    <row r="156">
      <c r="A156" s="65">
        <v>148.0</v>
      </c>
      <c r="B156" s="50" t="s">
        <v>67</v>
      </c>
      <c r="C156" s="125" t="s">
        <v>412</v>
      </c>
      <c r="D156" s="125" t="s">
        <v>413</v>
      </c>
      <c r="E156" s="75" t="s">
        <v>68</v>
      </c>
      <c r="F156" s="117" t="s">
        <v>69</v>
      </c>
      <c r="G156" s="59"/>
      <c r="H156" s="9"/>
    </row>
    <row r="157">
      <c r="A157" s="65">
        <v>149.0</v>
      </c>
      <c r="B157" s="50" t="s">
        <v>67</v>
      </c>
      <c r="C157" s="116" t="s">
        <v>414</v>
      </c>
      <c r="D157" s="116" t="s">
        <v>415</v>
      </c>
      <c r="E157" s="75" t="s">
        <v>68</v>
      </c>
      <c r="F157" s="117" t="s">
        <v>69</v>
      </c>
      <c r="G157" s="59"/>
      <c r="H157" s="9"/>
    </row>
    <row r="158">
      <c r="A158" s="65">
        <v>150.0</v>
      </c>
      <c r="B158" s="50" t="s">
        <v>67</v>
      </c>
      <c r="C158" s="125" t="s">
        <v>416</v>
      </c>
      <c r="D158" s="125" t="s">
        <v>417</v>
      </c>
      <c r="E158" s="75" t="s">
        <v>68</v>
      </c>
      <c r="F158" s="117" t="s">
        <v>69</v>
      </c>
      <c r="G158" s="59"/>
      <c r="H158" s="9"/>
    </row>
    <row r="159">
      <c r="A159" s="65">
        <v>151.0</v>
      </c>
      <c r="B159" s="50" t="s">
        <v>67</v>
      </c>
      <c r="C159" s="116" t="s">
        <v>418</v>
      </c>
      <c r="D159" s="116" t="s">
        <v>419</v>
      </c>
      <c r="E159" s="75" t="s">
        <v>68</v>
      </c>
      <c r="F159" s="117" t="s">
        <v>69</v>
      </c>
      <c r="G159" s="59"/>
      <c r="H159" s="9"/>
    </row>
    <row r="160">
      <c r="A160" s="65">
        <v>152.0</v>
      </c>
      <c r="B160" s="50" t="s">
        <v>67</v>
      </c>
      <c r="C160" s="125" t="s">
        <v>420</v>
      </c>
      <c r="D160" s="125" t="s">
        <v>421</v>
      </c>
      <c r="E160" s="75" t="s">
        <v>68</v>
      </c>
      <c r="F160" s="117" t="s">
        <v>69</v>
      </c>
      <c r="G160" s="59"/>
      <c r="H160" s="9"/>
    </row>
    <row r="161">
      <c r="A161" s="65">
        <v>153.0</v>
      </c>
      <c r="B161" s="50" t="s">
        <v>67</v>
      </c>
      <c r="C161" s="116" t="s">
        <v>422</v>
      </c>
      <c r="D161" s="116" t="s">
        <v>423</v>
      </c>
      <c r="E161" s="75" t="s">
        <v>68</v>
      </c>
      <c r="F161" s="117" t="s">
        <v>69</v>
      </c>
      <c r="G161" s="59"/>
      <c r="H161" s="9"/>
    </row>
    <row r="162">
      <c r="A162" s="65">
        <v>154.0</v>
      </c>
      <c r="B162" s="50" t="s">
        <v>67</v>
      </c>
      <c r="C162" s="125" t="s">
        <v>424</v>
      </c>
      <c r="D162" s="125" t="s">
        <v>425</v>
      </c>
      <c r="E162" s="75" t="s">
        <v>68</v>
      </c>
      <c r="F162" s="117" t="s">
        <v>69</v>
      </c>
      <c r="G162" s="59"/>
      <c r="H162" s="9"/>
    </row>
    <row r="163">
      <c r="A163" s="65">
        <v>155.0</v>
      </c>
      <c r="B163" s="50" t="s">
        <v>67</v>
      </c>
      <c r="C163" s="116" t="s">
        <v>426</v>
      </c>
      <c r="D163" s="116" t="s">
        <v>427</v>
      </c>
      <c r="E163" s="75" t="s">
        <v>68</v>
      </c>
      <c r="F163" s="117" t="s">
        <v>69</v>
      </c>
      <c r="G163" s="59"/>
      <c r="H163" s="9"/>
    </row>
    <row r="164">
      <c r="A164" s="65">
        <v>156.0</v>
      </c>
      <c r="B164" s="50" t="s">
        <v>67</v>
      </c>
      <c r="C164" s="125" t="s">
        <v>428</v>
      </c>
      <c r="D164" s="125" t="s">
        <v>429</v>
      </c>
      <c r="E164" s="75" t="s">
        <v>68</v>
      </c>
      <c r="F164" s="117" t="s">
        <v>69</v>
      </c>
      <c r="G164" s="59"/>
      <c r="H164" s="9"/>
    </row>
    <row r="165">
      <c r="A165" s="65">
        <v>157.0</v>
      </c>
      <c r="B165" s="50" t="s">
        <v>67</v>
      </c>
      <c r="C165" s="116" t="s">
        <v>430</v>
      </c>
      <c r="D165" s="116" t="s">
        <v>431</v>
      </c>
      <c r="E165" s="75" t="s">
        <v>68</v>
      </c>
      <c r="F165" s="117" t="s">
        <v>69</v>
      </c>
      <c r="G165" s="59"/>
      <c r="H165" s="9"/>
    </row>
    <row r="166">
      <c r="A166" s="65">
        <v>158.0</v>
      </c>
      <c r="B166" s="50" t="s">
        <v>67</v>
      </c>
      <c r="C166" s="125" t="s">
        <v>432</v>
      </c>
      <c r="D166" s="125" t="s">
        <v>433</v>
      </c>
      <c r="E166" s="75" t="s">
        <v>68</v>
      </c>
      <c r="F166" s="117" t="s">
        <v>69</v>
      </c>
      <c r="G166" s="59"/>
      <c r="H166" s="9"/>
    </row>
    <row r="167">
      <c r="A167" s="127">
        <v>159.0</v>
      </c>
      <c r="B167" s="128" t="s">
        <v>67</v>
      </c>
      <c r="C167" s="129" t="s">
        <v>434</v>
      </c>
      <c r="D167" s="129" t="s">
        <v>433</v>
      </c>
      <c r="E167" s="130" t="s">
        <v>68</v>
      </c>
      <c r="F167" s="131" t="s">
        <v>27</v>
      </c>
      <c r="G167" s="59"/>
      <c r="H167" s="133" t="s">
        <v>435</v>
      </c>
    </row>
    <row r="168">
      <c r="A168" s="65">
        <v>160.0</v>
      </c>
      <c r="B168" s="50" t="s">
        <v>67</v>
      </c>
      <c r="C168" s="125" t="s">
        <v>436</v>
      </c>
      <c r="D168" s="125" t="s">
        <v>437</v>
      </c>
      <c r="E168" s="75" t="s">
        <v>68</v>
      </c>
      <c r="F168" s="117" t="s">
        <v>69</v>
      </c>
      <c r="G168" s="59"/>
      <c r="H168" s="9"/>
    </row>
    <row r="169">
      <c r="A169" s="65">
        <v>161.0</v>
      </c>
      <c r="B169" s="50" t="s">
        <v>67</v>
      </c>
      <c r="C169" s="116" t="s">
        <v>438</v>
      </c>
      <c r="D169" s="116" t="s">
        <v>439</v>
      </c>
      <c r="E169" s="75" t="s">
        <v>68</v>
      </c>
      <c r="F169" s="117" t="s">
        <v>69</v>
      </c>
      <c r="G169" s="59"/>
      <c r="H169" s="9"/>
    </row>
    <row r="170">
      <c r="A170" s="65">
        <v>162.0</v>
      </c>
      <c r="B170" s="50" t="s">
        <v>67</v>
      </c>
      <c r="C170" s="125" t="s">
        <v>440</v>
      </c>
      <c r="D170" s="125" t="s">
        <v>441</v>
      </c>
      <c r="E170" s="75" t="s">
        <v>68</v>
      </c>
      <c r="F170" s="117" t="s">
        <v>69</v>
      </c>
      <c r="G170" s="59"/>
      <c r="H170" s="9"/>
    </row>
    <row r="171">
      <c r="A171" s="65">
        <v>163.0</v>
      </c>
      <c r="B171" s="50" t="s">
        <v>67</v>
      </c>
      <c r="C171" s="116" t="s">
        <v>442</v>
      </c>
      <c r="D171" s="116" t="s">
        <v>443</v>
      </c>
      <c r="E171" s="75" t="s">
        <v>68</v>
      </c>
      <c r="F171" s="117" t="s">
        <v>69</v>
      </c>
      <c r="G171" s="59"/>
      <c r="H171" s="9"/>
    </row>
    <row r="172">
      <c r="A172" s="65">
        <v>164.0</v>
      </c>
      <c r="B172" s="50" t="s">
        <v>67</v>
      </c>
      <c r="C172" s="125" t="s">
        <v>444</v>
      </c>
      <c r="D172" s="125" t="s">
        <v>445</v>
      </c>
      <c r="E172" s="75" t="s">
        <v>68</v>
      </c>
      <c r="F172" s="117" t="s">
        <v>69</v>
      </c>
      <c r="G172" s="59"/>
      <c r="H172" s="9"/>
    </row>
    <row r="173">
      <c r="A173" s="65">
        <v>165.0</v>
      </c>
      <c r="B173" s="50" t="s">
        <v>67</v>
      </c>
      <c r="C173" s="116" t="s">
        <v>446</v>
      </c>
      <c r="D173" s="116" t="s">
        <v>447</v>
      </c>
      <c r="E173" s="75" t="s">
        <v>68</v>
      </c>
      <c r="F173" s="117" t="s">
        <v>69</v>
      </c>
      <c r="G173" s="59"/>
      <c r="H173" s="9"/>
    </row>
    <row r="174">
      <c r="A174" s="65">
        <v>166.0</v>
      </c>
      <c r="B174" s="50" t="s">
        <v>67</v>
      </c>
      <c r="C174" s="125" t="s">
        <v>448</v>
      </c>
      <c r="D174" s="125" t="s">
        <v>449</v>
      </c>
      <c r="E174" s="75" t="s">
        <v>68</v>
      </c>
      <c r="F174" s="117" t="s">
        <v>69</v>
      </c>
      <c r="G174" s="59"/>
      <c r="H174" s="9"/>
    </row>
    <row r="175">
      <c r="A175" s="65">
        <v>167.0</v>
      </c>
      <c r="B175" s="50" t="s">
        <v>67</v>
      </c>
      <c r="C175" s="116" t="s">
        <v>450</v>
      </c>
      <c r="D175" s="116" t="s">
        <v>451</v>
      </c>
      <c r="E175" s="75" t="s">
        <v>68</v>
      </c>
      <c r="F175" s="117" t="s">
        <v>69</v>
      </c>
      <c r="G175" s="59"/>
      <c r="H175" s="9"/>
    </row>
    <row r="176">
      <c r="A176" s="65">
        <v>168.0</v>
      </c>
      <c r="B176" s="50" t="s">
        <v>67</v>
      </c>
      <c r="C176" s="125" t="s">
        <v>452</v>
      </c>
      <c r="D176" s="125" t="s">
        <v>453</v>
      </c>
      <c r="E176" s="75" t="s">
        <v>68</v>
      </c>
      <c r="F176" s="117" t="s">
        <v>69</v>
      </c>
      <c r="G176" s="59"/>
      <c r="H176" s="9"/>
    </row>
    <row r="177">
      <c r="A177" s="65">
        <v>169.0</v>
      </c>
      <c r="B177" s="50" t="s">
        <v>67</v>
      </c>
      <c r="C177" s="116" t="s">
        <v>454</v>
      </c>
      <c r="D177" s="116" t="s">
        <v>455</v>
      </c>
      <c r="E177" s="75" t="s">
        <v>68</v>
      </c>
      <c r="F177" s="117" t="s">
        <v>69</v>
      </c>
      <c r="G177" s="59"/>
      <c r="H177" s="9"/>
    </row>
    <row r="178">
      <c r="A178" s="65">
        <v>170.0</v>
      </c>
      <c r="B178" s="50" t="s">
        <v>67</v>
      </c>
      <c r="C178" s="125" t="s">
        <v>456</v>
      </c>
      <c r="D178" s="125" t="s">
        <v>457</v>
      </c>
      <c r="E178" s="75" t="s">
        <v>68</v>
      </c>
      <c r="F178" s="117" t="s">
        <v>69</v>
      </c>
      <c r="G178" s="59"/>
      <c r="H178" s="9"/>
    </row>
    <row r="179">
      <c r="A179" s="65">
        <v>171.0</v>
      </c>
      <c r="B179" s="50" t="s">
        <v>67</v>
      </c>
      <c r="C179" s="116" t="s">
        <v>458</v>
      </c>
      <c r="D179" s="116" t="s">
        <v>459</v>
      </c>
      <c r="E179" s="75" t="s">
        <v>68</v>
      </c>
      <c r="F179" s="117" t="s">
        <v>69</v>
      </c>
      <c r="G179" s="59"/>
      <c r="H179" s="9"/>
    </row>
    <row r="180">
      <c r="A180" s="65">
        <v>172.0</v>
      </c>
      <c r="B180" s="50" t="s">
        <v>67</v>
      </c>
      <c r="C180" s="125" t="s">
        <v>460</v>
      </c>
      <c r="D180" s="125" t="s">
        <v>461</v>
      </c>
      <c r="E180" s="75" t="s">
        <v>68</v>
      </c>
      <c r="F180" s="117" t="s">
        <v>69</v>
      </c>
      <c r="G180" s="59"/>
      <c r="H180" s="9"/>
    </row>
    <row r="181">
      <c r="A181" s="65">
        <v>173.0</v>
      </c>
      <c r="B181" s="50" t="s">
        <v>67</v>
      </c>
      <c r="C181" s="116" t="s">
        <v>462</v>
      </c>
      <c r="D181" s="116" t="s">
        <v>463</v>
      </c>
      <c r="E181" s="75" t="s">
        <v>68</v>
      </c>
      <c r="F181" s="117" t="s">
        <v>69</v>
      </c>
      <c r="G181" s="59"/>
      <c r="H181" s="9"/>
    </row>
    <row r="182">
      <c r="A182" s="65">
        <v>174.0</v>
      </c>
      <c r="B182" s="50" t="s">
        <v>67</v>
      </c>
      <c r="C182" s="125" t="s">
        <v>464</v>
      </c>
      <c r="D182" s="125" t="s">
        <v>465</v>
      </c>
      <c r="E182" s="75" t="s">
        <v>68</v>
      </c>
      <c r="F182" s="117" t="s">
        <v>69</v>
      </c>
      <c r="G182" s="59"/>
      <c r="H182" s="9"/>
    </row>
    <row r="183">
      <c r="A183" s="65">
        <v>175.0</v>
      </c>
      <c r="B183" s="50" t="s">
        <v>67</v>
      </c>
      <c r="C183" s="116" t="s">
        <v>466</v>
      </c>
      <c r="D183" s="116" t="s">
        <v>467</v>
      </c>
      <c r="E183" s="75" t="s">
        <v>68</v>
      </c>
      <c r="F183" s="117" t="s">
        <v>69</v>
      </c>
      <c r="G183" s="59"/>
      <c r="H183" s="9"/>
    </row>
    <row r="184">
      <c r="A184" s="65">
        <v>176.0</v>
      </c>
      <c r="B184" s="50" t="s">
        <v>67</v>
      </c>
      <c r="C184" s="125" t="s">
        <v>468</v>
      </c>
      <c r="D184" s="125" t="s">
        <v>469</v>
      </c>
      <c r="E184" s="75" t="s">
        <v>68</v>
      </c>
      <c r="F184" s="117" t="s">
        <v>69</v>
      </c>
      <c r="G184" s="59"/>
      <c r="H184" s="9"/>
    </row>
    <row r="185">
      <c r="A185" s="65">
        <v>177.0</v>
      </c>
      <c r="B185" s="50" t="s">
        <v>67</v>
      </c>
      <c r="C185" s="116" t="s">
        <v>470</v>
      </c>
      <c r="D185" s="116" t="s">
        <v>471</v>
      </c>
      <c r="E185" s="75" t="s">
        <v>68</v>
      </c>
      <c r="F185" s="117" t="s">
        <v>69</v>
      </c>
      <c r="G185" s="59"/>
      <c r="H185" s="9"/>
    </row>
    <row r="186">
      <c r="A186" s="65">
        <v>178.0</v>
      </c>
      <c r="B186" s="50" t="s">
        <v>67</v>
      </c>
      <c r="C186" s="125" t="s">
        <v>472</v>
      </c>
      <c r="D186" s="125" t="s">
        <v>473</v>
      </c>
      <c r="E186" s="75" t="s">
        <v>68</v>
      </c>
      <c r="F186" s="117" t="s">
        <v>69</v>
      </c>
      <c r="G186" s="59"/>
      <c r="H186" s="9"/>
    </row>
    <row r="187">
      <c r="A187" s="65">
        <v>179.0</v>
      </c>
      <c r="B187" s="50" t="s">
        <v>67</v>
      </c>
      <c r="C187" s="116" t="s">
        <v>474</v>
      </c>
      <c r="D187" s="116" t="s">
        <v>475</v>
      </c>
      <c r="E187" s="75" t="s">
        <v>68</v>
      </c>
      <c r="F187" s="117" t="s">
        <v>69</v>
      </c>
      <c r="G187" s="59"/>
      <c r="H187" s="9"/>
    </row>
    <row r="188">
      <c r="A188" s="65">
        <v>180.0</v>
      </c>
      <c r="B188" s="50" t="s">
        <v>67</v>
      </c>
      <c r="C188" s="125" t="s">
        <v>476</v>
      </c>
      <c r="D188" s="125" t="s">
        <v>477</v>
      </c>
      <c r="E188" s="75" t="s">
        <v>68</v>
      </c>
      <c r="F188" s="117" t="s">
        <v>69</v>
      </c>
      <c r="G188" s="59"/>
      <c r="H188" s="9"/>
    </row>
    <row r="189">
      <c r="A189" s="65">
        <v>181.0</v>
      </c>
      <c r="B189" s="50" t="s">
        <v>67</v>
      </c>
      <c r="C189" s="116" t="s">
        <v>478</v>
      </c>
      <c r="D189" s="116" t="s">
        <v>479</v>
      </c>
      <c r="E189" s="75" t="s">
        <v>68</v>
      </c>
      <c r="F189" s="117" t="s">
        <v>69</v>
      </c>
      <c r="G189" s="59"/>
      <c r="H189" s="9"/>
    </row>
    <row r="190">
      <c r="A190" s="65">
        <v>182.0</v>
      </c>
      <c r="B190" s="50" t="s">
        <v>67</v>
      </c>
      <c r="C190" s="125" t="s">
        <v>480</v>
      </c>
      <c r="D190" s="125" t="s">
        <v>481</v>
      </c>
      <c r="E190" s="75" t="s">
        <v>68</v>
      </c>
      <c r="F190" s="117" t="s">
        <v>69</v>
      </c>
      <c r="G190" s="59"/>
      <c r="H190" s="9"/>
    </row>
    <row r="191">
      <c r="A191" s="65">
        <v>183.0</v>
      </c>
      <c r="B191" s="50" t="s">
        <v>67</v>
      </c>
      <c r="C191" s="116" t="s">
        <v>482</v>
      </c>
      <c r="D191" s="116" t="s">
        <v>483</v>
      </c>
      <c r="E191" s="75" t="s">
        <v>68</v>
      </c>
      <c r="F191" s="117" t="s">
        <v>69</v>
      </c>
      <c r="G191" s="59"/>
      <c r="H191" s="9"/>
    </row>
    <row r="192">
      <c r="A192" s="65">
        <v>184.0</v>
      </c>
      <c r="B192" s="50" t="s">
        <v>67</v>
      </c>
      <c r="C192" s="125" t="s">
        <v>484</v>
      </c>
      <c r="D192" s="125" t="s">
        <v>485</v>
      </c>
      <c r="E192" s="75" t="s">
        <v>68</v>
      </c>
      <c r="F192" s="117" t="s">
        <v>69</v>
      </c>
      <c r="G192" s="59"/>
      <c r="H192" s="9"/>
    </row>
    <row r="193">
      <c r="A193" s="65">
        <v>185.0</v>
      </c>
      <c r="B193" s="50" t="s">
        <v>67</v>
      </c>
      <c r="C193" s="116" t="s">
        <v>486</v>
      </c>
      <c r="D193" s="116" t="s">
        <v>487</v>
      </c>
      <c r="E193" s="75" t="s">
        <v>68</v>
      </c>
      <c r="F193" s="117" t="s">
        <v>69</v>
      </c>
      <c r="G193" s="59"/>
      <c r="H193" s="9"/>
    </row>
    <row r="194">
      <c r="A194" s="65">
        <v>186.0</v>
      </c>
      <c r="B194" s="50" t="s">
        <v>67</v>
      </c>
      <c r="C194" s="125" t="s">
        <v>488</v>
      </c>
      <c r="D194" s="125" t="s">
        <v>489</v>
      </c>
      <c r="E194" s="75" t="s">
        <v>68</v>
      </c>
      <c r="F194" s="117" t="s">
        <v>69</v>
      </c>
      <c r="G194" s="59"/>
      <c r="H194" s="9"/>
    </row>
    <row r="195">
      <c r="A195" s="65">
        <v>187.0</v>
      </c>
      <c r="B195" s="50" t="s">
        <v>67</v>
      </c>
      <c r="C195" s="116" t="s">
        <v>490</v>
      </c>
      <c r="D195" s="116" t="s">
        <v>491</v>
      </c>
      <c r="E195" s="75" t="s">
        <v>68</v>
      </c>
      <c r="F195" s="117" t="s">
        <v>69</v>
      </c>
      <c r="G195" s="59"/>
      <c r="H195" s="9"/>
    </row>
    <row r="196">
      <c r="A196" s="65">
        <v>188.0</v>
      </c>
      <c r="B196" s="50" t="s">
        <v>67</v>
      </c>
      <c r="C196" s="125" t="s">
        <v>492</v>
      </c>
      <c r="D196" s="125" t="s">
        <v>493</v>
      </c>
      <c r="E196" s="75" t="s">
        <v>68</v>
      </c>
      <c r="F196" s="117" t="s">
        <v>69</v>
      </c>
      <c r="G196" s="59"/>
      <c r="H196" s="9"/>
    </row>
    <row r="197">
      <c r="A197" s="65">
        <v>189.0</v>
      </c>
      <c r="B197" s="50" t="s">
        <v>67</v>
      </c>
      <c r="C197" s="116" t="s">
        <v>494</v>
      </c>
      <c r="D197" s="116" t="s">
        <v>495</v>
      </c>
      <c r="E197" s="75" t="s">
        <v>68</v>
      </c>
      <c r="F197" s="117" t="s">
        <v>69</v>
      </c>
      <c r="G197" s="59"/>
      <c r="H197" s="9"/>
    </row>
    <row r="198">
      <c r="A198" s="65">
        <v>190.0</v>
      </c>
      <c r="B198" s="50" t="s">
        <v>67</v>
      </c>
      <c r="C198" s="125" t="s">
        <v>496</v>
      </c>
      <c r="D198" s="125" t="s">
        <v>497</v>
      </c>
      <c r="E198" s="75" t="s">
        <v>68</v>
      </c>
      <c r="F198" s="117" t="s">
        <v>69</v>
      </c>
      <c r="G198" s="59"/>
      <c r="H198" s="9"/>
    </row>
    <row r="199">
      <c r="A199" s="65">
        <v>191.0</v>
      </c>
      <c r="B199" s="50" t="s">
        <v>67</v>
      </c>
      <c r="C199" s="116" t="s">
        <v>498</v>
      </c>
      <c r="D199" s="116" t="s">
        <v>499</v>
      </c>
      <c r="E199" s="75" t="s">
        <v>68</v>
      </c>
      <c r="F199" s="117" t="s">
        <v>69</v>
      </c>
      <c r="G199" s="59"/>
      <c r="H199" s="9"/>
    </row>
    <row r="200">
      <c r="A200" s="65">
        <v>192.0</v>
      </c>
      <c r="B200" s="50" t="s">
        <v>67</v>
      </c>
      <c r="C200" s="125" t="s">
        <v>500</v>
      </c>
      <c r="D200" s="125" t="s">
        <v>501</v>
      </c>
      <c r="E200" s="75" t="s">
        <v>68</v>
      </c>
      <c r="F200" s="117" t="s">
        <v>69</v>
      </c>
      <c r="G200" s="59"/>
      <c r="H200" s="9"/>
    </row>
    <row r="201">
      <c r="A201" s="65">
        <v>193.0</v>
      </c>
      <c r="B201" s="50" t="s">
        <v>67</v>
      </c>
      <c r="C201" s="116" t="s">
        <v>502</v>
      </c>
      <c r="D201" s="116" t="s">
        <v>503</v>
      </c>
      <c r="E201" s="75" t="s">
        <v>68</v>
      </c>
      <c r="F201" s="117" t="s">
        <v>69</v>
      </c>
      <c r="G201" s="59"/>
      <c r="H201" s="9"/>
    </row>
    <row r="202">
      <c r="A202" s="65">
        <v>194.0</v>
      </c>
      <c r="B202" s="50" t="s">
        <v>67</v>
      </c>
      <c r="C202" s="125" t="s">
        <v>504</v>
      </c>
      <c r="D202" s="125" t="s">
        <v>505</v>
      </c>
      <c r="E202" s="75" t="s">
        <v>68</v>
      </c>
      <c r="F202" s="117" t="s">
        <v>69</v>
      </c>
      <c r="G202" s="59"/>
      <c r="H202" s="9"/>
    </row>
    <row r="203">
      <c r="A203" s="127">
        <v>195.0</v>
      </c>
      <c r="B203" s="128" t="s">
        <v>67</v>
      </c>
      <c r="C203" s="129" t="s">
        <v>506</v>
      </c>
      <c r="D203" s="129" t="s">
        <v>507</v>
      </c>
      <c r="E203" s="130" t="s">
        <v>68</v>
      </c>
      <c r="F203" s="131" t="s">
        <v>27</v>
      </c>
      <c r="G203" s="132"/>
      <c r="H203" s="133" t="s">
        <v>291</v>
      </c>
      <c r="I203" s="134"/>
      <c r="J203" s="134"/>
      <c r="K203" s="134"/>
      <c r="L203" s="134"/>
      <c r="M203" s="134"/>
      <c r="N203" s="134"/>
      <c r="O203" s="134"/>
      <c r="P203" s="134"/>
      <c r="Q203" s="134"/>
      <c r="R203" s="134"/>
      <c r="S203" s="134"/>
    </row>
    <row r="204">
      <c r="A204" s="65">
        <v>196.0</v>
      </c>
      <c r="B204" s="50" t="s">
        <v>67</v>
      </c>
      <c r="C204" s="125" t="s">
        <v>508</v>
      </c>
      <c r="D204" s="125" t="s">
        <v>509</v>
      </c>
      <c r="E204" s="75" t="s">
        <v>68</v>
      </c>
      <c r="F204" s="117" t="s">
        <v>69</v>
      </c>
      <c r="G204" s="59"/>
      <c r="H204" s="9"/>
    </row>
    <row r="205">
      <c r="A205" s="65">
        <v>197.0</v>
      </c>
      <c r="B205" s="50" t="s">
        <v>67</v>
      </c>
      <c r="C205" s="116" t="s">
        <v>510</v>
      </c>
      <c r="D205" s="116" t="s">
        <v>511</v>
      </c>
      <c r="E205" s="75" t="s">
        <v>68</v>
      </c>
      <c r="F205" s="117" t="s">
        <v>69</v>
      </c>
      <c r="G205" s="59"/>
      <c r="H205" s="9"/>
    </row>
    <row r="206">
      <c r="A206" s="65">
        <v>198.0</v>
      </c>
      <c r="B206" s="50" t="s">
        <v>67</v>
      </c>
      <c r="C206" s="125" t="s">
        <v>512</v>
      </c>
      <c r="D206" s="125" t="s">
        <v>513</v>
      </c>
      <c r="E206" s="75" t="s">
        <v>68</v>
      </c>
      <c r="F206" s="117" t="s">
        <v>69</v>
      </c>
      <c r="G206" s="59"/>
      <c r="H206" s="9"/>
    </row>
    <row r="207">
      <c r="A207" s="65">
        <v>199.0</v>
      </c>
      <c r="B207" s="50" t="s">
        <v>67</v>
      </c>
      <c r="C207" s="116" t="s">
        <v>514</v>
      </c>
      <c r="D207" s="116" t="s">
        <v>515</v>
      </c>
      <c r="E207" s="75" t="s">
        <v>68</v>
      </c>
      <c r="F207" s="117" t="s">
        <v>69</v>
      </c>
      <c r="G207" s="59"/>
      <c r="H207" s="9"/>
    </row>
    <row r="208">
      <c r="A208" s="65">
        <v>200.0</v>
      </c>
      <c r="B208" s="50" t="s">
        <v>67</v>
      </c>
      <c r="C208" s="125" t="s">
        <v>516</v>
      </c>
      <c r="D208" s="125" t="s">
        <v>517</v>
      </c>
      <c r="E208" s="75" t="s">
        <v>68</v>
      </c>
      <c r="F208" s="117" t="s">
        <v>69</v>
      </c>
      <c r="G208" s="59"/>
      <c r="H208" s="9"/>
    </row>
    <row r="209">
      <c r="A209" s="9"/>
      <c r="B209" s="9"/>
      <c r="C209" s="9"/>
      <c r="D209" s="9"/>
      <c r="E209" s="9"/>
      <c r="F209" s="9"/>
      <c r="G209" s="59"/>
      <c r="H209" s="9"/>
    </row>
    <row r="210">
      <c r="A210" s="9"/>
      <c r="B210" s="9"/>
      <c r="C210" s="9"/>
      <c r="D210" s="9"/>
      <c r="E210" s="9"/>
      <c r="F210" s="9"/>
      <c r="G210" s="59"/>
      <c r="H210" s="9"/>
    </row>
    <row r="211">
      <c r="A211" s="9"/>
      <c r="B211" s="9"/>
      <c r="C211" s="9"/>
      <c r="D211" s="9"/>
      <c r="E211" s="9"/>
      <c r="F211" s="9"/>
      <c r="G211" s="59"/>
      <c r="H211" s="9"/>
    </row>
    <row r="212">
      <c r="A212" s="9"/>
      <c r="B212" s="9"/>
      <c r="C212" s="9"/>
      <c r="D212" s="9"/>
      <c r="E212" s="9"/>
      <c r="F212" s="9"/>
      <c r="G212" s="59"/>
      <c r="H212" s="9"/>
    </row>
    <row r="213">
      <c r="A213" s="9"/>
      <c r="B213" s="9"/>
      <c r="C213" s="9"/>
      <c r="D213" s="9"/>
      <c r="E213" s="9"/>
      <c r="F213" s="9"/>
      <c r="G213" s="59"/>
      <c r="H213" s="9"/>
    </row>
    <row r="214">
      <c r="A214" s="9"/>
      <c r="B214" s="9"/>
      <c r="C214" s="9"/>
      <c r="D214" s="9"/>
      <c r="E214" s="9"/>
      <c r="F214" s="9"/>
      <c r="G214" s="59"/>
      <c r="H214" s="9"/>
    </row>
    <row r="215">
      <c r="A215" s="9"/>
      <c r="B215" s="9"/>
      <c r="C215" s="9"/>
      <c r="D215" s="9"/>
      <c r="E215" s="9"/>
      <c r="F215" s="9"/>
      <c r="G215" s="59"/>
      <c r="H215" s="9"/>
    </row>
    <row r="216">
      <c r="A216" s="9"/>
      <c r="B216" s="9"/>
      <c r="C216" s="9"/>
      <c r="D216" s="9"/>
      <c r="E216" s="9"/>
      <c r="F216" s="9"/>
      <c r="G216" s="59"/>
      <c r="H216" s="9"/>
    </row>
    <row r="217">
      <c r="A217" s="9"/>
      <c r="B217" s="9"/>
      <c r="C217" s="9"/>
      <c r="D217" s="9"/>
      <c r="E217" s="9"/>
      <c r="F217" s="9"/>
      <c r="G217" s="59"/>
      <c r="H217" s="9"/>
    </row>
    <row r="218">
      <c r="A218" s="9"/>
      <c r="B218" s="9"/>
      <c r="C218" s="9"/>
      <c r="D218" s="9"/>
      <c r="E218" s="9"/>
      <c r="F218" s="9"/>
      <c r="G218" s="59"/>
      <c r="H218" s="9"/>
    </row>
    <row r="219">
      <c r="A219" s="9"/>
      <c r="B219" s="9"/>
      <c r="C219" s="9"/>
      <c r="D219" s="9"/>
      <c r="E219" s="9"/>
      <c r="F219" s="9"/>
      <c r="G219" s="59"/>
      <c r="H219" s="9"/>
    </row>
    <row r="220">
      <c r="A220" s="9"/>
      <c r="B220" s="9"/>
      <c r="C220" s="9"/>
      <c r="D220" s="9"/>
      <c r="E220" s="9"/>
      <c r="F220" s="9"/>
      <c r="G220" s="59"/>
      <c r="H220" s="9"/>
    </row>
    <row r="221">
      <c r="A221" s="9"/>
      <c r="B221" s="9"/>
      <c r="C221" s="9"/>
      <c r="D221" s="9"/>
      <c r="E221" s="9"/>
      <c r="F221" s="9"/>
      <c r="G221" s="59"/>
      <c r="H221" s="9"/>
    </row>
    <row r="222">
      <c r="A222" s="9"/>
      <c r="B222" s="9"/>
      <c r="C222" s="9"/>
      <c r="D222" s="9"/>
      <c r="E222" s="9"/>
      <c r="F222" s="9"/>
      <c r="G222" s="59"/>
      <c r="H222" s="9"/>
    </row>
    <row r="223">
      <c r="A223" s="9"/>
      <c r="B223" s="9"/>
      <c r="C223" s="9"/>
      <c r="D223" s="9"/>
      <c r="E223" s="9"/>
      <c r="F223" s="9"/>
      <c r="G223" s="59"/>
      <c r="H223" s="9"/>
    </row>
    <row r="224">
      <c r="A224" s="9"/>
      <c r="B224" s="9"/>
      <c r="C224" s="9"/>
      <c r="D224" s="9"/>
      <c r="E224" s="9"/>
      <c r="F224" s="9"/>
      <c r="G224" s="59"/>
      <c r="H224" s="9"/>
    </row>
    <row r="225">
      <c r="A225" s="9"/>
      <c r="B225" s="9"/>
      <c r="C225" s="9"/>
      <c r="D225" s="9"/>
      <c r="E225" s="9"/>
      <c r="F225" s="9"/>
      <c r="G225" s="59"/>
      <c r="H225" s="9"/>
    </row>
    <row r="226">
      <c r="A226" s="9"/>
      <c r="B226" s="9"/>
      <c r="C226" s="9"/>
      <c r="D226" s="9"/>
      <c r="E226" s="9"/>
      <c r="F226" s="9"/>
      <c r="G226" s="59"/>
      <c r="H226" s="9"/>
    </row>
    <row r="227">
      <c r="A227" s="9"/>
      <c r="B227" s="9"/>
      <c r="C227" s="9"/>
      <c r="D227" s="9"/>
      <c r="E227" s="9"/>
      <c r="F227" s="9"/>
      <c r="G227" s="59"/>
      <c r="H227" s="9"/>
    </row>
    <row r="228">
      <c r="A228" s="9"/>
      <c r="B228" s="9"/>
      <c r="C228" s="9"/>
      <c r="D228" s="9"/>
      <c r="E228" s="9"/>
      <c r="F228" s="9"/>
      <c r="G228" s="59"/>
      <c r="H228" s="9"/>
    </row>
    <row r="229">
      <c r="A229" s="9"/>
      <c r="B229" s="9"/>
      <c r="C229" s="9"/>
      <c r="D229" s="9"/>
      <c r="E229" s="9"/>
      <c r="F229" s="9"/>
      <c r="G229" s="59"/>
      <c r="H229" s="9"/>
    </row>
    <row r="230">
      <c r="A230" s="9"/>
      <c r="B230" s="9"/>
      <c r="C230" s="9"/>
      <c r="D230" s="9"/>
      <c r="E230" s="9"/>
      <c r="F230" s="9"/>
      <c r="G230" s="59"/>
      <c r="H230" s="9"/>
    </row>
    <row r="231">
      <c r="A231" s="9"/>
      <c r="B231" s="9"/>
      <c r="C231" s="9"/>
      <c r="D231" s="9"/>
      <c r="E231" s="9"/>
      <c r="F231" s="9"/>
      <c r="G231" s="59"/>
      <c r="H231" s="9"/>
    </row>
    <row r="232">
      <c r="A232" s="9"/>
      <c r="B232" s="9"/>
      <c r="C232" s="9"/>
      <c r="D232" s="9"/>
      <c r="E232" s="9"/>
      <c r="F232" s="9"/>
      <c r="G232" s="59"/>
      <c r="H232" s="9"/>
    </row>
    <row r="233">
      <c r="A233" s="9"/>
      <c r="B233" s="9"/>
      <c r="C233" s="9"/>
      <c r="D233" s="9"/>
      <c r="E233" s="9"/>
      <c r="F233" s="9"/>
      <c r="G233" s="59"/>
      <c r="H233" s="9"/>
    </row>
    <row r="234">
      <c r="A234" s="9"/>
      <c r="B234" s="9"/>
      <c r="C234" s="9"/>
      <c r="D234" s="9"/>
      <c r="E234" s="9"/>
      <c r="F234" s="9"/>
      <c r="G234" s="59"/>
      <c r="H234" s="9"/>
    </row>
    <row r="235">
      <c r="A235" s="9"/>
      <c r="B235" s="9"/>
      <c r="C235" s="9"/>
      <c r="D235" s="9"/>
      <c r="E235" s="9"/>
      <c r="F235" s="9"/>
      <c r="G235" s="59"/>
      <c r="H235" s="9"/>
    </row>
    <row r="236">
      <c r="A236" s="9"/>
      <c r="B236" s="9"/>
      <c r="C236" s="9"/>
      <c r="D236" s="9"/>
      <c r="E236" s="9"/>
      <c r="F236" s="9"/>
      <c r="G236" s="59"/>
      <c r="H236" s="9"/>
    </row>
    <row r="237">
      <c r="A237" s="9"/>
      <c r="B237" s="9"/>
      <c r="C237" s="9"/>
      <c r="D237" s="9"/>
      <c r="E237" s="9"/>
      <c r="F237" s="9"/>
      <c r="G237" s="59"/>
      <c r="H237" s="9"/>
    </row>
    <row r="238">
      <c r="A238" s="9"/>
      <c r="B238" s="9"/>
      <c r="C238" s="9"/>
      <c r="D238" s="9"/>
      <c r="E238" s="9"/>
      <c r="F238" s="9"/>
      <c r="G238" s="59"/>
      <c r="H238" s="9"/>
    </row>
    <row r="239">
      <c r="A239" s="9"/>
      <c r="B239" s="9"/>
      <c r="C239" s="9"/>
      <c r="D239" s="9"/>
      <c r="E239" s="9"/>
      <c r="F239" s="9"/>
      <c r="G239" s="59"/>
      <c r="H239" s="9"/>
    </row>
    <row r="240">
      <c r="A240" s="9"/>
      <c r="B240" s="9"/>
      <c r="C240" s="9"/>
      <c r="D240" s="9"/>
      <c r="E240" s="9"/>
      <c r="F240" s="9"/>
      <c r="G240" s="59"/>
      <c r="H240" s="9"/>
    </row>
    <row r="241">
      <c r="A241" s="9"/>
      <c r="B241" s="9"/>
      <c r="C241" s="9"/>
      <c r="D241" s="9"/>
      <c r="E241" s="9"/>
      <c r="F241" s="9"/>
      <c r="G241" s="59"/>
      <c r="H241" s="9"/>
    </row>
    <row r="242">
      <c r="A242" s="9"/>
      <c r="B242" s="9"/>
      <c r="C242" s="9"/>
      <c r="D242" s="9"/>
      <c r="E242" s="9"/>
      <c r="F242" s="9"/>
      <c r="G242" s="59"/>
      <c r="H242" s="9"/>
    </row>
    <row r="243">
      <c r="A243" s="9"/>
      <c r="B243" s="9"/>
      <c r="C243" s="9"/>
      <c r="D243" s="9"/>
      <c r="E243" s="9"/>
      <c r="F243" s="9"/>
      <c r="G243" s="59"/>
      <c r="H243" s="9"/>
    </row>
    <row r="244">
      <c r="A244" s="9"/>
      <c r="B244" s="9"/>
      <c r="C244" s="9"/>
      <c r="D244" s="9"/>
      <c r="E244" s="9"/>
      <c r="F244" s="9"/>
      <c r="G244" s="59"/>
      <c r="H244" s="9"/>
    </row>
    <row r="245">
      <c r="A245" s="9"/>
      <c r="B245" s="9"/>
      <c r="C245" s="9"/>
      <c r="D245" s="9"/>
      <c r="E245" s="9"/>
      <c r="F245" s="9"/>
      <c r="G245" s="59"/>
      <c r="H245" s="9"/>
    </row>
    <row r="246">
      <c r="A246" s="9"/>
      <c r="B246" s="9"/>
      <c r="C246" s="9"/>
      <c r="D246" s="9"/>
      <c r="E246" s="9"/>
      <c r="F246" s="9"/>
      <c r="G246" s="59"/>
      <c r="H246" s="9"/>
    </row>
    <row r="247">
      <c r="A247" s="9"/>
      <c r="B247" s="9"/>
      <c r="C247" s="9"/>
      <c r="D247" s="9"/>
      <c r="E247" s="9"/>
      <c r="F247" s="9"/>
      <c r="G247" s="59"/>
      <c r="H247" s="9"/>
    </row>
    <row r="248">
      <c r="A248" s="9"/>
      <c r="B248" s="9"/>
      <c r="C248" s="9"/>
      <c r="D248" s="9"/>
      <c r="E248" s="9"/>
      <c r="F248" s="9"/>
      <c r="G248" s="59"/>
      <c r="H248" s="9"/>
    </row>
    <row r="249">
      <c r="A249" s="9"/>
      <c r="B249" s="9"/>
      <c r="C249" s="9"/>
      <c r="D249" s="9"/>
      <c r="E249" s="9"/>
      <c r="F249" s="9"/>
      <c r="G249" s="59"/>
      <c r="H249" s="9"/>
    </row>
    <row r="250">
      <c r="A250" s="9"/>
      <c r="B250" s="9"/>
      <c r="C250" s="9"/>
      <c r="D250" s="9"/>
      <c r="E250" s="9"/>
      <c r="F250" s="9"/>
      <c r="G250" s="59"/>
      <c r="H250" s="9"/>
    </row>
    <row r="251">
      <c r="A251" s="9"/>
      <c r="B251" s="9"/>
      <c r="C251" s="9"/>
      <c r="D251" s="9"/>
      <c r="E251" s="9"/>
      <c r="F251" s="9"/>
      <c r="G251" s="59"/>
      <c r="H251" s="9"/>
    </row>
    <row r="252">
      <c r="A252" s="9"/>
      <c r="B252" s="9"/>
      <c r="C252" s="9"/>
      <c r="D252" s="9"/>
      <c r="E252" s="9"/>
      <c r="F252" s="9"/>
      <c r="G252" s="59"/>
      <c r="H252" s="9"/>
    </row>
    <row r="253">
      <c r="A253" s="9"/>
      <c r="B253" s="9"/>
      <c r="C253" s="9"/>
      <c r="D253" s="9"/>
      <c r="E253" s="9"/>
      <c r="F253" s="9"/>
      <c r="G253" s="59"/>
      <c r="H253" s="9"/>
    </row>
    <row r="254">
      <c r="A254" s="9"/>
      <c r="B254" s="9"/>
      <c r="C254" s="9"/>
      <c r="D254" s="9"/>
      <c r="E254" s="9"/>
      <c r="F254" s="9"/>
      <c r="G254" s="59"/>
      <c r="H254" s="9"/>
    </row>
    <row r="255">
      <c r="A255" s="9"/>
      <c r="B255" s="9"/>
      <c r="C255" s="9"/>
      <c r="D255" s="9"/>
      <c r="E255" s="9"/>
      <c r="F255" s="9"/>
      <c r="G255" s="59"/>
      <c r="H255" s="9"/>
    </row>
    <row r="256">
      <c r="A256" s="9"/>
      <c r="B256" s="9"/>
      <c r="C256" s="9"/>
      <c r="D256" s="9"/>
      <c r="E256" s="9"/>
      <c r="F256" s="9"/>
      <c r="G256" s="59"/>
      <c r="H256" s="9"/>
    </row>
    <row r="257">
      <c r="A257" s="9"/>
      <c r="B257" s="9"/>
      <c r="C257" s="9"/>
      <c r="D257" s="9"/>
      <c r="E257" s="9"/>
      <c r="F257" s="9"/>
      <c r="G257" s="59"/>
      <c r="H257" s="9"/>
    </row>
    <row r="258">
      <c r="A258" s="9"/>
      <c r="B258" s="9"/>
      <c r="C258" s="9"/>
      <c r="D258" s="9"/>
      <c r="E258" s="9"/>
      <c r="F258" s="9"/>
      <c r="G258" s="59"/>
      <c r="H258" s="9"/>
    </row>
    <row r="259">
      <c r="A259" s="9"/>
      <c r="B259" s="9"/>
      <c r="C259" s="9"/>
      <c r="D259" s="9"/>
      <c r="E259" s="9"/>
      <c r="F259" s="9"/>
      <c r="G259" s="59"/>
      <c r="H259" s="9"/>
    </row>
    <row r="260">
      <c r="A260" s="9"/>
      <c r="B260" s="9"/>
      <c r="C260" s="9"/>
      <c r="D260" s="9"/>
      <c r="E260" s="9"/>
      <c r="F260" s="9"/>
      <c r="G260" s="59"/>
      <c r="H260" s="9"/>
    </row>
    <row r="261">
      <c r="A261" s="9"/>
      <c r="B261" s="9"/>
      <c r="C261" s="9"/>
      <c r="D261" s="9"/>
      <c r="E261" s="9"/>
      <c r="F261" s="9"/>
      <c r="G261" s="59"/>
      <c r="H261" s="9"/>
    </row>
    <row r="262">
      <c r="A262" s="9"/>
      <c r="B262" s="9"/>
      <c r="C262" s="9"/>
      <c r="D262" s="9"/>
      <c r="E262" s="9"/>
      <c r="F262" s="9"/>
      <c r="G262" s="59"/>
      <c r="H262" s="9"/>
    </row>
    <row r="263">
      <c r="A263" s="9"/>
      <c r="B263" s="9"/>
      <c r="C263" s="9"/>
      <c r="D263" s="9"/>
      <c r="E263" s="9"/>
      <c r="F263" s="9"/>
      <c r="G263" s="59"/>
      <c r="H263" s="9"/>
    </row>
    <row r="264">
      <c r="A264" s="9"/>
      <c r="B264" s="9"/>
      <c r="C264" s="9"/>
      <c r="D264" s="9"/>
      <c r="E264" s="9"/>
      <c r="F264" s="9"/>
      <c r="G264" s="59"/>
      <c r="H264" s="9"/>
    </row>
    <row r="265">
      <c r="A265" s="9"/>
      <c r="B265" s="9"/>
      <c r="C265" s="9"/>
      <c r="D265" s="9"/>
      <c r="E265" s="9"/>
      <c r="F265" s="9"/>
      <c r="G265" s="59"/>
      <c r="H265" s="9"/>
    </row>
    <row r="266">
      <c r="A266" s="9"/>
      <c r="B266" s="9"/>
      <c r="C266" s="9"/>
      <c r="D266" s="9"/>
      <c r="E266" s="9"/>
      <c r="F266" s="9"/>
      <c r="G266" s="59"/>
      <c r="H266" s="9"/>
    </row>
    <row r="267">
      <c r="A267" s="9"/>
      <c r="B267" s="9"/>
      <c r="C267" s="9"/>
      <c r="D267" s="9"/>
      <c r="E267" s="9"/>
      <c r="F267" s="9"/>
      <c r="G267" s="59"/>
      <c r="H267" s="9"/>
    </row>
    <row r="268">
      <c r="A268" s="9"/>
      <c r="B268" s="9"/>
      <c r="C268" s="9"/>
      <c r="D268" s="9"/>
      <c r="E268" s="9"/>
      <c r="F268" s="9"/>
      <c r="G268" s="59"/>
      <c r="H268" s="9"/>
    </row>
    <row r="269">
      <c r="A269" s="9"/>
      <c r="B269" s="9"/>
      <c r="C269" s="9"/>
      <c r="D269" s="9"/>
      <c r="E269" s="9"/>
      <c r="F269" s="9"/>
      <c r="G269" s="59"/>
      <c r="H269" s="9"/>
    </row>
    <row r="270">
      <c r="A270" s="9"/>
      <c r="B270" s="9"/>
      <c r="C270" s="9"/>
      <c r="D270" s="9"/>
      <c r="E270" s="9"/>
      <c r="F270" s="9"/>
      <c r="G270" s="59"/>
      <c r="H270" s="9"/>
    </row>
    <row r="271">
      <c r="A271" s="9"/>
      <c r="B271" s="9"/>
      <c r="C271" s="9"/>
      <c r="D271" s="9"/>
      <c r="E271" s="9"/>
      <c r="F271" s="9"/>
      <c r="G271" s="59"/>
      <c r="H271" s="9"/>
    </row>
    <row r="272">
      <c r="A272" s="9"/>
      <c r="B272" s="9"/>
      <c r="C272" s="9"/>
      <c r="D272" s="9"/>
      <c r="E272" s="9"/>
      <c r="F272" s="9"/>
      <c r="G272" s="59"/>
      <c r="H272" s="9"/>
    </row>
    <row r="273">
      <c r="A273" s="9"/>
      <c r="B273" s="9"/>
      <c r="C273" s="9"/>
      <c r="D273" s="9"/>
      <c r="E273" s="9"/>
      <c r="F273" s="9"/>
      <c r="G273" s="59"/>
      <c r="H273" s="9"/>
    </row>
    <row r="274">
      <c r="A274" s="9"/>
      <c r="B274" s="9"/>
      <c r="C274" s="9"/>
      <c r="D274" s="9"/>
      <c r="E274" s="9"/>
      <c r="F274" s="9"/>
      <c r="G274" s="59"/>
      <c r="H274" s="9"/>
    </row>
    <row r="275">
      <c r="A275" s="9"/>
      <c r="B275" s="9"/>
      <c r="C275" s="9"/>
      <c r="D275" s="9"/>
      <c r="E275" s="9"/>
      <c r="F275" s="9"/>
      <c r="G275" s="59"/>
      <c r="H275" s="9"/>
    </row>
    <row r="276">
      <c r="A276" s="9"/>
      <c r="B276" s="9"/>
      <c r="C276" s="9"/>
      <c r="D276" s="9"/>
      <c r="E276" s="9"/>
      <c r="F276" s="9"/>
      <c r="G276" s="59"/>
      <c r="H276" s="9"/>
    </row>
    <row r="277">
      <c r="A277" s="9"/>
      <c r="B277" s="9"/>
      <c r="C277" s="9"/>
      <c r="D277" s="9"/>
      <c r="E277" s="9"/>
      <c r="F277" s="9"/>
      <c r="G277" s="59"/>
      <c r="H277" s="9"/>
    </row>
    <row r="278">
      <c r="A278" s="9"/>
      <c r="B278" s="9"/>
      <c r="C278" s="9"/>
      <c r="D278" s="9"/>
      <c r="E278" s="9"/>
      <c r="F278" s="9"/>
      <c r="G278" s="59"/>
      <c r="H278" s="9"/>
    </row>
    <row r="279">
      <c r="A279" s="9"/>
      <c r="B279" s="9"/>
      <c r="C279" s="9"/>
      <c r="D279" s="9"/>
      <c r="E279" s="9"/>
      <c r="F279" s="9"/>
      <c r="G279" s="59"/>
      <c r="H279" s="9"/>
    </row>
    <row r="280">
      <c r="A280" s="9"/>
      <c r="B280" s="9"/>
      <c r="C280" s="9"/>
      <c r="D280" s="9"/>
      <c r="E280" s="9"/>
      <c r="F280" s="9"/>
      <c r="G280" s="59"/>
      <c r="H280" s="9"/>
    </row>
    <row r="281">
      <c r="A281" s="9"/>
      <c r="B281" s="9"/>
      <c r="C281" s="9"/>
      <c r="D281" s="9"/>
      <c r="E281" s="9"/>
      <c r="F281" s="9"/>
      <c r="G281" s="59"/>
      <c r="H281" s="9"/>
    </row>
    <row r="282">
      <c r="A282" s="9"/>
      <c r="B282" s="9"/>
      <c r="C282" s="9"/>
      <c r="D282" s="9"/>
      <c r="E282" s="9"/>
      <c r="F282" s="9"/>
      <c r="G282" s="59"/>
      <c r="H282" s="9"/>
    </row>
    <row r="283">
      <c r="A283" s="9"/>
      <c r="B283" s="9"/>
      <c r="C283" s="9"/>
      <c r="D283" s="9"/>
      <c r="E283" s="9"/>
      <c r="F283" s="9"/>
      <c r="G283" s="59"/>
      <c r="H283" s="9"/>
    </row>
    <row r="284">
      <c r="A284" s="9"/>
      <c r="B284" s="9"/>
      <c r="C284" s="9"/>
      <c r="D284" s="9"/>
      <c r="E284" s="9"/>
      <c r="F284" s="9"/>
      <c r="G284" s="59"/>
      <c r="H284" s="9"/>
    </row>
    <row r="285">
      <c r="A285" s="9"/>
      <c r="B285" s="9"/>
      <c r="C285" s="9"/>
      <c r="D285" s="9"/>
      <c r="E285" s="9"/>
      <c r="F285" s="9"/>
      <c r="G285" s="59"/>
      <c r="H285" s="9"/>
    </row>
    <row r="286">
      <c r="A286" s="9"/>
      <c r="B286" s="9"/>
      <c r="C286" s="9"/>
      <c r="D286" s="9"/>
      <c r="E286" s="9"/>
      <c r="F286" s="9"/>
      <c r="G286" s="59"/>
      <c r="H286" s="9"/>
    </row>
    <row r="287">
      <c r="A287" s="9"/>
      <c r="B287" s="9"/>
      <c r="C287" s="9"/>
      <c r="D287" s="9"/>
      <c r="E287" s="9"/>
      <c r="F287" s="9"/>
      <c r="G287" s="59"/>
      <c r="H287" s="9"/>
    </row>
    <row r="288">
      <c r="A288" s="9"/>
      <c r="B288" s="9"/>
      <c r="C288" s="9"/>
      <c r="D288" s="9"/>
      <c r="E288" s="9"/>
      <c r="F288" s="9"/>
      <c r="G288" s="59"/>
      <c r="H288" s="9"/>
    </row>
    <row r="289">
      <c r="A289" s="9"/>
      <c r="B289" s="9"/>
      <c r="C289" s="9"/>
      <c r="D289" s="9"/>
      <c r="E289" s="9"/>
      <c r="F289" s="9"/>
      <c r="G289" s="59"/>
      <c r="H289" s="9"/>
    </row>
    <row r="290">
      <c r="A290" s="9"/>
      <c r="B290" s="9"/>
      <c r="C290" s="9"/>
      <c r="D290" s="9"/>
      <c r="E290" s="9"/>
      <c r="F290" s="9"/>
      <c r="G290" s="59"/>
      <c r="H290" s="9"/>
    </row>
    <row r="291">
      <c r="A291" s="9"/>
      <c r="B291" s="9"/>
      <c r="C291" s="9"/>
      <c r="D291" s="9"/>
      <c r="E291" s="9"/>
      <c r="F291" s="9"/>
      <c r="G291" s="59"/>
      <c r="H291" s="9"/>
    </row>
    <row r="292">
      <c r="A292" s="9"/>
      <c r="B292" s="9"/>
      <c r="C292" s="9"/>
      <c r="D292" s="9"/>
      <c r="E292" s="9"/>
      <c r="F292" s="9"/>
      <c r="G292" s="59"/>
      <c r="H292" s="9"/>
    </row>
    <row r="293">
      <c r="A293" s="9"/>
      <c r="B293" s="9"/>
      <c r="C293" s="9"/>
      <c r="D293" s="9"/>
      <c r="E293" s="9"/>
      <c r="F293" s="9"/>
      <c r="G293" s="59"/>
      <c r="H293" s="9"/>
    </row>
    <row r="294">
      <c r="A294" s="9"/>
      <c r="B294" s="9"/>
      <c r="C294" s="9"/>
      <c r="D294" s="9"/>
      <c r="E294" s="9"/>
      <c r="F294" s="9"/>
      <c r="G294" s="59"/>
      <c r="H294" s="9"/>
    </row>
    <row r="295">
      <c r="A295" s="9"/>
      <c r="B295" s="9"/>
      <c r="C295" s="9"/>
      <c r="D295" s="9"/>
      <c r="E295" s="9"/>
      <c r="F295" s="9"/>
      <c r="G295" s="59"/>
      <c r="H295" s="9"/>
    </row>
    <row r="296">
      <c r="A296" s="9"/>
      <c r="B296" s="9"/>
      <c r="C296" s="9"/>
      <c r="D296" s="9"/>
      <c r="E296" s="9"/>
      <c r="F296" s="9"/>
      <c r="G296" s="59"/>
      <c r="H296" s="9"/>
    </row>
    <row r="297">
      <c r="A297" s="9"/>
      <c r="B297" s="9"/>
      <c r="C297" s="9"/>
      <c r="D297" s="9"/>
      <c r="E297" s="9"/>
      <c r="F297" s="9"/>
      <c r="G297" s="59"/>
      <c r="H297" s="9"/>
    </row>
    <row r="298">
      <c r="A298" s="9"/>
      <c r="B298" s="9"/>
      <c r="C298" s="9"/>
      <c r="D298" s="9"/>
      <c r="E298" s="9"/>
      <c r="F298" s="9"/>
      <c r="G298" s="59"/>
      <c r="H298" s="9"/>
    </row>
    <row r="299">
      <c r="A299" s="9"/>
      <c r="B299" s="9"/>
      <c r="C299" s="9"/>
      <c r="D299" s="9"/>
      <c r="E299" s="9"/>
      <c r="F299" s="9"/>
      <c r="G299" s="59"/>
      <c r="H299" s="9"/>
    </row>
    <row r="300">
      <c r="A300" s="9"/>
      <c r="B300" s="9"/>
      <c r="C300" s="9"/>
      <c r="D300" s="9"/>
      <c r="E300" s="9"/>
      <c r="F300" s="9"/>
      <c r="G300" s="59"/>
      <c r="H300" s="9"/>
    </row>
    <row r="301">
      <c r="A301" s="9"/>
      <c r="B301" s="9"/>
      <c r="C301" s="9"/>
      <c r="D301" s="9"/>
      <c r="E301" s="9"/>
      <c r="F301" s="9"/>
      <c r="G301" s="59"/>
      <c r="H301" s="9"/>
    </row>
    <row r="302">
      <c r="A302" s="9"/>
      <c r="B302" s="9"/>
      <c r="C302" s="9"/>
      <c r="D302" s="9"/>
      <c r="E302" s="9"/>
      <c r="F302" s="9"/>
      <c r="G302" s="59"/>
      <c r="H302" s="9"/>
    </row>
    <row r="303">
      <c r="A303" s="9"/>
      <c r="B303" s="9"/>
      <c r="C303" s="9"/>
      <c r="D303" s="9"/>
      <c r="E303" s="9"/>
      <c r="F303" s="9"/>
      <c r="G303" s="59"/>
      <c r="H303" s="9"/>
    </row>
    <row r="304">
      <c r="A304" s="9"/>
      <c r="B304" s="9"/>
      <c r="C304" s="9"/>
      <c r="D304" s="9"/>
      <c r="E304" s="9"/>
      <c r="F304" s="9"/>
      <c r="G304" s="59"/>
      <c r="H304" s="9"/>
    </row>
    <row r="305">
      <c r="A305" s="9"/>
      <c r="B305" s="9"/>
      <c r="C305" s="9"/>
      <c r="D305" s="9"/>
      <c r="E305" s="9"/>
      <c r="F305" s="9"/>
      <c r="G305" s="59"/>
      <c r="H305" s="9"/>
    </row>
    <row r="306">
      <c r="A306" s="9"/>
      <c r="B306" s="9"/>
      <c r="C306" s="9"/>
      <c r="D306" s="9"/>
      <c r="E306" s="9"/>
      <c r="F306" s="9"/>
      <c r="G306" s="59"/>
      <c r="H306" s="9"/>
    </row>
    <row r="307">
      <c r="A307" s="9"/>
      <c r="B307" s="9"/>
      <c r="C307" s="9"/>
      <c r="D307" s="9"/>
      <c r="E307" s="9"/>
      <c r="F307" s="9"/>
      <c r="G307" s="59"/>
      <c r="H307" s="9"/>
    </row>
    <row r="308">
      <c r="A308" s="9"/>
      <c r="B308" s="9"/>
      <c r="C308" s="9"/>
      <c r="D308" s="9"/>
      <c r="E308" s="9"/>
      <c r="F308" s="9"/>
      <c r="G308" s="59"/>
      <c r="H308" s="9"/>
    </row>
    <row r="309">
      <c r="A309" s="9"/>
      <c r="B309" s="9"/>
      <c r="C309" s="9"/>
      <c r="D309" s="9"/>
      <c r="E309" s="9"/>
      <c r="F309" s="9"/>
      <c r="G309" s="59"/>
      <c r="H309" s="9"/>
    </row>
    <row r="310">
      <c r="A310" s="9"/>
      <c r="B310" s="9"/>
      <c r="C310" s="9"/>
      <c r="D310" s="9"/>
      <c r="E310" s="9"/>
      <c r="F310" s="9"/>
      <c r="G310" s="59"/>
      <c r="H310" s="9"/>
    </row>
    <row r="311">
      <c r="A311" s="9"/>
      <c r="B311" s="9"/>
      <c r="C311" s="9"/>
      <c r="D311" s="9"/>
      <c r="E311" s="9"/>
      <c r="F311" s="9"/>
      <c r="G311" s="59"/>
      <c r="H311" s="9"/>
    </row>
    <row r="312">
      <c r="A312" s="9"/>
      <c r="B312" s="9"/>
      <c r="C312" s="9"/>
      <c r="D312" s="9"/>
      <c r="E312" s="9"/>
      <c r="F312" s="9"/>
      <c r="G312" s="59"/>
      <c r="H312" s="9"/>
    </row>
    <row r="313">
      <c r="A313" s="9"/>
      <c r="B313" s="9"/>
      <c r="C313" s="9"/>
      <c r="D313" s="9"/>
      <c r="E313" s="9"/>
      <c r="F313" s="9"/>
      <c r="G313" s="59"/>
      <c r="H313" s="9"/>
    </row>
    <row r="314">
      <c r="A314" s="9"/>
      <c r="B314" s="9"/>
      <c r="C314" s="9"/>
      <c r="D314" s="9"/>
      <c r="E314" s="9"/>
      <c r="F314" s="9"/>
      <c r="G314" s="59"/>
      <c r="H314" s="9"/>
    </row>
    <row r="315">
      <c r="A315" s="9"/>
      <c r="B315" s="9"/>
      <c r="C315" s="9"/>
      <c r="D315" s="9"/>
      <c r="E315" s="9"/>
      <c r="F315" s="9"/>
      <c r="G315" s="59"/>
      <c r="H315" s="9"/>
    </row>
    <row r="316">
      <c r="A316" s="9"/>
      <c r="B316" s="9"/>
      <c r="C316" s="9"/>
      <c r="D316" s="9"/>
      <c r="E316" s="9"/>
      <c r="F316" s="9"/>
      <c r="G316" s="59"/>
      <c r="H316" s="9"/>
    </row>
    <row r="317">
      <c r="A317" s="9"/>
      <c r="B317" s="9"/>
      <c r="C317" s="9"/>
      <c r="D317" s="9"/>
      <c r="E317" s="9"/>
      <c r="F317" s="9"/>
      <c r="G317" s="59"/>
      <c r="H317" s="9"/>
    </row>
    <row r="318">
      <c r="A318" s="9"/>
      <c r="B318" s="9"/>
      <c r="C318" s="9"/>
      <c r="D318" s="9"/>
      <c r="E318" s="9"/>
      <c r="F318" s="9"/>
      <c r="G318" s="59"/>
      <c r="H318" s="9"/>
    </row>
    <row r="319">
      <c r="A319" s="9"/>
      <c r="B319" s="9"/>
      <c r="C319" s="9"/>
      <c r="D319" s="9"/>
      <c r="E319" s="9"/>
      <c r="F319" s="9"/>
      <c r="G319" s="59"/>
      <c r="H319" s="9"/>
    </row>
    <row r="320">
      <c r="A320" s="9"/>
      <c r="B320" s="9"/>
      <c r="C320" s="9"/>
      <c r="D320" s="9"/>
      <c r="E320" s="9"/>
      <c r="F320" s="9"/>
      <c r="G320" s="59"/>
      <c r="H320" s="9"/>
    </row>
    <row r="321">
      <c r="A321" s="9"/>
      <c r="B321" s="9"/>
      <c r="C321" s="9"/>
      <c r="D321" s="9"/>
      <c r="E321" s="9"/>
      <c r="F321" s="9"/>
      <c r="G321" s="59"/>
      <c r="H321" s="9"/>
    </row>
    <row r="322">
      <c r="A322" s="9"/>
      <c r="B322" s="9"/>
      <c r="C322" s="9"/>
      <c r="D322" s="9"/>
      <c r="E322" s="9"/>
      <c r="F322" s="9"/>
      <c r="G322" s="59"/>
      <c r="H322" s="9"/>
    </row>
    <row r="323">
      <c r="A323" s="9"/>
      <c r="B323" s="9"/>
      <c r="C323" s="9"/>
      <c r="D323" s="9"/>
      <c r="E323" s="9"/>
      <c r="F323" s="9"/>
      <c r="G323" s="59"/>
      <c r="H323" s="9"/>
    </row>
    <row r="324">
      <c r="A324" s="9"/>
      <c r="B324" s="9"/>
      <c r="C324" s="9"/>
      <c r="D324" s="9"/>
      <c r="E324" s="9"/>
      <c r="F324" s="9"/>
      <c r="G324" s="59"/>
      <c r="H324" s="9"/>
    </row>
    <row r="325">
      <c r="A325" s="9"/>
      <c r="B325" s="9"/>
      <c r="C325" s="9"/>
      <c r="D325" s="9"/>
      <c r="E325" s="9"/>
      <c r="F325" s="9"/>
      <c r="G325" s="59"/>
      <c r="H325" s="9"/>
    </row>
    <row r="326">
      <c r="A326" s="9"/>
      <c r="B326" s="9"/>
      <c r="C326" s="9"/>
      <c r="D326" s="9"/>
      <c r="E326" s="9"/>
      <c r="F326" s="9"/>
      <c r="G326" s="59"/>
      <c r="H326" s="9"/>
    </row>
    <row r="327">
      <c r="A327" s="9"/>
      <c r="B327" s="9"/>
      <c r="C327" s="9"/>
      <c r="D327" s="9"/>
      <c r="E327" s="9"/>
      <c r="F327" s="9"/>
      <c r="G327" s="59"/>
      <c r="H327" s="9"/>
    </row>
    <row r="328">
      <c r="A328" s="9"/>
      <c r="B328" s="9"/>
      <c r="C328" s="9"/>
      <c r="D328" s="9"/>
      <c r="E328" s="9"/>
      <c r="F328" s="9"/>
      <c r="G328" s="59"/>
      <c r="H328" s="9"/>
    </row>
    <row r="329">
      <c r="A329" s="9"/>
      <c r="B329" s="9"/>
      <c r="C329" s="9"/>
      <c r="D329" s="9"/>
      <c r="E329" s="9"/>
      <c r="F329" s="9"/>
      <c r="G329" s="59"/>
      <c r="H329" s="9"/>
    </row>
    <row r="330">
      <c r="A330" s="9"/>
      <c r="B330" s="9"/>
      <c r="C330" s="9"/>
      <c r="D330" s="9"/>
      <c r="E330" s="9"/>
      <c r="F330" s="9"/>
      <c r="G330" s="59"/>
      <c r="H330" s="9"/>
    </row>
    <row r="331">
      <c r="A331" s="9"/>
      <c r="B331" s="9"/>
      <c r="C331" s="9"/>
      <c r="D331" s="9"/>
      <c r="E331" s="9"/>
      <c r="F331" s="9"/>
      <c r="G331" s="59"/>
      <c r="H331" s="9"/>
    </row>
    <row r="332">
      <c r="A332" s="9"/>
      <c r="B332" s="9"/>
      <c r="C332" s="9"/>
      <c r="D332" s="9"/>
      <c r="E332" s="9"/>
      <c r="F332" s="9"/>
      <c r="G332" s="59"/>
      <c r="H332" s="9"/>
    </row>
    <row r="333">
      <c r="A333" s="9"/>
      <c r="B333" s="9"/>
      <c r="C333" s="9"/>
      <c r="D333" s="9"/>
      <c r="E333" s="9"/>
      <c r="F333" s="9"/>
      <c r="G333" s="59"/>
      <c r="H333" s="9"/>
    </row>
    <row r="334">
      <c r="A334" s="9"/>
      <c r="B334" s="9"/>
      <c r="C334" s="9"/>
      <c r="D334" s="9"/>
      <c r="E334" s="9"/>
      <c r="F334" s="9"/>
      <c r="G334" s="59"/>
      <c r="H334" s="9"/>
    </row>
    <row r="335">
      <c r="A335" s="9"/>
      <c r="B335" s="9"/>
      <c r="C335" s="9"/>
      <c r="D335" s="9"/>
      <c r="E335" s="9"/>
      <c r="F335" s="9"/>
      <c r="G335" s="59"/>
      <c r="H335" s="9"/>
    </row>
    <row r="336">
      <c r="A336" s="9"/>
      <c r="B336" s="9"/>
      <c r="C336" s="9"/>
      <c r="D336" s="9"/>
      <c r="E336" s="9"/>
      <c r="F336" s="9"/>
      <c r="G336" s="59"/>
      <c r="H336" s="9"/>
    </row>
    <row r="337">
      <c r="A337" s="9"/>
      <c r="B337" s="9"/>
      <c r="C337" s="9"/>
      <c r="D337" s="9"/>
      <c r="E337" s="9"/>
      <c r="F337" s="9"/>
      <c r="G337" s="59"/>
      <c r="H337" s="9"/>
    </row>
    <row r="338">
      <c r="A338" s="9"/>
      <c r="B338" s="9"/>
      <c r="C338" s="9"/>
      <c r="D338" s="9"/>
      <c r="E338" s="9"/>
      <c r="F338" s="9"/>
      <c r="G338" s="59"/>
      <c r="H338" s="9"/>
    </row>
    <row r="339">
      <c r="A339" s="9"/>
      <c r="B339" s="9"/>
      <c r="C339" s="9"/>
      <c r="D339" s="9"/>
      <c r="E339" s="9"/>
      <c r="F339" s="9"/>
      <c r="G339" s="59"/>
      <c r="H339" s="9"/>
    </row>
    <row r="340">
      <c r="A340" s="9"/>
      <c r="B340" s="9"/>
      <c r="C340" s="9"/>
      <c r="D340" s="9"/>
      <c r="E340" s="9"/>
      <c r="F340" s="9"/>
      <c r="G340" s="59"/>
      <c r="H340" s="9"/>
    </row>
    <row r="341">
      <c r="A341" s="9"/>
      <c r="B341" s="9"/>
      <c r="C341" s="9"/>
      <c r="D341" s="9"/>
      <c r="E341" s="9"/>
      <c r="F341" s="9"/>
      <c r="G341" s="59"/>
      <c r="H341" s="9"/>
    </row>
    <row r="342">
      <c r="A342" s="9"/>
      <c r="B342" s="9"/>
      <c r="C342" s="9"/>
      <c r="D342" s="9"/>
      <c r="E342" s="9"/>
      <c r="F342" s="9"/>
      <c r="G342" s="59"/>
      <c r="H342" s="9"/>
    </row>
    <row r="343">
      <c r="A343" s="9"/>
      <c r="B343" s="9"/>
      <c r="C343" s="9"/>
      <c r="D343" s="9"/>
      <c r="E343" s="9"/>
      <c r="F343" s="9"/>
      <c r="G343" s="59"/>
      <c r="H343" s="9"/>
    </row>
    <row r="344">
      <c r="A344" s="9"/>
      <c r="B344" s="9"/>
      <c r="C344" s="9"/>
      <c r="D344" s="9"/>
      <c r="E344" s="9"/>
      <c r="F344" s="9"/>
      <c r="G344" s="59"/>
      <c r="H344" s="9"/>
    </row>
    <row r="345">
      <c r="A345" s="9"/>
      <c r="B345" s="9"/>
      <c r="C345" s="9"/>
      <c r="D345" s="9"/>
      <c r="E345" s="9"/>
      <c r="F345" s="9"/>
      <c r="G345" s="59"/>
      <c r="H345" s="9"/>
    </row>
    <row r="346">
      <c r="A346" s="9"/>
      <c r="B346" s="9"/>
      <c r="C346" s="9"/>
      <c r="D346" s="9"/>
      <c r="E346" s="9"/>
      <c r="F346" s="9"/>
      <c r="G346" s="59"/>
      <c r="H346" s="9"/>
    </row>
    <row r="347">
      <c r="A347" s="9"/>
      <c r="B347" s="9"/>
      <c r="C347" s="9"/>
      <c r="D347" s="9"/>
      <c r="E347" s="9"/>
      <c r="F347" s="9"/>
      <c r="G347" s="59"/>
      <c r="H347" s="9"/>
    </row>
    <row r="348">
      <c r="A348" s="9"/>
      <c r="B348" s="9"/>
      <c r="C348" s="9"/>
      <c r="D348" s="9"/>
      <c r="E348" s="9"/>
      <c r="F348" s="9"/>
      <c r="G348" s="59"/>
      <c r="H348" s="9"/>
    </row>
    <row r="349">
      <c r="A349" s="9"/>
      <c r="B349" s="9"/>
      <c r="C349" s="9"/>
      <c r="D349" s="9"/>
      <c r="E349" s="9"/>
      <c r="F349" s="9"/>
      <c r="G349" s="59"/>
      <c r="H349" s="9"/>
    </row>
    <row r="350">
      <c r="A350" s="9"/>
      <c r="B350" s="9"/>
      <c r="C350" s="9"/>
      <c r="D350" s="9"/>
      <c r="E350" s="9"/>
      <c r="F350" s="9"/>
      <c r="G350" s="59"/>
      <c r="H350" s="9"/>
    </row>
    <row r="351">
      <c r="A351" s="9"/>
      <c r="B351" s="9"/>
      <c r="C351" s="9"/>
      <c r="D351" s="9"/>
      <c r="E351" s="9"/>
      <c r="F351" s="9"/>
      <c r="G351" s="59"/>
      <c r="H351" s="9"/>
    </row>
    <row r="352">
      <c r="A352" s="9"/>
      <c r="B352" s="9"/>
      <c r="C352" s="9"/>
      <c r="D352" s="9"/>
      <c r="E352" s="9"/>
      <c r="F352" s="9"/>
      <c r="G352" s="59"/>
      <c r="H352" s="9"/>
    </row>
    <row r="353">
      <c r="A353" s="9"/>
      <c r="B353" s="9"/>
      <c r="C353" s="9"/>
      <c r="D353" s="9"/>
      <c r="E353" s="9"/>
      <c r="F353" s="9"/>
      <c r="G353" s="59"/>
      <c r="H353" s="9"/>
    </row>
    <row r="354">
      <c r="A354" s="9"/>
      <c r="B354" s="9"/>
      <c r="C354" s="9"/>
      <c r="D354" s="9"/>
      <c r="E354" s="9"/>
      <c r="F354" s="9"/>
      <c r="G354" s="59"/>
      <c r="H354" s="9"/>
    </row>
    <row r="355">
      <c r="A355" s="9"/>
      <c r="B355" s="9"/>
      <c r="C355" s="9"/>
      <c r="D355" s="9"/>
      <c r="E355" s="9"/>
      <c r="F355" s="9"/>
      <c r="G355" s="59"/>
      <c r="H355" s="9"/>
    </row>
    <row r="356">
      <c r="A356" s="9"/>
      <c r="B356" s="9"/>
      <c r="C356" s="9"/>
      <c r="D356" s="9"/>
      <c r="E356" s="9"/>
      <c r="F356" s="9"/>
      <c r="G356" s="59"/>
      <c r="H356" s="9"/>
    </row>
    <row r="357">
      <c r="A357" s="9"/>
      <c r="B357" s="9"/>
      <c r="C357" s="9"/>
      <c r="D357" s="9"/>
      <c r="E357" s="9"/>
      <c r="F357" s="9"/>
      <c r="G357" s="59"/>
      <c r="H357" s="9"/>
    </row>
    <row r="358">
      <c r="A358" s="9"/>
      <c r="B358" s="9"/>
      <c r="C358" s="9"/>
      <c r="D358" s="9"/>
      <c r="E358" s="9"/>
      <c r="F358" s="9"/>
      <c r="G358" s="59"/>
      <c r="H358" s="9"/>
    </row>
    <row r="359">
      <c r="A359" s="9"/>
      <c r="B359" s="9"/>
      <c r="C359" s="9"/>
      <c r="D359" s="9"/>
      <c r="E359" s="9"/>
      <c r="F359" s="9"/>
      <c r="G359" s="59"/>
      <c r="H359" s="9"/>
    </row>
    <row r="360">
      <c r="A360" s="9"/>
      <c r="B360" s="9"/>
      <c r="C360" s="9"/>
      <c r="D360" s="9"/>
      <c r="E360" s="9"/>
      <c r="F360" s="9"/>
      <c r="G360" s="59"/>
      <c r="H360" s="9"/>
    </row>
    <row r="361">
      <c r="A361" s="9"/>
      <c r="B361" s="9"/>
      <c r="C361" s="9"/>
      <c r="D361" s="9"/>
      <c r="E361" s="9"/>
      <c r="F361" s="9"/>
      <c r="G361" s="59"/>
      <c r="H361" s="9"/>
    </row>
    <row r="362">
      <c r="A362" s="9"/>
      <c r="B362" s="9"/>
      <c r="C362" s="9"/>
      <c r="D362" s="9"/>
      <c r="E362" s="9"/>
      <c r="F362" s="9"/>
      <c r="G362" s="59"/>
      <c r="H362" s="9"/>
    </row>
    <row r="363">
      <c r="A363" s="9"/>
      <c r="B363" s="9"/>
      <c r="C363" s="9"/>
      <c r="D363" s="9"/>
      <c r="E363" s="9"/>
      <c r="F363" s="9"/>
      <c r="G363" s="59"/>
      <c r="H363" s="9"/>
    </row>
    <row r="364">
      <c r="A364" s="9"/>
      <c r="B364" s="9"/>
      <c r="C364" s="9"/>
      <c r="D364" s="9"/>
      <c r="E364" s="9"/>
      <c r="F364" s="9"/>
      <c r="G364" s="59"/>
      <c r="H364" s="9"/>
    </row>
    <row r="365">
      <c r="A365" s="9"/>
      <c r="B365" s="9"/>
      <c r="C365" s="9"/>
      <c r="D365" s="9"/>
      <c r="E365" s="9"/>
      <c r="F365" s="9"/>
      <c r="G365" s="59"/>
      <c r="H365" s="9"/>
    </row>
    <row r="366">
      <c r="A366" s="9"/>
      <c r="B366" s="9"/>
      <c r="C366" s="9"/>
      <c r="D366" s="9"/>
      <c r="E366" s="9"/>
      <c r="F366" s="9"/>
      <c r="G366" s="59"/>
      <c r="H366" s="9"/>
    </row>
    <row r="367">
      <c r="A367" s="9"/>
      <c r="B367" s="9"/>
      <c r="C367" s="9"/>
      <c r="D367" s="9"/>
      <c r="E367" s="9"/>
      <c r="F367" s="9"/>
      <c r="G367" s="59"/>
      <c r="H367" s="9"/>
    </row>
    <row r="368">
      <c r="A368" s="9"/>
      <c r="B368" s="9"/>
      <c r="C368" s="9"/>
      <c r="D368" s="9"/>
      <c r="E368" s="9"/>
      <c r="F368" s="9"/>
      <c r="G368" s="59"/>
      <c r="H368" s="9"/>
    </row>
    <row r="369">
      <c r="A369" s="9"/>
      <c r="B369" s="9"/>
      <c r="C369" s="9"/>
      <c r="D369" s="9"/>
      <c r="E369" s="9"/>
      <c r="F369" s="9"/>
      <c r="G369" s="59"/>
      <c r="H369" s="9"/>
    </row>
    <row r="370">
      <c r="A370" s="9"/>
      <c r="B370" s="9"/>
      <c r="C370" s="9"/>
      <c r="D370" s="9"/>
      <c r="E370" s="9"/>
      <c r="F370" s="9"/>
      <c r="G370" s="59"/>
      <c r="H370" s="9"/>
    </row>
    <row r="371">
      <c r="A371" s="9"/>
      <c r="B371" s="9"/>
      <c r="C371" s="9"/>
      <c r="D371" s="9"/>
      <c r="E371" s="9"/>
      <c r="F371" s="9"/>
      <c r="G371" s="59"/>
      <c r="H371" s="9"/>
    </row>
    <row r="372">
      <c r="A372" s="9"/>
      <c r="B372" s="9"/>
      <c r="C372" s="9"/>
      <c r="D372" s="9"/>
      <c r="E372" s="9"/>
      <c r="F372" s="9"/>
      <c r="G372" s="59"/>
      <c r="H372" s="9"/>
    </row>
    <row r="373">
      <c r="A373" s="9"/>
      <c r="B373" s="9"/>
      <c r="C373" s="9"/>
      <c r="D373" s="9"/>
      <c r="E373" s="9"/>
      <c r="F373" s="9"/>
      <c r="G373" s="59"/>
      <c r="H373" s="9"/>
    </row>
    <row r="374">
      <c r="A374" s="9"/>
      <c r="B374" s="9"/>
      <c r="C374" s="9"/>
      <c r="D374" s="9"/>
      <c r="E374" s="9"/>
      <c r="F374" s="9"/>
      <c r="G374" s="59"/>
      <c r="H374" s="9"/>
    </row>
    <row r="375">
      <c r="A375" s="9"/>
      <c r="B375" s="9"/>
      <c r="C375" s="9"/>
      <c r="D375" s="9"/>
      <c r="E375" s="9"/>
      <c r="F375" s="9"/>
      <c r="G375" s="59"/>
      <c r="H375" s="9"/>
    </row>
    <row r="376">
      <c r="A376" s="9"/>
      <c r="B376" s="9"/>
      <c r="C376" s="9"/>
      <c r="D376" s="9"/>
      <c r="E376" s="9"/>
      <c r="F376" s="9"/>
      <c r="G376" s="59"/>
      <c r="H376" s="9"/>
    </row>
    <row r="377">
      <c r="A377" s="9"/>
      <c r="B377" s="9"/>
      <c r="C377" s="9"/>
      <c r="D377" s="9"/>
      <c r="E377" s="9"/>
      <c r="F377" s="9"/>
      <c r="G377" s="59"/>
      <c r="H377" s="9"/>
    </row>
    <row r="378">
      <c r="A378" s="9"/>
      <c r="B378" s="9"/>
      <c r="C378" s="9"/>
      <c r="D378" s="9"/>
      <c r="E378" s="9"/>
      <c r="F378" s="9"/>
      <c r="G378" s="59"/>
      <c r="H378" s="9"/>
    </row>
    <row r="379">
      <c r="A379" s="9"/>
      <c r="B379" s="9"/>
      <c r="C379" s="9"/>
      <c r="D379" s="9"/>
      <c r="E379" s="9"/>
      <c r="F379" s="9"/>
      <c r="G379" s="59"/>
      <c r="H379" s="9"/>
    </row>
    <row r="380">
      <c r="A380" s="9"/>
      <c r="B380" s="9"/>
      <c r="C380" s="9"/>
      <c r="D380" s="9"/>
      <c r="E380" s="9"/>
      <c r="F380" s="9"/>
      <c r="G380" s="59"/>
      <c r="H380" s="9"/>
    </row>
    <row r="381">
      <c r="A381" s="9"/>
      <c r="B381" s="9"/>
      <c r="C381" s="9"/>
      <c r="D381" s="9"/>
      <c r="E381" s="9"/>
      <c r="F381" s="9"/>
      <c r="G381" s="59"/>
      <c r="H381" s="9"/>
    </row>
    <row r="382">
      <c r="A382" s="9"/>
      <c r="B382" s="9"/>
      <c r="C382" s="9"/>
      <c r="D382" s="9"/>
      <c r="E382" s="9"/>
      <c r="F382" s="9"/>
      <c r="G382" s="59"/>
      <c r="H382" s="9"/>
    </row>
    <row r="383">
      <c r="A383" s="9"/>
      <c r="B383" s="9"/>
      <c r="C383" s="9"/>
      <c r="D383" s="9"/>
      <c r="E383" s="9"/>
      <c r="F383" s="9"/>
      <c r="G383" s="59"/>
      <c r="H383" s="9"/>
    </row>
    <row r="384">
      <c r="A384" s="9"/>
      <c r="B384" s="9"/>
      <c r="C384" s="9"/>
      <c r="D384" s="9"/>
      <c r="E384" s="9"/>
      <c r="F384" s="9"/>
      <c r="G384" s="59"/>
      <c r="H384" s="9"/>
    </row>
    <row r="385">
      <c r="A385" s="9"/>
      <c r="B385" s="9"/>
      <c r="C385" s="9"/>
      <c r="D385" s="9"/>
      <c r="E385" s="9"/>
      <c r="F385" s="9"/>
      <c r="G385" s="59"/>
      <c r="H385" s="9"/>
    </row>
    <row r="386">
      <c r="A386" s="9"/>
      <c r="B386" s="9"/>
      <c r="C386" s="9"/>
      <c r="D386" s="9"/>
      <c r="E386" s="9"/>
      <c r="F386" s="9"/>
      <c r="G386" s="59"/>
      <c r="H386" s="9"/>
    </row>
    <row r="387">
      <c r="A387" s="9"/>
      <c r="B387" s="9"/>
      <c r="C387" s="9"/>
      <c r="D387" s="9"/>
      <c r="E387" s="9"/>
      <c r="F387" s="9"/>
      <c r="G387" s="59"/>
      <c r="H387" s="9"/>
    </row>
    <row r="388">
      <c r="A388" s="9"/>
      <c r="B388" s="9"/>
      <c r="C388" s="9"/>
      <c r="D388" s="9"/>
      <c r="E388" s="9"/>
      <c r="F388" s="9"/>
      <c r="G388" s="59"/>
      <c r="H388" s="9"/>
    </row>
    <row r="389">
      <c r="A389" s="9"/>
      <c r="B389" s="9"/>
      <c r="C389" s="9"/>
      <c r="D389" s="9"/>
      <c r="E389" s="9"/>
      <c r="F389" s="9"/>
      <c r="G389" s="59"/>
      <c r="H389" s="9"/>
    </row>
    <row r="390">
      <c r="A390" s="9"/>
      <c r="B390" s="9"/>
      <c r="C390" s="9"/>
      <c r="D390" s="9"/>
      <c r="E390" s="9"/>
      <c r="F390" s="9"/>
      <c r="G390" s="59"/>
      <c r="H390" s="9"/>
    </row>
    <row r="391">
      <c r="A391" s="9"/>
      <c r="B391" s="9"/>
      <c r="C391" s="9"/>
      <c r="D391" s="9"/>
      <c r="E391" s="9"/>
      <c r="F391" s="9"/>
      <c r="G391" s="59"/>
      <c r="H391" s="9"/>
    </row>
    <row r="392">
      <c r="A392" s="9"/>
      <c r="B392" s="9"/>
      <c r="C392" s="9"/>
      <c r="D392" s="9"/>
      <c r="E392" s="9"/>
      <c r="F392" s="9"/>
      <c r="G392" s="59"/>
      <c r="H392" s="9"/>
    </row>
    <row r="393">
      <c r="A393" s="9"/>
      <c r="B393" s="9"/>
      <c r="C393" s="9"/>
      <c r="D393" s="9"/>
      <c r="E393" s="9"/>
      <c r="F393" s="9"/>
      <c r="G393" s="59"/>
      <c r="H393" s="9"/>
    </row>
    <row r="394">
      <c r="A394" s="9"/>
      <c r="B394" s="9"/>
      <c r="C394" s="9"/>
      <c r="D394" s="9"/>
      <c r="E394" s="9"/>
      <c r="F394" s="9"/>
      <c r="G394" s="59"/>
      <c r="H394" s="9"/>
    </row>
    <row r="395">
      <c r="A395" s="9"/>
      <c r="B395" s="9"/>
      <c r="C395" s="9"/>
      <c r="D395" s="9"/>
      <c r="E395" s="9"/>
      <c r="F395" s="9"/>
      <c r="G395" s="59"/>
      <c r="H395" s="9"/>
    </row>
    <row r="396">
      <c r="A396" s="9"/>
      <c r="B396" s="9"/>
      <c r="C396" s="9"/>
      <c r="D396" s="9"/>
      <c r="E396" s="9"/>
      <c r="F396" s="9"/>
      <c r="G396" s="59"/>
      <c r="H396" s="9"/>
    </row>
    <row r="397">
      <c r="A397" s="9"/>
      <c r="B397" s="9"/>
      <c r="C397" s="9"/>
      <c r="D397" s="9"/>
      <c r="E397" s="9"/>
      <c r="F397" s="9"/>
      <c r="G397" s="59"/>
      <c r="H397" s="9"/>
    </row>
    <row r="398">
      <c r="A398" s="9"/>
      <c r="B398" s="9"/>
      <c r="C398" s="9"/>
      <c r="D398" s="9"/>
      <c r="E398" s="9"/>
      <c r="F398" s="9"/>
      <c r="G398" s="59"/>
      <c r="H398" s="9"/>
    </row>
    <row r="399">
      <c r="A399" s="9"/>
      <c r="B399" s="9"/>
      <c r="C399" s="9"/>
      <c r="D399" s="9"/>
      <c r="E399" s="9"/>
      <c r="F399" s="9"/>
      <c r="G399" s="59"/>
      <c r="H399" s="9"/>
    </row>
    <row r="400">
      <c r="A400" s="9"/>
      <c r="B400" s="9"/>
      <c r="C400" s="9"/>
      <c r="D400" s="9"/>
      <c r="E400" s="9"/>
      <c r="F400" s="9"/>
      <c r="G400" s="59"/>
      <c r="H400" s="9"/>
    </row>
    <row r="401">
      <c r="A401" s="9"/>
      <c r="B401" s="9"/>
      <c r="C401" s="9"/>
      <c r="D401" s="9"/>
      <c r="E401" s="9"/>
      <c r="F401" s="9"/>
      <c r="G401" s="59"/>
      <c r="H401" s="9"/>
    </row>
    <row r="402">
      <c r="A402" s="9"/>
      <c r="B402" s="9"/>
      <c r="C402" s="9"/>
      <c r="D402" s="9"/>
      <c r="E402" s="9"/>
      <c r="F402" s="9"/>
      <c r="G402" s="59"/>
      <c r="H402" s="9"/>
    </row>
    <row r="403">
      <c r="A403" s="9"/>
      <c r="B403" s="9"/>
      <c r="C403" s="9"/>
      <c r="D403" s="9"/>
      <c r="E403" s="9"/>
      <c r="F403" s="9"/>
      <c r="G403" s="59"/>
      <c r="H403" s="9"/>
    </row>
    <row r="404">
      <c r="A404" s="9"/>
      <c r="B404" s="9"/>
      <c r="C404" s="9"/>
      <c r="D404" s="9"/>
      <c r="E404" s="9"/>
      <c r="F404" s="9"/>
      <c r="G404" s="59"/>
      <c r="H404" s="9"/>
    </row>
    <row r="405">
      <c r="A405" s="9"/>
      <c r="B405" s="9"/>
      <c r="C405" s="9"/>
      <c r="D405" s="9"/>
      <c r="E405" s="9"/>
      <c r="F405" s="9"/>
      <c r="G405" s="59"/>
      <c r="H405" s="9"/>
    </row>
    <row r="406">
      <c r="A406" s="9"/>
      <c r="B406" s="9"/>
      <c r="C406" s="9"/>
      <c r="D406" s="9"/>
      <c r="E406" s="9"/>
      <c r="F406" s="9"/>
      <c r="G406" s="59"/>
      <c r="H406" s="9"/>
    </row>
    <row r="407">
      <c r="A407" s="9"/>
      <c r="B407" s="9"/>
      <c r="C407" s="9"/>
      <c r="D407" s="9"/>
      <c r="E407" s="9"/>
      <c r="F407" s="9"/>
      <c r="G407" s="59"/>
      <c r="H407" s="9"/>
    </row>
    <row r="408">
      <c r="A408" s="9"/>
      <c r="B408" s="9"/>
      <c r="C408" s="9"/>
      <c r="D408" s="9"/>
      <c r="E408" s="9"/>
      <c r="F408" s="9"/>
      <c r="G408" s="59"/>
      <c r="H408" s="9"/>
    </row>
    <row r="409">
      <c r="A409" s="9"/>
      <c r="B409" s="9"/>
      <c r="C409" s="9"/>
      <c r="D409" s="9"/>
      <c r="E409" s="9"/>
      <c r="F409" s="9"/>
      <c r="G409" s="59"/>
      <c r="H409" s="9"/>
    </row>
    <row r="410">
      <c r="A410" s="9"/>
      <c r="B410" s="9"/>
      <c r="C410" s="9"/>
      <c r="D410" s="9"/>
      <c r="E410" s="9"/>
      <c r="F410" s="9"/>
      <c r="G410" s="59"/>
      <c r="H410" s="9"/>
    </row>
    <row r="411">
      <c r="A411" s="9"/>
      <c r="B411" s="9"/>
      <c r="C411" s="9"/>
      <c r="D411" s="9"/>
      <c r="E411" s="9"/>
      <c r="F411" s="9"/>
      <c r="G411" s="59"/>
      <c r="H411" s="9"/>
    </row>
    <row r="412">
      <c r="A412" s="9"/>
      <c r="B412" s="9"/>
      <c r="C412" s="9"/>
      <c r="D412" s="9"/>
      <c r="E412" s="9"/>
      <c r="F412" s="9"/>
      <c r="G412" s="59"/>
      <c r="H412" s="9"/>
    </row>
    <row r="413">
      <c r="A413" s="9"/>
      <c r="B413" s="9"/>
      <c r="C413" s="9"/>
      <c r="D413" s="9"/>
      <c r="E413" s="9"/>
      <c r="F413" s="9"/>
      <c r="G413" s="59"/>
      <c r="H413" s="9"/>
    </row>
    <row r="414">
      <c r="A414" s="9"/>
      <c r="B414" s="9"/>
      <c r="C414" s="9"/>
      <c r="D414" s="9"/>
      <c r="E414" s="9"/>
      <c r="F414" s="9"/>
      <c r="G414" s="59"/>
      <c r="H414" s="9"/>
    </row>
    <row r="415">
      <c r="A415" s="9"/>
      <c r="B415" s="9"/>
      <c r="C415" s="9"/>
      <c r="D415" s="9"/>
      <c r="E415" s="9"/>
      <c r="F415" s="9"/>
      <c r="G415" s="59"/>
      <c r="H415" s="9"/>
    </row>
    <row r="416">
      <c r="A416" s="9"/>
      <c r="B416" s="9"/>
      <c r="C416" s="9"/>
      <c r="D416" s="9"/>
      <c r="E416" s="9"/>
      <c r="F416" s="9"/>
      <c r="G416" s="59"/>
      <c r="H416" s="9"/>
    </row>
    <row r="417">
      <c r="A417" s="9"/>
      <c r="B417" s="9"/>
      <c r="C417" s="9"/>
      <c r="D417" s="9"/>
      <c r="E417" s="9"/>
      <c r="F417" s="9"/>
      <c r="G417" s="59"/>
      <c r="H417" s="9"/>
    </row>
    <row r="418">
      <c r="A418" s="9"/>
      <c r="B418" s="9"/>
      <c r="C418" s="9"/>
      <c r="D418" s="9"/>
      <c r="E418" s="9"/>
      <c r="F418" s="9"/>
      <c r="G418" s="59"/>
      <c r="H418" s="9"/>
    </row>
    <row r="419">
      <c r="A419" s="9"/>
      <c r="B419" s="9"/>
      <c r="C419" s="9"/>
      <c r="D419" s="9"/>
      <c r="E419" s="9"/>
      <c r="F419" s="9"/>
      <c r="G419" s="59"/>
      <c r="H419" s="9"/>
    </row>
    <row r="420">
      <c r="A420" s="9"/>
      <c r="B420" s="9"/>
      <c r="C420" s="9"/>
      <c r="D420" s="9"/>
      <c r="E420" s="9"/>
      <c r="F420" s="9"/>
      <c r="G420" s="59"/>
      <c r="H420" s="9"/>
    </row>
    <row r="421">
      <c r="A421" s="9"/>
      <c r="B421" s="9"/>
      <c r="C421" s="9"/>
      <c r="D421" s="9"/>
      <c r="E421" s="9"/>
      <c r="F421" s="9"/>
      <c r="G421" s="59"/>
      <c r="H421" s="9"/>
    </row>
    <row r="422">
      <c r="A422" s="9"/>
      <c r="B422" s="9"/>
      <c r="C422" s="9"/>
      <c r="D422" s="9"/>
      <c r="E422" s="9"/>
      <c r="F422" s="9"/>
      <c r="G422" s="59"/>
      <c r="H422" s="9"/>
    </row>
    <row r="423">
      <c r="A423" s="9"/>
      <c r="B423" s="9"/>
      <c r="C423" s="9"/>
      <c r="D423" s="9"/>
      <c r="E423" s="9"/>
      <c r="F423" s="9"/>
      <c r="G423" s="59"/>
      <c r="H423" s="9"/>
    </row>
    <row r="424">
      <c r="A424" s="9"/>
      <c r="B424" s="9"/>
      <c r="C424" s="9"/>
      <c r="D424" s="9"/>
      <c r="E424" s="9"/>
      <c r="F424" s="9"/>
      <c r="G424" s="59"/>
      <c r="H424" s="9"/>
    </row>
    <row r="425">
      <c r="A425" s="9"/>
      <c r="B425" s="9"/>
      <c r="C425" s="9"/>
      <c r="D425" s="9"/>
      <c r="E425" s="9"/>
      <c r="F425" s="9"/>
      <c r="G425" s="59"/>
      <c r="H425" s="9"/>
    </row>
    <row r="426">
      <c r="A426" s="9"/>
      <c r="B426" s="9"/>
      <c r="C426" s="9"/>
      <c r="D426" s="9"/>
      <c r="E426" s="9"/>
      <c r="F426" s="9"/>
      <c r="G426" s="59"/>
      <c r="H426" s="9"/>
    </row>
    <row r="427">
      <c r="A427" s="9"/>
      <c r="B427" s="9"/>
      <c r="C427" s="9"/>
      <c r="D427" s="9"/>
      <c r="E427" s="9"/>
      <c r="F427" s="9"/>
      <c r="G427" s="59"/>
      <c r="H427" s="9"/>
    </row>
    <row r="428">
      <c r="A428" s="9"/>
      <c r="B428" s="9"/>
      <c r="C428" s="9"/>
      <c r="D428" s="9"/>
      <c r="E428" s="9"/>
      <c r="F428" s="9"/>
      <c r="G428" s="59"/>
      <c r="H428" s="9"/>
    </row>
    <row r="429">
      <c r="A429" s="9"/>
      <c r="B429" s="9"/>
      <c r="C429" s="9"/>
      <c r="D429" s="9"/>
      <c r="E429" s="9"/>
      <c r="F429" s="9"/>
      <c r="G429" s="59"/>
      <c r="H429" s="9"/>
    </row>
    <row r="430">
      <c r="A430" s="9"/>
      <c r="B430" s="9"/>
      <c r="C430" s="9"/>
      <c r="D430" s="9"/>
      <c r="E430" s="9"/>
      <c r="F430" s="9"/>
      <c r="G430" s="59"/>
      <c r="H430" s="9"/>
    </row>
    <row r="431">
      <c r="A431" s="9"/>
      <c r="B431" s="9"/>
      <c r="C431" s="9"/>
      <c r="D431" s="9"/>
      <c r="E431" s="9"/>
      <c r="F431" s="9"/>
      <c r="G431" s="59"/>
      <c r="H431" s="9"/>
    </row>
    <row r="432">
      <c r="A432" s="9"/>
      <c r="B432" s="9"/>
      <c r="C432" s="9"/>
      <c r="D432" s="9"/>
      <c r="E432" s="9"/>
      <c r="F432" s="9"/>
      <c r="G432" s="59"/>
      <c r="H432" s="9"/>
    </row>
    <row r="433">
      <c r="A433" s="9"/>
      <c r="B433" s="9"/>
      <c r="C433" s="9"/>
      <c r="D433" s="9"/>
      <c r="E433" s="9"/>
      <c r="F433" s="9"/>
      <c r="G433" s="59"/>
      <c r="H433" s="9"/>
    </row>
    <row r="434">
      <c r="A434" s="9"/>
      <c r="B434" s="9"/>
      <c r="C434" s="9"/>
      <c r="D434" s="9"/>
      <c r="E434" s="9"/>
      <c r="F434" s="9"/>
      <c r="G434" s="59"/>
      <c r="H434" s="9"/>
    </row>
    <row r="435">
      <c r="A435" s="9"/>
      <c r="B435" s="9"/>
      <c r="C435" s="9"/>
      <c r="D435" s="9"/>
      <c r="E435" s="9"/>
      <c r="F435" s="9"/>
      <c r="G435" s="59"/>
      <c r="H435" s="9"/>
    </row>
    <row r="436">
      <c r="A436" s="9"/>
      <c r="B436" s="9"/>
      <c r="C436" s="9"/>
      <c r="D436" s="9"/>
      <c r="E436" s="9"/>
      <c r="F436" s="9"/>
      <c r="G436" s="59"/>
      <c r="H436" s="9"/>
    </row>
    <row r="437">
      <c r="A437" s="9"/>
      <c r="B437" s="9"/>
      <c r="C437" s="9"/>
      <c r="D437" s="9"/>
      <c r="E437" s="9"/>
      <c r="F437" s="9"/>
      <c r="G437" s="59"/>
      <c r="H437" s="9"/>
    </row>
    <row r="438">
      <c r="A438" s="9"/>
      <c r="B438" s="9"/>
      <c r="C438" s="9"/>
      <c r="D438" s="9"/>
      <c r="E438" s="9"/>
      <c r="F438" s="9"/>
      <c r="G438" s="59"/>
      <c r="H438" s="9"/>
    </row>
    <row r="439">
      <c r="A439" s="9"/>
      <c r="B439" s="9"/>
      <c r="C439" s="9"/>
      <c r="D439" s="9"/>
      <c r="E439" s="9"/>
      <c r="F439" s="9"/>
      <c r="G439" s="59"/>
      <c r="H439" s="9"/>
    </row>
    <row r="440">
      <c r="A440" s="9"/>
      <c r="B440" s="9"/>
      <c r="C440" s="9"/>
      <c r="D440" s="9"/>
      <c r="E440" s="9"/>
      <c r="F440" s="9"/>
      <c r="G440" s="59"/>
      <c r="H440" s="9"/>
    </row>
    <row r="441">
      <c r="A441" s="9"/>
      <c r="B441" s="9"/>
      <c r="C441" s="9"/>
      <c r="D441" s="9"/>
      <c r="E441" s="9"/>
      <c r="F441" s="9"/>
      <c r="G441" s="59"/>
      <c r="H441" s="9"/>
    </row>
    <row r="442">
      <c r="A442" s="9"/>
      <c r="B442" s="9"/>
      <c r="C442" s="9"/>
      <c r="D442" s="9"/>
      <c r="E442" s="9"/>
      <c r="F442" s="9"/>
      <c r="G442" s="59"/>
      <c r="H442" s="9"/>
    </row>
    <row r="443">
      <c r="A443" s="9"/>
      <c r="B443" s="9"/>
      <c r="C443" s="9"/>
      <c r="D443" s="9"/>
      <c r="E443" s="9"/>
      <c r="F443" s="9"/>
      <c r="G443" s="59"/>
      <c r="H443" s="9"/>
    </row>
    <row r="444">
      <c r="A444" s="9"/>
      <c r="B444" s="9"/>
      <c r="C444" s="9"/>
      <c r="D444" s="9"/>
      <c r="E444" s="9"/>
      <c r="F444" s="9"/>
      <c r="G444" s="59"/>
      <c r="H444" s="9"/>
    </row>
    <row r="445">
      <c r="A445" s="9"/>
      <c r="B445" s="9"/>
      <c r="C445" s="9"/>
      <c r="D445" s="9"/>
      <c r="E445" s="9"/>
      <c r="F445" s="9"/>
      <c r="G445" s="59"/>
      <c r="H445" s="9"/>
    </row>
    <row r="446">
      <c r="A446" s="9"/>
      <c r="B446" s="9"/>
      <c r="C446" s="9"/>
      <c r="D446" s="9"/>
      <c r="E446" s="9"/>
      <c r="F446" s="9"/>
      <c r="G446" s="59"/>
      <c r="H446" s="9"/>
    </row>
    <row r="447">
      <c r="A447" s="9"/>
      <c r="B447" s="9"/>
      <c r="C447" s="9"/>
      <c r="D447" s="9"/>
      <c r="E447" s="9"/>
      <c r="F447" s="9"/>
      <c r="G447" s="59"/>
      <c r="H447" s="9"/>
    </row>
    <row r="448">
      <c r="A448" s="9"/>
      <c r="B448" s="9"/>
      <c r="C448" s="9"/>
      <c r="D448" s="9"/>
      <c r="E448" s="9"/>
      <c r="F448" s="9"/>
      <c r="G448" s="59"/>
      <c r="H448" s="9"/>
    </row>
    <row r="449">
      <c r="A449" s="9"/>
      <c r="B449" s="9"/>
      <c r="C449" s="9"/>
      <c r="D449" s="9"/>
      <c r="E449" s="9"/>
      <c r="F449" s="9"/>
      <c r="G449" s="59"/>
      <c r="H449" s="9"/>
    </row>
    <row r="450">
      <c r="A450" s="9"/>
      <c r="B450" s="9"/>
      <c r="C450" s="9"/>
      <c r="D450" s="9"/>
      <c r="E450" s="9"/>
      <c r="F450" s="9"/>
      <c r="G450" s="59"/>
      <c r="H450" s="9"/>
    </row>
    <row r="451">
      <c r="A451" s="9"/>
      <c r="B451" s="9"/>
      <c r="C451" s="9"/>
      <c r="D451" s="9"/>
      <c r="E451" s="9"/>
      <c r="F451" s="9"/>
      <c r="G451" s="59"/>
      <c r="H451" s="9"/>
    </row>
    <row r="452">
      <c r="A452" s="9"/>
      <c r="B452" s="9"/>
      <c r="C452" s="9"/>
      <c r="D452" s="9"/>
      <c r="E452" s="9"/>
      <c r="F452" s="9"/>
      <c r="G452" s="59"/>
      <c r="H452" s="9"/>
    </row>
    <row r="453">
      <c r="A453" s="9"/>
      <c r="B453" s="9"/>
      <c r="C453" s="9"/>
      <c r="D453" s="9"/>
      <c r="E453" s="9"/>
      <c r="F453" s="9"/>
      <c r="G453" s="59"/>
      <c r="H453" s="9"/>
    </row>
    <row r="454">
      <c r="A454" s="9"/>
      <c r="B454" s="9"/>
      <c r="C454" s="9"/>
      <c r="D454" s="9"/>
      <c r="E454" s="9"/>
      <c r="F454" s="9"/>
      <c r="G454" s="59"/>
      <c r="H454" s="9"/>
    </row>
    <row r="455">
      <c r="A455" s="9"/>
      <c r="B455" s="9"/>
      <c r="C455" s="9"/>
      <c r="D455" s="9"/>
      <c r="E455" s="9"/>
      <c r="F455" s="9"/>
      <c r="G455" s="59"/>
      <c r="H455" s="9"/>
    </row>
    <row r="456">
      <c r="A456" s="9"/>
      <c r="B456" s="9"/>
      <c r="C456" s="9"/>
      <c r="D456" s="9"/>
      <c r="E456" s="9"/>
      <c r="F456" s="9"/>
      <c r="G456" s="59"/>
      <c r="H456" s="9"/>
    </row>
    <row r="457">
      <c r="A457" s="9"/>
      <c r="B457" s="9"/>
      <c r="C457" s="9"/>
      <c r="D457" s="9"/>
      <c r="E457" s="9"/>
      <c r="F457" s="9"/>
      <c r="G457" s="59"/>
      <c r="H457" s="9"/>
    </row>
    <row r="458">
      <c r="A458" s="9"/>
      <c r="B458" s="9"/>
      <c r="C458" s="9"/>
      <c r="D458" s="9"/>
      <c r="E458" s="9"/>
      <c r="F458" s="9"/>
      <c r="G458" s="59"/>
      <c r="H458" s="9"/>
    </row>
    <row r="459">
      <c r="A459" s="9"/>
      <c r="B459" s="9"/>
      <c r="C459" s="9"/>
      <c r="D459" s="9"/>
      <c r="E459" s="9"/>
      <c r="F459" s="9"/>
      <c r="G459" s="59"/>
      <c r="H459" s="9"/>
    </row>
    <row r="460">
      <c r="A460" s="9"/>
      <c r="B460" s="9"/>
      <c r="C460" s="9"/>
      <c r="D460" s="9"/>
      <c r="E460" s="9"/>
      <c r="F460" s="9"/>
      <c r="G460" s="59"/>
      <c r="H460" s="9"/>
    </row>
    <row r="461">
      <c r="A461" s="9"/>
      <c r="B461" s="9"/>
      <c r="C461" s="9"/>
      <c r="D461" s="9"/>
      <c r="E461" s="9"/>
      <c r="F461" s="9"/>
      <c r="G461" s="59"/>
      <c r="H461" s="9"/>
    </row>
    <row r="462">
      <c r="A462" s="9"/>
      <c r="B462" s="9"/>
      <c r="C462" s="9"/>
      <c r="D462" s="9"/>
      <c r="E462" s="9"/>
      <c r="F462" s="9"/>
      <c r="G462" s="59"/>
      <c r="H462" s="9"/>
    </row>
    <row r="463">
      <c r="A463" s="9"/>
      <c r="B463" s="9"/>
      <c r="C463" s="9"/>
      <c r="D463" s="9"/>
      <c r="E463" s="9"/>
      <c r="F463" s="9"/>
      <c r="G463" s="59"/>
      <c r="H463" s="9"/>
    </row>
    <row r="464">
      <c r="A464" s="9"/>
      <c r="B464" s="9"/>
      <c r="C464" s="9"/>
      <c r="D464" s="9"/>
      <c r="E464" s="9"/>
      <c r="F464" s="9"/>
      <c r="G464" s="59"/>
      <c r="H464" s="9"/>
    </row>
    <row r="465">
      <c r="A465" s="9"/>
      <c r="B465" s="9"/>
      <c r="C465" s="9"/>
      <c r="D465" s="9"/>
      <c r="E465" s="9"/>
      <c r="F465" s="9"/>
      <c r="G465" s="59"/>
      <c r="H465" s="9"/>
    </row>
    <row r="466">
      <c r="A466" s="9"/>
      <c r="B466" s="9"/>
      <c r="C466" s="9"/>
      <c r="D466" s="9"/>
      <c r="E466" s="9"/>
      <c r="F466" s="9"/>
      <c r="G466" s="59"/>
      <c r="H466" s="9"/>
    </row>
    <row r="467">
      <c r="A467" s="9"/>
      <c r="B467" s="9"/>
      <c r="C467" s="9"/>
      <c r="D467" s="9"/>
      <c r="E467" s="9"/>
      <c r="F467" s="9"/>
      <c r="G467" s="59"/>
      <c r="H467" s="9"/>
    </row>
    <row r="468">
      <c r="A468" s="9"/>
      <c r="B468" s="9"/>
      <c r="C468" s="9"/>
      <c r="D468" s="9"/>
      <c r="E468" s="9"/>
      <c r="F468" s="9"/>
      <c r="G468" s="59"/>
      <c r="H468" s="9"/>
    </row>
    <row r="469">
      <c r="A469" s="9"/>
      <c r="B469" s="9"/>
      <c r="C469" s="9"/>
      <c r="D469" s="9"/>
      <c r="E469" s="9"/>
      <c r="F469" s="9"/>
      <c r="G469" s="59"/>
      <c r="H469" s="9"/>
    </row>
    <row r="470">
      <c r="A470" s="9"/>
      <c r="B470" s="9"/>
      <c r="C470" s="9"/>
      <c r="D470" s="9"/>
      <c r="E470" s="9"/>
      <c r="F470" s="9"/>
      <c r="G470" s="59"/>
      <c r="H470" s="9"/>
    </row>
    <row r="471">
      <c r="A471" s="9"/>
      <c r="B471" s="9"/>
      <c r="C471" s="9"/>
      <c r="D471" s="9"/>
      <c r="E471" s="9"/>
      <c r="F471" s="9"/>
      <c r="G471" s="59"/>
      <c r="H471" s="9"/>
    </row>
    <row r="472">
      <c r="A472" s="9"/>
      <c r="B472" s="9"/>
      <c r="C472" s="9"/>
      <c r="D472" s="9"/>
      <c r="E472" s="9"/>
      <c r="F472" s="9"/>
      <c r="G472" s="59"/>
      <c r="H472" s="9"/>
    </row>
    <row r="473">
      <c r="A473" s="9"/>
      <c r="B473" s="9"/>
      <c r="C473" s="9"/>
      <c r="D473" s="9"/>
      <c r="E473" s="9"/>
      <c r="F473" s="9"/>
      <c r="G473" s="59"/>
      <c r="H473" s="9"/>
    </row>
    <row r="474">
      <c r="A474" s="9"/>
      <c r="B474" s="9"/>
      <c r="C474" s="9"/>
      <c r="D474" s="9"/>
      <c r="E474" s="9"/>
      <c r="F474" s="9"/>
      <c r="G474" s="59"/>
      <c r="H474" s="9"/>
    </row>
    <row r="475">
      <c r="A475" s="9"/>
      <c r="B475" s="9"/>
      <c r="C475" s="9"/>
      <c r="D475" s="9"/>
      <c r="E475" s="9"/>
      <c r="F475" s="9"/>
      <c r="G475" s="59"/>
      <c r="H475" s="9"/>
    </row>
    <row r="476">
      <c r="A476" s="9"/>
      <c r="B476" s="9"/>
      <c r="C476" s="9"/>
      <c r="D476" s="9"/>
      <c r="E476" s="9"/>
      <c r="F476" s="9"/>
      <c r="G476" s="59"/>
      <c r="H476" s="9"/>
    </row>
    <row r="477">
      <c r="A477" s="9"/>
      <c r="B477" s="9"/>
      <c r="C477" s="9"/>
      <c r="D477" s="9"/>
      <c r="E477" s="9"/>
      <c r="F477" s="9"/>
      <c r="G477" s="59"/>
      <c r="H477" s="9"/>
    </row>
    <row r="478">
      <c r="A478" s="9"/>
      <c r="B478" s="9"/>
      <c r="C478" s="9"/>
      <c r="D478" s="9"/>
      <c r="E478" s="9"/>
      <c r="F478" s="9"/>
      <c r="G478" s="59"/>
      <c r="H478" s="9"/>
    </row>
    <row r="479">
      <c r="A479" s="9"/>
      <c r="B479" s="9"/>
      <c r="C479" s="9"/>
      <c r="D479" s="9"/>
      <c r="E479" s="9"/>
      <c r="F479" s="9"/>
      <c r="G479" s="59"/>
      <c r="H479" s="9"/>
    </row>
    <row r="480">
      <c r="A480" s="9"/>
      <c r="B480" s="9"/>
      <c r="C480" s="9"/>
      <c r="D480" s="9"/>
      <c r="E480" s="9"/>
      <c r="F480" s="9"/>
      <c r="G480" s="59"/>
      <c r="H480" s="9"/>
    </row>
    <row r="481">
      <c r="A481" s="9"/>
      <c r="B481" s="9"/>
      <c r="C481" s="9"/>
      <c r="D481" s="9"/>
      <c r="E481" s="9"/>
      <c r="F481" s="9"/>
      <c r="G481" s="59"/>
      <c r="H481" s="9"/>
    </row>
    <row r="482">
      <c r="A482" s="9"/>
      <c r="B482" s="9"/>
      <c r="C482" s="9"/>
      <c r="D482" s="9"/>
      <c r="E482" s="9"/>
      <c r="F482" s="9"/>
      <c r="G482" s="59"/>
      <c r="H482" s="9"/>
    </row>
    <row r="483">
      <c r="A483" s="9"/>
      <c r="B483" s="9"/>
      <c r="C483" s="9"/>
      <c r="D483" s="9"/>
      <c r="E483" s="9"/>
      <c r="F483" s="9"/>
      <c r="G483" s="59"/>
      <c r="H483" s="9"/>
    </row>
    <row r="484">
      <c r="A484" s="9"/>
      <c r="B484" s="9"/>
      <c r="C484" s="9"/>
      <c r="D484" s="9"/>
      <c r="E484" s="9"/>
      <c r="F484" s="9"/>
      <c r="G484" s="59"/>
      <c r="H484" s="9"/>
    </row>
    <row r="485">
      <c r="A485" s="9"/>
      <c r="B485" s="9"/>
      <c r="C485" s="9"/>
      <c r="D485" s="9"/>
      <c r="E485" s="9"/>
      <c r="F485" s="9"/>
      <c r="G485" s="59"/>
      <c r="H485" s="9"/>
    </row>
    <row r="486">
      <c r="A486" s="9"/>
      <c r="B486" s="9"/>
      <c r="C486" s="9"/>
      <c r="D486" s="9"/>
      <c r="E486" s="9"/>
      <c r="F486" s="9"/>
      <c r="G486" s="59"/>
      <c r="H486" s="9"/>
    </row>
    <row r="487">
      <c r="A487" s="9"/>
      <c r="B487" s="9"/>
      <c r="C487" s="9"/>
      <c r="D487" s="9"/>
      <c r="E487" s="9"/>
      <c r="F487" s="9"/>
      <c r="G487" s="59"/>
      <c r="H487" s="9"/>
    </row>
    <row r="488">
      <c r="A488" s="9"/>
      <c r="B488" s="9"/>
      <c r="C488" s="9"/>
      <c r="D488" s="9"/>
      <c r="E488" s="9"/>
      <c r="F488" s="9"/>
      <c r="G488" s="59"/>
      <c r="H488" s="9"/>
    </row>
    <row r="489">
      <c r="A489" s="9"/>
      <c r="B489" s="9"/>
      <c r="C489" s="9"/>
      <c r="D489" s="9"/>
      <c r="E489" s="9"/>
      <c r="F489" s="9"/>
      <c r="G489" s="59"/>
      <c r="H489" s="9"/>
    </row>
    <row r="490">
      <c r="A490" s="9"/>
      <c r="B490" s="9"/>
      <c r="C490" s="9"/>
      <c r="D490" s="9"/>
      <c r="E490" s="9"/>
      <c r="F490" s="9"/>
      <c r="G490" s="59"/>
      <c r="H490" s="9"/>
    </row>
    <row r="491">
      <c r="A491" s="9"/>
      <c r="B491" s="9"/>
      <c r="C491" s="9"/>
      <c r="D491" s="9"/>
      <c r="E491" s="9"/>
      <c r="F491" s="9"/>
      <c r="G491" s="59"/>
      <c r="H491" s="9"/>
    </row>
    <row r="492">
      <c r="A492" s="9"/>
      <c r="B492" s="9"/>
      <c r="C492" s="9"/>
      <c r="D492" s="9"/>
      <c r="E492" s="9"/>
      <c r="F492" s="9"/>
      <c r="G492" s="59"/>
      <c r="H492" s="9"/>
    </row>
    <row r="493">
      <c r="A493" s="9"/>
      <c r="B493" s="9"/>
      <c r="C493" s="9"/>
      <c r="D493" s="9"/>
      <c r="E493" s="9"/>
      <c r="F493" s="9"/>
      <c r="G493" s="59"/>
      <c r="H493" s="9"/>
    </row>
    <row r="494">
      <c r="A494" s="9"/>
      <c r="B494" s="9"/>
      <c r="C494" s="9"/>
      <c r="D494" s="9"/>
      <c r="E494" s="9"/>
      <c r="F494" s="9"/>
      <c r="G494" s="59"/>
      <c r="H494" s="9"/>
    </row>
    <row r="495">
      <c r="A495" s="9"/>
      <c r="B495" s="9"/>
      <c r="C495" s="9"/>
      <c r="D495" s="9"/>
      <c r="E495" s="9"/>
      <c r="F495" s="9"/>
      <c r="G495" s="59"/>
      <c r="H495" s="9"/>
    </row>
    <row r="496">
      <c r="A496" s="9"/>
      <c r="B496" s="9"/>
      <c r="C496" s="9"/>
      <c r="D496" s="9"/>
      <c r="E496" s="9"/>
      <c r="F496" s="9"/>
      <c r="G496" s="59"/>
      <c r="H496" s="9"/>
    </row>
    <row r="497">
      <c r="A497" s="9"/>
      <c r="B497" s="9"/>
      <c r="C497" s="9"/>
      <c r="D497" s="9"/>
      <c r="E497" s="9"/>
      <c r="F497" s="9"/>
      <c r="G497" s="59"/>
      <c r="H497" s="9"/>
    </row>
    <row r="498">
      <c r="A498" s="9"/>
      <c r="B498" s="9"/>
      <c r="C498" s="9"/>
      <c r="D498" s="9"/>
      <c r="E498" s="9"/>
      <c r="F498" s="9"/>
      <c r="G498" s="59"/>
      <c r="H498" s="9"/>
    </row>
    <row r="499">
      <c r="A499" s="9"/>
      <c r="B499" s="9"/>
      <c r="C499" s="9"/>
      <c r="D499" s="9"/>
      <c r="E499" s="9"/>
      <c r="F499" s="9"/>
      <c r="G499" s="59"/>
      <c r="H499" s="9"/>
    </row>
    <row r="500">
      <c r="A500" s="9"/>
      <c r="B500" s="9"/>
      <c r="C500" s="9"/>
      <c r="D500" s="9"/>
      <c r="E500" s="9"/>
      <c r="F500" s="9"/>
      <c r="G500" s="59"/>
      <c r="H500" s="9"/>
    </row>
    <row r="501">
      <c r="A501" s="9"/>
      <c r="B501" s="9"/>
      <c r="C501" s="9"/>
      <c r="D501" s="9"/>
      <c r="E501" s="9"/>
      <c r="F501" s="9"/>
      <c r="G501" s="59"/>
      <c r="H501" s="9"/>
    </row>
    <row r="502">
      <c r="A502" s="9"/>
      <c r="B502" s="9"/>
      <c r="C502" s="9"/>
      <c r="D502" s="9"/>
      <c r="E502" s="9"/>
      <c r="F502" s="9"/>
      <c r="G502" s="59"/>
      <c r="H502" s="9"/>
    </row>
    <row r="503">
      <c r="A503" s="9"/>
      <c r="B503" s="9"/>
      <c r="C503" s="9"/>
      <c r="D503" s="9"/>
      <c r="E503" s="9"/>
      <c r="F503" s="9"/>
      <c r="G503" s="59"/>
      <c r="H503" s="9"/>
    </row>
    <row r="504">
      <c r="A504" s="9"/>
      <c r="B504" s="9"/>
      <c r="C504" s="9"/>
      <c r="D504" s="9"/>
      <c r="E504" s="9"/>
      <c r="F504" s="9"/>
      <c r="G504" s="59"/>
      <c r="H504" s="9"/>
    </row>
    <row r="505">
      <c r="A505" s="9"/>
      <c r="B505" s="9"/>
      <c r="C505" s="9"/>
      <c r="D505" s="9"/>
      <c r="E505" s="9"/>
      <c r="F505" s="9"/>
      <c r="G505" s="59"/>
      <c r="H505" s="9"/>
    </row>
    <row r="506">
      <c r="A506" s="9"/>
      <c r="B506" s="9"/>
      <c r="C506" s="9"/>
      <c r="D506" s="9"/>
      <c r="E506" s="9"/>
      <c r="F506" s="9"/>
      <c r="G506" s="59"/>
      <c r="H506" s="9"/>
    </row>
    <row r="507">
      <c r="A507" s="9"/>
      <c r="B507" s="9"/>
      <c r="C507" s="9"/>
      <c r="D507" s="9"/>
      <c r="E507" s="9"/>
      <c r="F507" s="9"/>
      <c r="G507" s="59"/>
      <c r="H507" s="9"/>
    </row>
    <row r="508">
      <c r="A508" s="9"/>
      <c r="B508" s="9"/>
      <c r="C508" s="9"/>
      <c r="D508" s="9"/>
      <c r="E508" s="9"/>
      <c r="F508" s="9"/>
      <c r="G508" s="59"/>
      <c r="H508" s="9"/>
    </row>
    <row r="509">
      <c r="A509" s="9"/>
      <c r="B509" s="9"/>
      <c r="C509" s="9"/>
      <c r="D509" s="9"/>
      <c r="E509" s="9"/>
      <c r="F509" s="9"/>
      <c r="G509" s="59"/>
      <c r="H509" s="9"/>
    </row>
    <row r="510">
      <c r="A510" s="9"/>
      <c r="B510" s="9"/>
      <c r="C510" s="9"/>
      <c r="D510" s="9"/>
      <c r="E510" s="9"/>
      <c r="F510" s="9"/>
      <c r="G510" s="59"/>
      <c r="H510" s="9"/>
    </row>
    <row r="511">
      <c r="A511" s="9"/>
      <c r="B511" s="9"/>
      <c r="C511" s="9"/>
      <c r="D511" s="9"/>
      <c r="E511" s="9"/>
      <c r="F511" s="9"/>
      <c r="G511" s="59"/>
      <c r="H511" s="9"/>
    </row>
    <row r="512">
      <c r="A512" s="9"/>
      <c r="B512" s="9"/>
      <c r="C512" s="9"/>
      <c r="D512" s="9"/>
      <c r="E512" s="9"/>
      <c r="F512" s="9"/>
      <c r="G512" s="59"/>
      <c r="H512" s="9"/>
    </row>
    <row r="513">
      <c r="A513" s="9"/>
      <c r="B513" s="9"/>
      <c r="C513" s="9"/>
      <c r="D513" s="9"/>
      <c r="E513" s="9"/>
      <c r="F513" s="9"/>
      <c r="G513" s="59"/>
      <c r="H513" s="9"/>
    </row>
    <row r="514">
      <c r="A514" s="9"/>
      <c r="B514" s="9"/>
      <c r="C514" s="9"/>
      <c r="D514" s="9"/>
      <c r="E514" s="9"/>
      <c r="F514" s="9"/>
      <c r="G514" s="59"/>
      <c r="H514" s="9"/>
    </row>
    <row r="515">
      <c r="A515" s="9"/>
      <c r="B515" s="9"/>
      <c r="C515" s="9"/>
      <c r="D515" s="9"/>
      <c r="E515" s="9"/>
      <c r="F515" s="9"/>
      <c r="G515" s="59"/>
      <c r="H515" s="9"/>
    </row>
    <row r="516">
      <c r="A516" s="9"/>
      <c r="B516" s="9"/>
      <c r="C516" s="9"/>
      <c r="D516" s="9"/>
      <c r="E516" s="9"/>
      <c r="F516" s="9"/>
      <c r="G516" s="59"/>
      <c r="H516" s="9"/>
    </row>
    <row r="517">
      <c r="A517" s="9"/>
      <c r="B517" s="9"/>
      <c r="C517" s="9"/>
      <c r="D517" s="9"/>
      <c r="E517" s="9"/>
      <c r="F517" s="9"/>
      <c r="G517" s="59"/>
      <c r="H517" s="9"/>
    </row>
    <row r="518">
      <c r="A518" s="9"/>
      <c r="B518" s="9"/>
      <c r="C518" s="9"/>
      <c r="D518" s="9"/>
      <c r="E518" s="9"/>
      <c r="F518" s="9"/>
      <c r="G518" s="59"/>
      <c r="H518" s="9"/>
    </row>
    <row r="519">
      <c r="A519" s="9"/>
      <c r="B519" s="9"/>
      <c r="C519" s="9"/>
      <c r="D519" s="9"/>
      <c r="E519" s="9"/>
      <c r="F519" s="9"/>
      <c r="G519" s="59"/>
      <c r="H519" s="9"/>
    </row>
    <row r="520">
      <c r="A520" s="9"/>
      <c r="B520" s="9"/>
      <c r="C520" s="9"/>
      <c r="D520" s="9"/>
      <c r="E520" s="9"/>
      <c r="F520" s="9"/>
      <c r="G520" s="59"/>
      <c r="H520" s="9"/>
    </row>
    <row r="521">
      <c r="A521" s="9"/>
      <c r="B521" s="9"/>
      <c r="C521" s="9"/>
      <c r="D521" s="9"/>
      <c r="E521" s="9"/>
      <c r="F521" s="9"/>
      <c r="G521" s="59"/>
      <c r="H521" s="9"/>
    </row>
    <row r="522">
      <c r="A522" s="9"/>
      <c r="B522" s="9"/>
      <c r="C522" s="9"/>
      <c r="D522" s="9"/>
      <c r="E522" s="9"/>
      <c r="F522" s="9"/>
      <c r="G522" s="59"/>
      <c r="H522" s="9"/>
    </row>
    <row r="523">
      <c r="A523" s="9"/>
      <c r="B523" s="9"/>
      <c r="C523" s="9"/>
      <c r="D523" s="9"/>
      <c r="E523" s="9"/>
      <c r="F523" s="9"/>
      <c r="G523" s="59"/>
      <c r="H523" s="9"/>
    </row>
    <row r="524">
      <c r="A524" s="9"/>
      <c r="B524" s="9"/>
      <c r="C524" s="9"/>
      <c r="D524" s="9"/>
      <c r="E524" s="9"/>
      <c r="F524" s="9"/>
      <c r="G524" s="59"/>
      <c r="H524" s="9"/>
    </row>
    <row r="525">
      <c r="A525" s="9"/>
      <c r="B525" s="9"/>
      <c r="C525" s="9"/>
      <c r="D525" s="9"/>
      <c r="E525" s="9"/>
      <c r="F525" s="9"/>
      <c r="G525" s="59"/>
      <c r="H525" s="9"/>
    </row>
    <row r="526">
      <c r="A526" s="9"/>
      <c r="B526" s="9"/>
      <c r="C526" s="9"/>
      <c r="D526" s="9"/>
      <c r="E526" s="9"/>
      <c r="F526" s="9"/>
      <c r="G526" s="59"/>
      <c r="H526" s="9"/>
    </row>
    <row r="527">
      <c r="A527" s="9"/>
      <c r="B527" s="9"/>
      <c r="C527" s="9"/>
      <c r="D527" s="9"/>
      <c r="E527" s="9"/>
      <c r="F527" s="9"/>
      <c r="G527" s="59"/>
      <c r="H527" s="9"/>
    </row>
    <row r="528">
      <c r="A528" s="9"/>
      <c r="B528" s="9"/>
      <c r="C528" s="9"/>
      <c r="D528" s="9"/>
      <c r="E528" s="9"/>
      <c r="F528" s="9"/>
      <c r="G528" s="59"/>
      <c r="H528" s="9"/>
    </row>
    <row r="529">
      <c r="A529" s="9"/>
      <c r="B529" s="9"/>
      <c r="C529" s="9"/>
      <c r="D529" s="9"/>
      <c r="E529" s="9"/>
      <c r="F529" s="9"/>
      <c r="G529" s="59"/>
      <c r="H529" s="9"/>
    </row>
    <row r="530">
      <c r="A530" s="9"/>
      <c r="B530" s="9"/>
      <c r="C530" s="9"/>
      <c r="D530" s="9"/>
      <c r="E530" s="9"/>
      <c r="F530" s="9"/>
      <c r="G530" s="59"/>
      <c r="H530" s="9"/>
    </row>
    <row r="531">
      <c r="A531" s="9"/>
      <c r="B531" s="9"/>
      <c r="C531" s="9"/>
      <c r="D531" s="9"/>
      <c r="E531" s="9"/>
      <c r="F531" s="9"/>
      <c r="G531" s="59"/>
      <c r="H531" s="9"/>
    </row>
    <row r="532">
      <c r="A532" s="9"/>
      <c r="B532" s="9"/>
      <c r="C532" s="9"/>
      <c r="D532" s="9"/>
      <c r="E532" s="9"/>
      <c r="F532" s="9"/>
      <c r="G532" s="59"/>
      <c r="H532" s="9"/>
    </row>
    <row r="533">
      <c r="A533" s="9"/>
      <c r="B533" s="9"/>
      <c r="C533" s="9"/>
      <c r="D533" s="9"/>
      <c r="E533" s="9"/>
      <c r="F533" s="9"/>
      <c r="G533" s="59"/>
      <c r="H533" s="9"/>
    </row>
    <row r="534">
      <c r="A534" s="9"/>
      <c r="B534" s="9"/>
      <c r="C534" s="9"/>
      <c r="D534" s="9"/>
      <c r="E534" s="9"/>
      <c r="F534" s="9"/>
      <c r="G534" s="59"/>
      <c r="H534" s="9"/>
    </row>
    <row r="535">
      <c r="A535" s="9"/>
      <c r="B535" s="9"/>
      <c r="C535" s="9"/>
      <c r="D535" s="9"/>
      <c r="E535" s="9"/>
      <c r="F535" s="9"/>
      <c r="G535" s="59"/>
      <c r="H535" s="9"/>
    </row>
    <row r="536">
      <c r="A536" s="9"/>
      <c r="B536" s="9"/>
      <c r="C536" s="9"/>
      <c r="D536" s="9"/>
      <c r="E536" s="9"/>
      <c r="F536" s="9"/>
      <c r="G536" s="59"/>
      <c r="H536" s="9"/>
    </row>
    <row r="537">
      <c r="A537" s="9"/>
      <c r="B537" s="9"/>
      <c r="C537" s="9"/>
      <c r="D537" s="9"/>
      <c r="E537" s="9"/>
      <c r="F537" s="9"/>
      <c r="G537" s="59"/>
      <c r="H537" s="9"/>
    </row>
    <row r="538">
      <c r="A538" s="9"/>
      <c r="B538" s="9"/>
      <c r="C538" s="9"/>
      <c r="D538" s="9"/>
      <c r="E538" s="9"/>
      <c r="F538" s="9"/>
      <c r="G538" s="59"/>
      <c r="H538" s="9"/>
    </row>
    <row r="539">
      <c r="A539" s="9"/>
      <c r="B539" s="9"/>
      <c r="C539" s="9"/>
      <c r="D539" s="9"/>
      <c r="E539" s="9"/>
      <c r="F539" s="9"/>
      <c r="G539" s="59"/>
      <c r="H539" s="9"/>
    </row>
    <row r="540">
      <c r="A540" s="9"/>
      <c r="B540" s="9"/>
      <c r="C540" s="9"/>
      <c r="D540" s="9"/>
      <c r="E540" s="9"/>
      <c r="F540" s="9"/>
      <c r="G540" s="59"/>
      <c r="H540" s="9"/>
    </row>
    <row r="541">
      <c r="A541" s="9"/>
      <c r="B541" s="9"/>
      <c r="C541" s="9"/>
      <c r="D541" s="9"/>
      <c r="E541" s="9"/>
      <c r="F541" s="9"/>
      <c r="G541" s="59"/>
      <c r="H541" s="9"/>
    </row>
    <row r="542">
      <c r="A542" s="9"/>
      <c r="B542" s="9"/>
      <c r="C542" s="9"/>
      <c r="D542" s="9"/>
      <c r="E542" s="9"/>
      <c r="F542" s="9"/>
      <c r="G542" s="59"/>
      <c r="H542" s="9"/>
    </row>
    <row r="543">
      <c r="A543" s="9"/>
      <c r="B543" s="9"/>
      <c r="C543" s="9"/>
      <c r="D543" s="9"/>
      <c r="E543" s="9"/>
      <c r="F543" s="9"/>
      <c r="G543" s="59"/>
      <c r="H543" s="9"/>
    </row>
    <row r="544">
      <c r="A544" s="9"/>
      <c r="B544" s="9"/>
      <c r="C544" s="9"/>
      <c r="D544" s="9"/>
      <c r="E544" s="9"/>
      <c r="F544" s="9"/>
      <c r="G544" s="59"/>
      <c r="H544" s="9"/>
    </row>
    <row r="545">
      <c r="A545" s="9"/>
      <c r="B545" s="9"/>
      <c r="C545" s="9"/>
      <c r="D545" s="9"/>
      <c r="E545" s="9"/>
      <c r="F545" s="9"/>
      <c r="G545" s="59"/>
      <c r="H545" s="9"/>
    </row>
    <row r="546">
      <c r="A546" s="9"/>
      <c r="B546" s="9"/>
      <c r="C546" s="9"/>
      <c r="D546" s="9"/>
      <c r="E546" s="9"/>
      <c r="F546" s="9"/>
      <c r="G546" s="59"/>
      <c r="H546" s="9"/>
    </row>
    <row r="547">
      <c r="A547" s="9"/>
      <c r="B547" s="9"/>
      <c r="C547" s="9"/>
      <c r="D547" s="9"/>
      <c r="E547" s="9"/>
      <c r="F547" s="9"/>
      <c r="G547" s="59"/>
      <c r="H547" s="9"/>
    </row>
    <row r="548">
      <c r="A548" s="9"/>
      <c r="B548" s="9"/>
      <c r="C548" s="9"/>
      <c r="D548" s="9"/>
      <c r="E548" s="9"/>
      <c r="F548" s="9"/>
      <c r="G548" s="59"/>
      <c r="H548" s="9"/>
    </row>
    <row r="549">
      <c r="A549" s="9"/>
      <c r="B549" s="9"/>
      <c r="C549" s="9"/>
      <c r="D549" s="9"/>
      <c r="E549" s="9"/>
      <c r="F549" s="9"/>
      <c r="G549" s="59"/>
      <c r="H549" s="9"/>
    </row>
    <row r="550">
      <c r="A550" s="9"/>
      <c r="B550" s="9"/>
      <c r="C550" s="9"/>
      <c r="D550" s="9"/>
      <c r="E550" s="9"/>
      <c r="F550" s="9"/>
      <c r="G550" s="59"/>
      <c r="H550" s="9"/>
    </row>
    <row r="551">
      <c r="A551" s="9"/>
      <c r="B551" s="9"/>
      <c r="C551" s="9"/>
      <c r="D551" s="9"/>
      <c r="E551" s="9"/>
      <c r="F551" s="9"/>
      <c r="G551" s="59"/>
      <c r="H551" s="9"/>
    </row>
    <row r="552">
      <c r="A552" s="9"/>
      <c r="B552" s="9"/>
      <c r="C552" s="9"/>
      <c r="D552" s="9"/>
      <c r="E552" s="9"/>
      <c r="F552" s="9"/>
      <c r="G552" s="59"/>
      <c r="H552" s="9"/>
    </row>
    <row r="553">
      <c r="A553" s="9"/>
      <c r="B553" s="9"/>
      <c r="C553" s="9"/>
      <c r="D553" s="9"/>
      <c r="E553" s="9"/>
      <c r="F553" s="9"/>
      <c r="G553" s="59"/>
      <c r="H553" s="9"/>
    </row>
    <row r="554">
      <c r="A554" s="9"/>
      <c r="B554" s="9"/>
      <c r="C554" s="9"/>
      <c r="D554" s="9"/>
      <c r="E554" s="9"/>
      <c r="F554" s="9"/>
      <c r="G554" s="59"/>
      <c r="H554" s="9"/>
    </row>
    <row r="555">
      <c r="A555" s="9"/>
      <c r="B555" s="9"/>
      <c r="C555" s="9"/>
      <c r="D555" s="9"/>
      <c r="E555" s="9"/>
      <c r="F555" s="9"/>
      <c r="G555" s="59"/>
      <c r="H555" s="9"/>
    </row>
    <row r="556">
      <c r="A556" s="9"/>
      <c r="B556" s="9"/>
      <c r="C556" s="9"/>
      <c r="D556" s="9"/>
      <c r="E556" s="9"/>
      <c r="F556" s="9"/>
      <c r="G556" s="59"/>
      <c r="H556" s="9"/>
    </row>
    <row r="557">
      <c r="A557" s="9"/>
      <c r="B557" s="9"/>
      <c r="C557" s="9"/>
      <c r="D557" s="9"/>
      <c r="E557" s="9"/>
      <c r="F557" s="9"/>
      <c r="G557" s="59"/>
      <c r="H557" s="9"/>
    </row>
    <row r="558">
      <c r="A558" s="9"/>
      <c r="B558" s="9"/>
      <c r="C558" s="9"/>
      <c r="D558" s="9"/>
      <c r="E558" s="9"/>
      <c r="F558" s="9"/>
      <c r="G558" s="59"/>
      <c r="H558" s="9"/>
    </row>
    <row r="559">
      <c r="A559" s="9"/>
      <c r="B559" s="9"/>
      <c r="C559" s="9"/>
      <c r="D559" s="9"/>
      <c r="E559" s="9"/>
      <c r="F559" s="9"/>
      <c r="G559" s="59"/>
      <c r="H559" s="9"/>
    </row>
    <row r="560">
      <c r="A560" s="9"/>
      <c r="B560" s="9"/>
      <c r="C560" s="9"/>
      <c r="D560" s="9"/>
      <c r="E560" s="9"/>
      <c r="F560" s="9"/>
      <c r="G560" s="59"/>
      <c r="H560" s="9"/>
    </row>
    <row r="561">
      <c r="A561" s="9"/>
      <c r="B561" s="9"/>
      <c r="C561" s="9"/>
      <c r="D561" s="9"/>
      <c r="E561" s="9"/>
      <c r="F561" s="9"/>
      <c r="G561" s="59"/>
      <c r="H561" s="9"/>
    </row>
    <row r="562">
      <c r="A562" s="9"/>
      <c r="B562" s="9"/>
      <c r="C562" s="9"/>
      <c r="D562" s="9"/>
      <c r="E562" s="9"/>
      <c r="F562" s="9"/>
      <c r="G562" s="59"/>
      <c r="H562" s="9"/>
    </row>
    <row r="563">
      <c r="A563" s="9"/>
      <c r="B563" s="9"/>
      <c r="C563" s="9"/>
      <c r="D563" s="9"/>
      <c r="E563" s="9"/>
      <c r="F563" s="9"/>
      <c r="G563" s="59"/>
      <c r="H563" s="9"/>
    </row>
    <row r="564">
      <c r="A564" s="9"/>
      <c r="B564" s="9"/>
      <c r="C564" s="9"/>
      <c r="D564" s="9"/>
      <c r="E564" s="9"/>
      <c r="F564" s="9"/>
      <c r="G564" s="59"/>
      <c r="H564" s="9"/>
    </row>
    <row r="565">
      <c r="A565" s="9"/>
      <c r="B565" s="9"/>
      <c r="C565" s="9"/>
      <c r="D565" s="9"/>
      <c r="E565" s="9"/>
      <c r="F565" s="9"/>
      <c r="G565" s="59"/>
      <c r="H565" s="9"/>
    </row>
    <row r="566">
      <c r="A566" s="9"/>
      <c r="B566" s="9"/>
      <c r="C566" s="9"/>
      <c r="D566" s="9"/>
      <c r="E566" s="9"/>
      <c r="F566" s="9"/>
      <c r="G566" s="59"/>
      <c r="H566" s="9"/>
    </row>
    <row r="567">
      <c r="A567" s="9"/>
      <c r="B567" s="9"/>
      <c r="C567" s="9"/>
      <c r="D567" s="9"/>
      <c r="E567" s="9"/>
      <c r="F567" s="9"/>
      <c r="G567" s="59"/>
      <c r="H567" s="9"/>
    </row>
    <row r="568">
      <c r="A568" s="9"/>
      <c r="B568" s="9"/>
      <c r="C568" s="9"/>
      <c r="D568" s="9"/>
      <c r="E568" s="9"/>
      <c r="F568" s="9"/>
      <c r="G568" s="59"/>
      <c r="H568" s="9"/>
    </row>
    <row r="569">
      <c r="A569" s="9"/>
      <c r="B569" s="9"/>
      <c r="C569" s="9"/>
      <c r="D569" s="9"/>
      <c r="E569" s="9"/>
      <c r="F569" s="9"/>
      <c r="G569" s="59"/>
      <c r="H569" s="9"/>
    </row>
    <row r="570">
      <c r="A570" s="9"/>
      <c r="B570" s="9"/>
      <c r="C570" s="9"/>
      <c r="D570" s="9"/>
      <c r="E570" s="9"/>
      <c r="F570" s="9"/>
      <c r="G570" s="59"/>
      <c r="H570" s="9"/>
    </row>
    <row r="571">
      <c r="A571" s="9"/>
      <c r="B571" s="9"/>
      <c r="C571" s="9"/>
      <c r="D571" s="9"/>
      <c r="E571" s="9"/>
      <c r="F571" s="9"/>
      <c r="G571" s="59"/>
      <c r="H571" s="9"/>
    </row>
    <row r="572">
      <c r="A572" s="9"/>
      <c r="B572" s="9"/>
      <c r="C572" s="9"/>
      <c r="D572" s="9"/>
      <c r="E572" s="9"/>
      <c r="F572" s="9"/>
      <c r="G572" s="59"/>
      <c r="H572" s="9"/>
    </row>
    <row r="573">
      <c r="A573" s="9"/>
      <c r="B573" s="9"/>
      <c r="C573" s="9"/>
      <c r="D573" s="9"/>
      <c r="E573" s="9"/>
      <c r="F573" s="9"/>
      <c r="G573" s="59"/>
      <c r="H573" s="9"/>
    </row>
    <row r="574">
      <c r="A574" s="9"/>
      <c r="B574" s="9"/>
      <c r="C574" s="9"/>
      <c r="D574" s="9"/>
      <c r="E574" s="9"/>
      <c r="F574" s="9"/>
      <c r="G574" s="59"/>
      <c r="H574" s="9"/>
    </row>
    <row r="575">
      <c r="A575" s="9"/>
      <c r="B575" s="9"/>
      <c r="C575" s="9"/>
      <c r="D575" s="9"/>
      <c r="E575" s="9"/>
      <c r="F575" s="9"/>
      <c r="G575" s="59"/>
      <c r="H575" s="9"/>
    </row>
    <row r="576">
      <c r="A576" s="9"/>
      <c r="B576" s="9"/>
      <c r="C576" s="9"/>
      <c r="D576" s="9"/>
      <c r="E576" s="9"/>
      <c r="F576" s="9"/>
      <c r="G576" s="59"/>
      <c r="H576" s="9"/>
    </row>
    <row r="577">
      <c r="A577" s="9"/>
      <c r="B577" s="9"/>
      <c r="C577" s="9"/>
      <c r="D577" s="9"/>
      <c r="E577" s="9"/>
      <c r="F577" s="9"/>
      <c r="G577" s="59"/>
      <c r="H577" s="9"/>
    </row>
    <row r="578">
      <c r="A578" s="9"/>
      <c r="B578" s="9"/>
      <c r="C578" s="9"/>
      <c r="D578" s="9"/>
      <c r="E578" s="9"/>
      <c r="F578" s="9"/>
      <c r="G578" s="59"/>
      <c r="H578" s="9"/>
    </row>
    <row r="579">
      <c r="A579" s="9"/>
      <c r="B579" s="9"/>
      <c r="C579" s="9"/>
      <c r="D579" s="9"/>
      <c r="E579" s="9"/>
      <c r="F579" s="9"/>
      <c r="G579" s="59"/>
      <c r="H579" s="9"/>
    </row>
    <row r="580">
      <c r="A580" s="9"/>
      <c r="B580" s="9"/>
      <c r="C580" s="9"/>
      <c r="D580" s="9"/>
      <c r="E580" s="9"/>
      <c r="F580" s="9"/>
      <c r="G580" s="59"/>
      <c r="H580" s="9"/>
    </row>
    <row r="581">
      <c r="A581" s="9"/>
      <c r="B581" s="9"/>
      <c r="C581" s="9"/>
      <c r="D581" s="9"/>
      <c r="E581" s="9"/>
      <c r="F581" s="9"/>
      <c r="G581" s="59"/>
      <c r="H581" s="9"/>
    </row>
    <row r="582">
      <c r="A582" s="9"/>
      <c r="B582" s="9"/>
      <c r="C582" s="9"/>
      <c r="D582" s="9"/>
      <c r="E582" s="9"/>
      <c r="F582" s="9"/>
      <c r="G582" s="59"/>
      <c r="H582" s="9"/>
    </row>
    <row r="583">
      <c r="A583" s="9"/>
      <c r="B583" s="9"/>
      <c r="C583" s="9"/>
      <c r="D583" s="9"/>
      <c r="E583" s="9"/>
      <c r="F583" s="9"/>
      <c r="G583" s="59"/>
      <c r="H583" s="9"/>
    </row>
    <row r="584">
      <c r="A584" s="9"/>
      <c r="B584" s="9"/>
      <c r="C584" s="9"/>
      <c r="D584" s="9"/>
      <c r="E584" s="9"/>
      <c r="F584" s="9"/>
      <c r="G584" s="59"/>
      <c r="H584" s="9"/>
    </row>
    <row r="585">
      <c r="A585" s="9"/>
      <c r="B585" s="9"/>
      <c r="C585" s="9"/>
      <c r="D585" s="9"/>
      <c r="E585" s="9"/>
      <c r="F585" s="9"/>
      <c r="G585" s="59"/>
      <c r="H585" s="9"/>
    </row>
    <row r="586">
      <c r="A586" s="9"/>
      <c r="B586" s="9"/>
      <c r="C586" s="9"/>
      <c r="D586" s="9"/>
      <c r="E586" s="9"/>
      <c r="F586" s="9"/>
      <c r="G586" s="59"/>
      <c r="H586" s="9"/>
    </row>
    <row r="587">
      <c r="A587" s="9"/>
      <c r="B587" s="9"/>
      <c r="C587" s="9"/>
      <c r="D587" s="9"/>
      <c r="E587" s="9"/>
      <c r="F587" s="9"/>
      <c r="G587" s="59"/>
      <c r="H587" s="9"/>
    </row>
    <row r="588">
      <c r="A588" s="9"/>
      <c r="B588" s="9"/>
      <c r="C588" s="9"/>
      <c r="D588" s="9"/>
      <c r="E588" s="9"/>
      <c r="F588" s="9"/>
      <c r="G588" s="59"/>
      <c r="H588" s="9"/>
    </row>
    <row r="589">
      <c r="A589" s="9"/>
      <c r="B589" s="9"/>
      <c r="C589" s="9"/>
      <c r="D589" s="9"/>
      <c r="E589" s="9"/>
      <c r="F589" s="9"/>
      <c r="G589" s="59"/>
      <c r="H589" s="9"/>
    </row>
    <row r="590">
      <c r="A590" s="9"/>
      <c r="B590" s="9"/>
      <c r="C590" s="9"/>
      <c r="D590" s="9"/>
      <c r="E590" s="9"/>
      <c r="F590" s="9"/>
      <c r="G590" s="59"/>
      <c r="H590" s="9"/>
    </row>
    <row r="591">
      <c r="A591" s="9"/>
      <c r="B591" s="9"/>
      <c r="C591" s="9"/>
      <c r="D591" s="9"/>
      <c r="E591" s="9"/>
      <c r="F591" s="9"/>
      <c r="G591" s="59"/>
      <c r="H591" s="9"/>
    </row>
    <row r="592">
      <c r="A592" s="9"/>
      <c r="B592" s="9"/>
      <c r="C592" s="9"/>
      <c r="D592" s="9"/>
      <c r="E592" s="9"/>
      <c r="F592" s="9"/>
      <c r="G592" s="59"/>
      <c r="H592" s="9"/>
    </row>
    <row r="593">
      <c r="A593" s="9"/>
      <c r="B593" s="9"/>
      <c r="C593" s="9"/>
      <c r="D593" s="9"/>
      <c r="E593" s="9"/>
      <c r="F593" s="9"/>
      <c r="G593" s="59"/>
      <c r="H593" s="9"/>
    </row>
    <row r="594">
      <c r="A594" s="9"/>
      <c r="B594" s="9"/>
      <c r="C594" s="9"/>
      <c r="D594" s="9"/>
      <c r="E594" s="9"/>
      <c r="F594" s="9"/>
      <c r="G594" s="59"/>
      <c r="H594" s="9"/>
    </row>
    <row r="595">
      <c r="A595" s="9"/>
      <c r="B595" s="9"/>
      <c r="C595" s="9"/>
      <c r="D595" s="9"/>
      <c r="E595" s="9"/>
      <c r="F595" s="9"/>
      <c r="G595" s="59"/>
      <c r="H595" s="9"/>
    </row>
    <row r="596">
      <c r="A596" s="9"/>
      <c r="B596" s="9"/>
      <c r="C596" s="9"/>
      <c r="D596" s="9"/>
      <c r="E596" s="9"/>
      <c r="F596" s="9"/>
      <c r="G596" s="59"/>
      <c r="H596" s="9"/>
    </row>
    <row r="597">
      <c r="A597" s="9"/>
      <c r="B597" s="9"/>
      <c r="C597" s="9"/>
      <c r="D597" s="9"/>
      <c r="E597" s="9"/>
      <c r="F597" s="9"/>
      <c r="G597" s="59"/>
      <c r="H597" s="9"/>
    </row>
    <row r="598">
      <c r="A598" s="9"/>
      <c r="B598" s="9"/>
      <c r="C598" s="9"/>
      <c r="D598" s="9"/>
      <c r="E598" s="9"/>
      <c r="F598" s="9"/>
      <c r="G598" s="59"/>
      <c r="H598" s="9"/>
    </row>
    <row r="599">
      <c r="A599" s="9"/>
      <c r="B599" s="9"/>
      <c r="C599" s="9"/>
      <c r="D599" s="9"/>
      <c r="E599" s="9"/>
      <c r="F599" s="9"/>
      <c r="G599" s="59"/>
      <c r="H599" s="9"/>
    </row>
    <row r="600">
      <c r="A600" s="9"/>
      <c r="B600" s="9"/>
      <c r="C600" s="9"/>
      <c r="D600" s="9"/>
      <c r="E600" s="9"/>
      <c r="F600" s="9"/>
      <c r="G600" s="59"/>
      <c r="H600" s="9"/>
    </row>
    <row r="601">
      <c r="A601" s="9"/>
      <c r="B601" s="9"/>
      <c r="C601" s="9"/>
      <c r="D601" s="9"/>
      <c r="E601" s="9"/>
      <c r="F601" s="9"/>
      <c r="G601" s="59"/>
      <c r="H601" s="9"/>
    </row>
    <row r="602">
      <c r="A602" s="9"/>
      <c r="B602" s="9"/>
      <c r="C602" s="9"/>
      <c r="D602" s="9"/>
      <c r="E602" s="9"/>
      <c r="F602" s="9"/>
      <c r="G602" s="59"/>
      <c r="H602" s="9"/>
    </row>
    <row r="603">
      <c r="A603" s="9"/>
      <c r="B603" s="9"/>
      <c r="C603" s="9"/>
      <c r="D603" s="9"/>
      <c r="E603" s="9"/>
      <c r="F603" s="9"/>
      <c r="G603" s="59"/>
      <c r="H603" s="9"/>
    </row>
    <row r="604">
      <c r="A604" s="9"/>
      <c r="B604" s="9"/>
      <c r="C604" s="9"/>
      <c r="D604" s="9"/>
      <c r="E604" s="9"/>
      <c r="F604" s="9"/>
      <c r="G604" s="59"/>
      <c r="H604" s="9"/>
    </row>
    <row r="605">
      <c r="A605" s="9"/>
      <c r="B605" s="9"/>
      <c r="C605" s="9"/>
      <c r="D605" s="9"/>
      <c r="E605" s="9"/>
      <c r="F605" s="9"/>
      <c r="G605" s="59"/>
      <c r="H605" s="9"/>
    </row>
    <row r="606">
      <c r="A606" s="9"/>
      <c r="B606" s="9"/>
      <c r="C606" s="9"/>
      <c r="D606" s="9"/>
      <c r="E606" s="9"/>
      <c r="F606" s="9"/>
      <c r="G606" s="59"/>
      <c r="H606" s="9"/>
    </row>
    <row r="607">
      <c r="A607" s="9"/>
      <c r="B607" s="9"/>
      <c r="C607" s="9"/>
      <c r="D607" s="9"/>
      <c r="E607" s="9"/>
      <c r="F607" s="9"/>
      <c r="G607" s="59"/>
      <c r="H607" s="9"/>
    </row>
    <row r="608">
      <c r="A608" s="9"/>
      <c r="B608" s="9"/>
      <c r="C608" s="9"/>
      <c r="D608" s="9"/>
      <c r="E608" s="9"/>
      <c r="F608" s="9"/>
      <c r="G608" s="59"/>
      <c r="H608" s="9"/>
    </row>
    <row r="609">
      <c r="A609" s="9"/>
      <c r="B609" s="9"/>
      <c r="C609" s="9"/>
      <c r="D609" s="9"/>
      <c r="E609" s="9"/>
      <c r="F609" s="9"/>
      <c r="G609" s="59"/>
      <c r="H609" s="9"/>
    </row>
    <row r="610">
      <c r="A610" s="9"/>
      <c r="B610" s="9"/>
      <c r="C610" s="9"/>
      <c r="D610" s="9"/>
      <c r="E610" s="9"/>
      <c r="F610" s="9"/>
      <c r="G610" s="59"/>
      <c r="H610" s="9"/>
    </row>
    <row r="611">
      <c r="A611" s="9"/>
      <c r="B611" s="9"/>
      <c r="C611" s="9"/>
      <c r="D611" s="9"/>
      <c r="E611" s="9"/>
      <c r="F611" s="9"/>
      <c r="G611" s="59"/>
      <c r="H611" s="9"/>
    </row>
    <row r="612">
      <c r="A612" s="9"/>
      <c r="B612" s="9"/>
      <c r="C612" s="9"/>
      <c r="D612" s="9"/>
      <c r="E612" s="9"/>
      <c r="F612" s="9"/>
      <c r="G612" s="59"/>
      <c r="H612" s="9"/>
    </row>
    <row r="613">
      <c r="A613" s="9"/>
      <c r="B613" s="9"/>
      <c r="C613" s="9"/>
      <c r="D613" s="9"/>
      <c r="E613" s="9"/>
      <c r="F613" s="9"/>
      <c r="G613" s="59"/>
      <c r="H613" s="9"/>
    </row>
    <row r="614">
      <c r="A614" s="9"/>
      <c r="B614" s="9"/>
      <c r="C614" s="9"/>
      <c r="D614" s="9"/>
      <c r="E614" s="9"/>
      <c r="F614" s="9"/>
      <c r="G614" s="59"/>
      <c r="H614" s="9"/>
    </row>
    <row r="615">
      <c r="A615" s="9"/>
      <c r="B615" s="9"/>
      <c r="C615" s="9"/>
      <c r="D615" s="9"/>
      <c r="E615" s="9"/>
      <c r="F615" s="9"/>
      <c r="G615" s="59"/>
      <c r="H615" s="9"/>
    </row>
    <row r="616">
      <c r="A616" s="9"/>
      <c r="B616" s="9"/>
      <c r="C616" s="9"/>
      <c r="D616" s="9"/>
      <c r="E616" s="9"/>
      <c r="F616" s="9"/>
      <c r="G616" s="59"/>
      <c r="H616" s="9"/>
    </row>
    <row r="617">
      <c r="A617" s="9"/>
      <c r="B617" s="9"/>
      <c r="C617" s="9"/>
      <c r="D617" s="9"/>
      <c r="E617" s="9"/>
      <c r="F617" s="9"/>
      <c r="G617" s="59"/>
      <c r="H617" s="9"/>
    </row>
    <row r="618">
      <c r="A618" s="9"/>
      <c r="B618" s="9"/>
      <c r="C618" s="9"/>
      <c r="D618" s="9"/>
      <c r="E618" s="9"/>
      <c r="F618" s="9"/>
      <c r="G618" s="59"/>
      <c r="H618" s="9"/>
    </row>
    <row r="619">
      <c r="A619" s="9"/>
      <c r="B619" s="9"/>
      <c r="C619" s="9"/>
      <c r="D619" s="9"/>
      <c r="E619" s="9"/>
      <c r="F619" s="9"/>
      <c r="G619" s="59"/>
      <c r="H619" s="9"/>
    </row>
    <row r="620">
      <c r="A620" s="9"/>
      <c r="B620" s="9"/>
      <c r="C620" s="9"/>
      <c r="D620" s="9"/>
      <c r="E620" s="9"/>
      <c r="F620" s="9"/>
      <c r="G620" s="59"/>
      <c r="H620" s="9"/>
    </row>
    <row r="621">
      <c r="A621" s="9"/>
      <c r="B621" s="9"/>
      <c r="C621" s="9"/>
      <c r="D621" s="9"/>
      <c r="E621" s="9"/>
      <c r="F621" s="9"/>
      <c r="G621" s="59"/>
      <c r="H621" s="9"/>
    </row>
    <row r="622">
      <c r="A622" s="9"/>
      <c r="B622" s="9"/>
      <c r="C622" s="9"/>
      <c r="D622" s="9"/>
      <c r="E622" s="9"/>
      <c r="F622" s="9"/>
      <c r="G622" s="59"/>
      <c r="H622" s="9"/>
    </row>
    <row r="623">
      <c r="A623" s="9"/>
      <c r="B623" s="9"/>
      <c r="C623" s="9"/>
      <c r="D623" s="9"/>
      <c r="E623" s="9"/>
      <c r="F623" s="9"/>
      <c r="G623" s="59"/>
      <c r="H623" s="9"/>
    </row>
    <row r="624">
      <c r="A624" s="9"/>
      <c r="B624" s="9"/>
      <c r="C624" s="9"/>
      <c r="D624" s="9"/>
      <c r="E624" s="9"/>
      <c r="F624" s="9"/>
      <c r="G624" s="59"/>
      <c r="H624" s="9"/>
    </row>
    <row r="625">
      <c r="A625" s="9"/>
      <c r="B625" s="9"/>
      <c r="C625" s="9"/>
      <c r="D625" s="9"/>
      <c r="E625" s="9"/>
      <c r="F625" s="9"/>
      <c r="G625" s="59"/>
      <c r="H625" s="9"/>
    </row>
    <row r="626">
      <c r="A626" s="9"/>
      <c r="B626" s="9"/>
      <c r="C626" s="9"/>
      <c r="D626" s="9"/>
      <c r="E626" s="9"/>
      <c r="F626" s="9"/>
      <c r="G626" s="59"/>
      <c r="H626" s="9"/>
    </row>
    <row r="627">
      <c r="A627" s="9"/>
      <c r="B627" s="9"/>
      <c r="C627" s="9"/>
      <c r="D627" s="9"/>
      <c r="E627" s="9"/>
      <c r="F627" s="9"/>
      <c r="G627" s="59"/>
      <c r="H627" s="9"/>
    </row>
    <row r="628">
      <c r="A628" s="9"/>
      <c r="B628" s="9"/>
      <c r="C628" s="9"/>
      <c r="D628" s="9"/>
      <c r="E628" s="9"/>
      <c r="F628" s="9"/>
      <c r="G628" s="59"/>
      <c r="H628" s="9"/>
    </row>
    <row r="629">
      <c r="A629" s="9"/>
      <c r="B629" s="9"/>
      <c r="C629" s="9"/>
      <c r="D629" s="9"/>
      <c r="E629" s="9"/>
      <c r="F629" s="9"/>
      <c r="G629" s="59"/>
      <c r="H629" s="9"/>
    </row>
    <row r="630">
      <c r="A630" s="9"/>
      <c r="B630" s="9"/>
      <c r="C630" s="9"/>
      <c r="D630" s="9"/>
      <c r="E630" s="9"/>
      <c r="F630" s="9"/>
      <c r="G630" s="59"/>
      <c r="H630" s="9"/>
    </row>
    <row r="631">
      <c r="A631" s="9"/>
      <c r="B631" s="9"/>
      <c r="C631" s="9"/>
      <c r="D631" s="9"/>
      <c r="E631" s="9"/>
      <c r="F631" s="9"/>
      <c r="G631" s="59"/>
      <c r="H631" s="9"/>
    </row>
    <row r="632">
      <c r="A632" s="9"/>
      <c r="B632" s="9"/>
      <c r="C632" s="9"/>
      <c r="D632" s="9"/>
      <c r="E632" s="9"/>
      <c r="F632" s="9"/>
      <c r="G632" s="59"/>
      <c r="H632" s="9"/>
    </row>
    <row r="633">
      <c r="A633" s="9"/>
      <c r="B633" s="9"/>
      <c r="C633" s="9"/>
      <c r="D633" s="9"/>
      <c r="E633" s="9"/>
      <c r="F633" s="9"/>
      <c r="G633" s="59"/>
      <c r="H633" s="9"/>
    </row>
    <row r="634">
      <c r="A634" s="9"/>
      <c r="B634" s="9"/>
      <c r="C634" s="9"/>
      <c r="D634" s="9"/>
      <c r="E634" s="9"/>
      <c r="F634" s="9"/>
      <c r="G634" s="59"/>
      <c r="H634" s="9"/>
    </row>
    <row r="635">
      <c r="A635" s="9"/>
      <c r="B635" s="9"/>
      <c r="C635" s="9"/>
      <c r="D635" s="9"/>
      <c r="E635" s="9"/>
      <c r="F635" s="9"/>
      <c r="G635" s="59"/>
      <c r="H635" s="9"/>
    </row>
    <row r="636">
      <c r="A636" s="9"/>
      <c r="B636" s="9"/>
      <c r="C636" s="9"/>
      <c r="D636" s="9"/>
      <c r="E636" s="9"/>
      <c r="F636" s="9"/>
      <c r="G636" s="59"/>
      <c r="H636" s="9"/>
    </row>
    <row r="637">
      <c r="A637" s="9"/>
      <c r="B637" s="9"/>
      <c r="C637" s="9"/>
      <c r="D637" s="9"/>
      <c r="E637" s="9"/>
      <c r="F637" s="9"/>
      <c r="G637" s="59"/>
      <c r="H637" s="9"/>
    </row>
    <row r="638">
      <c r="A638" s="9"/>
      <c r="B638" s="9"/>
      <c r="C638" s="9"/>
      <c r="D638" s="9"/>
      <c r="E638" s="9"/>
      <c r="F638" s="9"/>
      <c r="G638" s="59"/>
      <c r="H638" s="9"/>
    </row>
    <row r="639">
      <c r="A639" s="9"/>
      <c r="B639" s="9"/>
      <c r="C639" s="9"/>
      <c r="D639" s="9"/>
      <c r="E639" s="9"/>
      <c r="F639" s="9"/>
      <c r="G639" s="59"/>
      <c r="H639" s="9"/>
    </row>
    <row r="640">
      <c r="A640" s="9"/>
      <c r="B640" s="9"/>
      <c r="C640" s="9"/>
      <c r="D640" s="9"/>
      <c r="E640" s="9"/>
      <c r="F640" s="9"/>
      <c r="G640" s="59"/>
      <c r="H640" s="9"/>
    </row>
    <row r="641">
      <c r="A641" s="9"/>
      <c r="B641" s="9"/>
      <c r="C641" s="9"/>
      <c r="D641" s="9"/>
      <c r="E641" s="9"/>
      <c r="F641" s="9"/>
      <c r="G641" s="59"/>
      <c r="H641" s="9"/>
    </row>
    <row r="642">
      <c r="A642" s="9"/>
      <c r="B642" s="9"/>
      <c r="C642" s="9"/>
      <c r="D642" s="9"/>
      <c r="E642" s="9"/>
      <c r="F642" s="9"/>
      <c r="G642" s="59"/>
      <c r="H642" s="9"/>
    </row>
    <row r="643">
      <c r="A643" s="9"/>
      <c r="B643" s="9"/>
      <c r="C643" s="9"/>
      <c r="D643" s="9"/>
      <c r="E643" s="9"/>
      <c r="F643" s="9"/>
      <c r="G643" s="59"/>
      <c r="H643" s="9"/>
    </row>
    <row r="644">
      <c r="A644" s="9"/>
      <c r="B644" s="9"/>
      <c r="C644" s="9"/>
      <c r="D644" s="9"/>
      <c r="E644" s="9"/>
      <c r="F644" s="9"/>
      <c r="G644" s="59"/>
      <c r="H644" s="9"/>
    </row>
    <row r="645">
      <c r="A645" s="9"/>
      <c r="B645" s="9"/>
      <c r="C645" s="9"/>
      <c r="D645" s="9"/>
      <c r="E645" s="9"/>
      <c r="F645" s="9"/>
      <c r="G645" s="59"/>
      <c r="H645" s="9"/>
    </row>
    <row r="646">
      <c r="A646" s="9"/>
      <c r="B646" s="9"/>
      <c r="C646" s="9"/>
      <c r="D646" s="9"/>
      <c r="E646" s="9"/>
      <c r="F646" s="9"/>
      <c r="G646" s="59"/>
      <c r="H646" s="9"/>
    </row>
    <row r="647">
      <c r="A647" s="9"/>
      <c r="B647" s="9"/>
      <c r="C647" s="9"/>
      <c r="D647" s="9"/>
      <c r="E647" s="9"/>
      <c r="F647" s="9"/>
      <c r="G647" s="59"/>
      <c r="H647" s="9"/>
    </row>
    <row r="648">
      <c r="A648" s="9"/>
      <c r="B648" s="9"/>
      <c r="C648" s="9"/>
      <c r="D648" s="9"/>
      <c r="E648" s="9"/>
      <c r="F648" s="9"/>
      <c r="G648" s="59"/>
      <c r="H648" s="9"/>
    </row>
    <row r="649">
      <c r="A649" s="9"/>
      <c r="B649" s="9"/>
      <c r="C649" s="9"/>
      <c r="D649" s="9"/>
      <c r="E649" s="9"/>
      <c r="F649" s="9"/>
      <c r="G649" s="59"/>
      <c r="H649" s="9"/>
    </row>
    <row r="650">
      <c r="A650" s="9"/>
      <c r="B650" s="9"/>
      <c r="C650" s="9"/>
      <c r="D650" s="9"/>
      <c r="E650" s="9"/>
      <c r="F650" s="9"/>
      <c r="G650" s="59"/>
      <c r="H650" s="9"/>
    </row>
    <row r="651">
      <c r="A651" s="9"/>
      <c r="B651" s="9"/>
      <c r="C651" s="9"/>
      <c r="D651" s="9"/>
      <c r="E651" s="9"/>
      <c r="F651" s="9"/>
      <c r="G651" s="59"/>
      <c r="H651" s="9"/>
    </row>
    <row r="652">
      <c r="A652" s="9"/>
      <c r="B652" s="9"/>
      <c r="C652" s="9"/>
      <c r="D652" s="9"/>
      <c r="E652" s="9"/>
      <c r="F652" s="9"/>
      <c r="G652" s="59"/>
      <c r="H652" s="9"/>
    </row>
    <row r="653">
      <c r="A653" s="9"/>
      <c r="B653" s="9"/>
      <c r="C653" s="9"/>
      <c r="D653" s="9"/>
      <c r="E653" s="9"/>
      <c r="F653" s="9"/>
      <c r="G653" s="59"/>
      <c r="H653" s="9"/>
    </row>
    <row r="654">
      <c r="A654" s="9"/>
      <c r="B654" s="9"/>
      <c r="C654" s="9"/>
      <c r="D654" s="9"/>
      <c r="E654" s="9"/>
      <c r="F654" s="9"/>
      <c r="G654" s="59"/>
      <c r="H654" s="9"/>
    </row>
    <row r="655">
      <c r="A655" s="9"/>
      <c r="B655" s="9"/>
      <c r="C655" s="9"/>
      <c r="D655" s="9"/>
      <c r="E655" s="9"/>
      <c r="F655" s="9"/>
      <c r="G655" s="59"/>
      <c r="H655" s="9"/>
    </row>
    <row r="656">
      <c r="A656" s="9"/>
      <c r="B656" s="9"/>
      <c r="C656" s="9"/>
      <c r="D656" s="9"/>
      <c r="E656" s="9"/>
      <c r="F656" s="9"/>
      <c r="G656" s="59"/>
      <c r="H656" s="9"/>
    </row>
    <row r="657">
      <c r="A657" s="9"/>
      <c r="B657" s="9"/>
      <c r="C657" s="9"/>
      <c r="D657" s="9"/>
      <c r="E657" s="9"/>
      <c r="F657" s="9"/>
      <c r="G657" s="59"/>
      <c r="H657" s="9"/>
    </row>
    <row r="658">
      <c r="A658" s="9"/>
      <c r="B658" s="9"/>
      <c r="C658" s="9"/>
      <c r="D658" s="9"/>
      <c r="E658" s="9"/>
      <c r="F658" s="9"/>
      <c r="G658" s="59"/>
      <c r="H658" s="9"/>
    </row>
    <row r="659">
      <c r="A659" s="9"/>
      <c r="B659" s="9"/>
      <c r="C659" s="9"/>
      <c r="D659" s="9"/>
      <c r="E659" s="9"/>
      <c r="F659" s="9"/>
      <c r="G659" s="59"/>
      <c r="H659" s="9"/>
    </row>
    <row r="660">
      <c r="A660" s="9"/>
      <c r="B660" s="9"/>
      <c r="C660" s="9"/>
      <c r="D660" s="9"/>
      <c r="E660" s="9"/>
      <c r="F660" s="9"/>
      <c r="G660" s="59"/>
      <c r="H660" s="9"/>
    </row>
    <row r="661">
      <c r="A661" s="9"/>
      <c r="B661" s="9"/>
      <c r="C661" s="9"/>
      <c r="D661" s="9"/>
      <c r="E661" s="9"/>
      <c r="F661" s="9"/>
      <c r="G661" s="59"/>
      <c r="H661" s="9"/>
    </row>
    <row r="662">
      <c r="A662" s="9"/>
      <c r="B662" s="9"/>
      <c r="C662" s="9"/>
      <c r="D662" s="9"/>
      <c r="E662" s="9"/>
      <c r="F662" s="9"/>
      <c r="G662" s="59"/>
      <c r="H662" s="9"/>
    </row>
    <row r="663">
      <c r="A663" s="9"/>
      <c r="B663" s="9"/>
      <c r="C663" s="9"/>
      <c r="D663" s="9"/>
      <c r="E663" s="9"/>
      <c r="F663" s="9"/>
      <c r="G663" s="59"/>
      <c r="H663" s="9"/>
    </row>
    <row r="664">
      <c r="A664" s="9"/>
      <c r="B664" s="9"/>
      <c r="C664" s="9"/>
      <c r="D664" s="9"/>
      <c r="E664" s="9"/>
      <c r="F664" s="9"/>
      <c r="G664" s="59"/>
      <c r="H664" s="9"/>
    </row>
    <row r="665">
      <c r="A665" s="9"/>
      <c r="B665" s="9"/>
      <c r="C665" s="9"/>
      <c r="D665" s="9"/>
      <c r="E665" s="9"/>
      <c r="F665" s="9"/>
      <c r="G665" s="59"/>
      <c r="H665" s="9"/>
    </row>
    <row r="666">
      <c r="A666" s="9"/>
      <c r="B666" s="9"/>
      <c r="C666" s="9"/>
      <c r="D666" s="9"/>
      <c r="E666" s="9"/>
      <c r="F666" s="9"/>
      <c r="G666" s="59"/>
      <c r="H666" s="9"/>
    </row>
    <row r="667">
      <c r="A667" s="9"/>
      <c r="B667" s="9"/>
      <c r="C667" s="9"/>
      <c r="D667" s="9"/>
      <c r="E667" s="9"/>
      <c r="F667" s="9"/>
      <c r="G667" s="59"/>
      <c r="H667" s="9"/>
    </row>
    <row r="668">
      <c r="A668" s="9"/>
      <c r="B668" s="9"/>
      <c r="C668" s="9"/>
      <c r="D668" s="9"/>
      <c r="E668" s="9"/>
      <c r="F668" s="9"/>
      <c r="G668" s="59"/>
      <c r="H668" s="9"/>
    </row>
    <row r="669">
      <c r="A669" s="9"/>
      <c r="B669" s="9"/>
      <c r="C669" s="9"/>
      <c r="D669" s="9"/>
      <c r="E669" s="9"/>
      <c r="F669" s="9"/>
      <c r="G669" s="59"/>
      <c r="H669" s="9"/>
    </row>
    <row r="670">
      <c r="A670" s="9"/>
      <c r="B670" s="9"/>
      <c r="C670" s="9"/>
      <c r="D670" s="9"/>
      <c r="E670" s="9"/>
      <c r="F670" s="9"/>
      <c r="G670" s="59"/>
      <c r="H670" s="9"/>
    </row>
    <row r="671">
      <c r="A671" s="9"/>
      <c r="B671" s="9"/>
      <c r="C671" s="9"/>
      <c r="D671" s="9"/>
      <c r="E671" s="9"/>
      <c r="F671" s="9"/>
      <c r="G671" s="59"/>
      <c r="H671" s="9"/>
    </row>
    <row r="672">
      <c r="A672" s="9"/>
      <c r="B672" s="9"/>
      <c r="C672" s="9"/>
      <c r="D672" s="9"/>
      <c r="E672" s="9"/>
      <c r="F672" s="9"/>
      <c r="G672" s="59"/>
      <c r="H672" s="9"/>
    </row>
    <row r="673">
      <c r="A673" s="9"/>
      <c r="B673" s="9"/>
      <c r="C673" s="9"/>
      <c r="D673" s="9"/>
      <c r="E673" s="9"/>
      <c r="F673" s="9"/>
      <c r="G673" s="59"/>
      <c r="H673" s="9"/>
    </row>
    <row r="674">
      <c r="A674" s="9"/>
      <c r="B674" s="9"/>
      <c r="C674" s="9"/>
      <c r="D674" s="9"/>
      <c r="E674" s="9"/>
      <c r="F674" s="9"/>
      <c r="G674" s="59"/>
      <c r="H674" s="9"/>
    </row>
    <row r="675">
      <c r="A675" s="9"/>
      <c r="B675" s="9"/>
      <c r="C675" s="9"/>
      <c r="D675" s="9"/>
      <c r="E675" s="9"/>
      <c r="F675" s="9"/>
      <c r="G675" s="59"/>
      <c r="H675" s="9"/>
    </row>
    <row r="676">
      <c r="A676" s="9"/>
      <c r="B676" s="9"/>
      <c r="C676" s="9"/>
      <c r="D676" s="9"/>
      <c r="E676" s="9"/>
      <c r="F676" s="9"/>
      <c r="G676" s="59"/>
      <c r="H676" s="9"/>
    </row>
    <row r="677">
      <c r="A677" s="9"/>
      <c r="B677" s="9"/>
      <c r="C677" s="9"/>
      <c r="D677" s="9"/>
      <c r="E677" s="9"/>
      <c r="F677" s="9"/>
      <c r="G677" s="59"/>
      <c r="H677" s="9"/>
    </row>
    <row r="678">
      <c r="A678" s="9"/>
      <c r="B678" s="9"/>
      <c r="C678" s="9"/>
      <c r="D678" s="9"/>
      <c r="E678" s="9"/>
      <c r="F678" s="9"/>
      <c r="G678" s="59"/>
      <c r="H678" s="9"/>
    </row>
    <row r="679">
      <c r="A679" s="9"/>
      <c r="B679" s="9"/>
      <c r="C679" s="9"/>
      <c r="D679" s="9"/>
      <c r="E679" s="9"/>
      <c r="F679" s="9"/>
      <c r="G679" s="59"/>
      <c r="H679" s="9"/>
    </row>
    <row r="680">
      <c r="A680" s="9"/>
      <c r="B680" s="9"/>
      <c r="C680" s="9"/>
      <c r="D680" s="9"/>
      <c r="E680" s="9"/>
      <c r="F680" s="9"/>
      <c r="G680" s="59"/>
      <c r="H680" s="9"/>
    </row>
    <row r="681">
      <c r="A681" s="9"/>
      <c r="B681" s="9"/>
      <c r="C681" s="9"/>
      <c r="D681" s="9"/>
      <c r="E681" s="9"/>
      <c r="F681" s="9"/>
      <c r="G681" s="59"/>
      <c r="H681" s="9"/>
    </row>
    <row r="682">
      <c r="A682" s="9"/>
      <c r="B682" s="9"/>
      <c r="C682" s="9"/>
      <c r="D682" s="9"/>
      <c r="E682" s="9"/>
      <c r="F682" s="9"/>
      <c r="G682" s="59"/>
      <c r="H682" s="9"/>
    </row>
    <row r="683">
      <c r="A683" s="9"/>
      <c r="B683" s="9"/>
      <c r="C683" s="9"/>
      <c r="D683" s="9"/>
      <c r="E683" s="9"/>
      <c r="F683" s="9"/>
      <c r="G683" s="59"/>
      <c r="H683" s="9"/>
    </row>
    <row r="684">
      <c r="A684" s="9"/>
      <c r="B684" s="9"/>
      <c r="C684" s="9"/>
      <c r="D684" s="9"/>
      <c r="E684" s="9"/>
      <c r="F684" s="9"/>
      <c r="G684" s="59"/>
      <c r="H684" s="9"/>
    </row>
    <row r="685">
      <c r="A685" s="9"/>
      <c r="B685" s="9"/>
      <c r="C685" s="9"/>
      <c r="D685" s="9"/>
      <c r="E685" s="9"/>
      <c r="F685" s="9"/>
      <c r="G685" s="59"/>
      <c r="H685" s="9"/>
    </row>
    <row r="686">
      <c r="A686" s="9"/>
      <c r="B686" s="9"/>
      <c r="C686" s="9"/>
      <c r="D686" s="9"/>
      <c r="E686" s="9"/>
      <c r="F686" s="9"/>
      <c r="G686" s="59"/>
      <c r="H686" s="9"/>
    </row>
    <row r="687">
      <c r="A687" s="9"/>
      <c r="B687" s="9"/>
      <c r="C687" s="9"/>
      <c r="D687" s="9"/>
      <c r="E687" s="9"/>
      <c r="F687" s="9"/>
      <c r="G687" s="59"/>
      <c r="H687" s="9"/>
    </row>
    <row r="688">
      <c r="A688" s="9"/>
      <c r="B688" s="9"/>
      <c r="C688" s="9"/>
      <c r="D688" s="9"/>
      <c r="E688" s="9"/>
      <c r="F688" s="9"/>
      <c r="G688" s="59"/>
      <c r="H688" s="9"/>
    </row>
    <row r="689">
      <c r="A689" s="9"/>
      <c r="B689" s="9"/>
      <c r="C689" s="9"/>
      <c r="D689" s="9"/>
      <c r="E689" s="9"/>
      <c r="F689" s="9"/>
      <c r="G689" s="59"/>
      <c r="H689" s="9"/>
    </row>
    <row r="690">
      <c r="A690" s="9"/>
      <c r="B690" s="9"/>
      <c r="C690" s="9"/>
      <c r="D690" s="9"/>
      <c r="E690" s="9"/>
      <c r="F690" s="9"/>
      <c r="G690" s="59"/>
      <c r="H690" s="9"/>
    </row>
    <row r="691">
      <c r="A691" s="9"/>
      <c r="B691" s="9"/>
      <c r="C691" s="9"/>
      <c r="D691" s="9"/>
      <c r="E691" s="9"/>
      <c r="F691" s="9"/>
      <c r="G691" s="59"/>
      <c r="H691" s="9"/>
    </row>
    <row r="692">
      <c r="A692" s="9"/>
      <c r="B692" s="9"/>
      <c r="C692" s="9"/>
      <c r="D692" s="9"/>
      <c r="E692" s="9"/>
      <c r="F692" s="9"/>
      <c r="G692" s="59"/>
      <c r="H692" s="9"/>
    </row>
    <row r="693">
      <c r="A693" s="9"/>
      <c r="B693" s="9"/>
      <c r="C693" s="9"/>
      <c r="D693" s="9"/>
      <c r="E693" s="9"/>
      <c r="F693" s="9"/>
      <c r="G693" s="59"/>
      <c r="H693" s="9"/>
    </row>
    <row r="694">
      <c r="A694" s="9"/>
      <c r="B694" s="9"/>
      <c r="C694" s="9"/>
      <c r="D694" s="9"/>
      <c r="E694" s="9"/>
      <c r="F694" s="9"/>
      <c r="G694" s="59"/>
      <c r="H694" s="9"/>
    </row>
    <row r="695">
      <c r="A695" s="9"/>
      <c r="B695" s="9"/>
      <c r="C695" s="9"/>
      <c r="D695" s="9"/>
      <c r="E695" s="9"/>
      <c r="F695" s="9"/>
      <c r="G695" s="59"/>
      <c r="H695" s="9"/>
    </row>
    <row r="696">
      <c r="A696" s="9"/>
      <c r="B696" s="9"/>
      <c r="C696" s="9"/>
      <c r="D696" s="9"/>
      <c r="E696" s="9"/>
      <c r="F696" s="9"/>
      <c r="G696" s="59"/>
      <c r="H696" s="9"/>
    </row>
    <row r="697">
      <c r="A697" s="9"/>
      <c r="B697" s="9"/>
      <c r="C697" s="9"/>
      <c r="D697" s="9"/>
      <c r="E697" s="9"/>
      <c r="F697" s="9"/>
      <c r="G697" s="59"/>
      <c r="H697" s="9"/>
    </row>
    <row r="698">
      <c r="A698" s="9"/>
      <c r="B698" s="9"/>
      <c r="C698" s="9"/>
      <c r="D698" s="9"/>
      <c r="E698" s="9"/>
      <c r="F698" s="9"/>
      <c r="G698" s="59"/>
      <c r="H698" s="9"/>
    </row>
    <row r="699">
      <c r="A699" s="9"/>
      <c r="B699" s="9"/>
      <c r="C699" s="9"/>
      <c r="D699" s="9"/>
      <c r="E699" s="9"/>
      <c r="F699" s="9"/>
      <c r="G699" s="59"/>
      <c r="H699" s="9"/>
    </row>
    <row r="700">
      <c r="A700" s="9"/>
      <c r="B700" s="9"/>
      <c r="C700" s="9"/>
      <c r="D700" s="9"/>
      <c r="E700" s="9"/>
      <c r="F700" s="9"/>
      <c r="G700" s="59"/>
      <c r="H700" s="9"/>
    </row>
    <row r="701">
      <c r="A701" s="9"/>
      <c r="B701" s="9"/>
      <c r="C701" s="9"/>
      <c r="D701" s="9"/>
      <c r="E701" s="9"/>
      <c r="F701" s="9"/>
      <c r="G701" s="59"/>
      <c r="H701" s="9"/>
    </row>
    <row r="702">
      <c r="A702" s="9"/>
      <c r="B702" s="9"/>
      <c r="C702" s="9"/>
      <c r="D702" s="9"/>
      <c r="E702" s="9"/>
      <c r="F702" s="9"/>
      <c r="G702" s="59"/>
      <c r="H702" s="9"/>
    </row>
    <row r="703">
      <c r="A703" s="9"/>
      <c r="B703" s="9"/>
      <c r="C703" s="9"/>
      <c r="D703" s="9"/>
      <c r="E703" s="9"/>
      <c r="F703" s="9"/>
      <c r="G703" s="59"/>
      <c r="H703" s="9"/>
    </row>
    <row r="704">
      <c r="A704" s="9"/>
      <c r="B704" s="9"/>
      <c r="C704" s="9"/>
      <c r="D704" s="9"/>
      <c r="E704" s="9"/>
      <c r="F704" s="9"/>
      <c r="G704" s="59"/>
      <c r="H704" s="9"/>
    </row>
    <row r="705">
      <c r="A705" s="9"/>
      <c r="B705" s="9"/>
      <c r="C705" s="9"/>
      <c r="D705" s="9"/>
      <c r="E705" s="9"/>
      <c r="F705" s="9"/>
      <c r="G705" s="59"/>
      <c r="H705" s="9"/>
    </row>
    <row r="706">
      <c r="A706" s="9"/>
      <c r="B706" s="9"/>
      <c r="C706" s="9"/>
      <c r="D706" s="9"/>
      <c r="E706" s="9"/>
      <c r="F706" s="9"/>
      <c r="G706" s="59"/>
      <c r="H706" s="9"/>
    </row>
    <row r="707">
      <c r="A707" s="9"/>
      <c r="B707" s="9"/>
      <c r="C707" s="9"/>
      <c r="D707" s="9"/>
      <c r="E707" s="9"/>
      <c r="F707" s="9"/>
      <c r="G707" s="59"/>
      <c r="H707" s="9"/>
    </row>
    <row r="708">
      <c r="A708" s="9"/>
      <c r="B708" s="9"/>
      <c r="C708" s="9"/>
      <c r="D708" s="9"/>
      <c r="E708" s="9"/>
      <c r="F708" s="9"/>
      <c r="G708" s="59"/>
      <c r="H708" s="9"/>
    </row>
    <row r="709">
      <c r="A709" s="9"/>
      <c r="B709" s="9"/>
      <c r="C709" s="9"/>
      <c r="D709" s="9"/>
      <c r="E709" s="9"/>
      <c r="F709" s="9"/>
      <c r="G709" s="59"/>
      <c r="H709" s="9"/>
    </row>
    <row r="710">
      <c r="A710" s="9"/>
      <c r="B710" s="9"/>
      <c r="C710" s="9"/>
      <c r="D710" s="9"/>
      <c r="E710" s="9"/>
      <c r="F710" s="9"/>
      <c r="G710" s="59"/>
      <c r="H710" s="9"/>
    </row>
    <row r="711">
      <c r="A711" s="9"/>
      <c r="B711" s="9"/>
      <c r="C711" s="9"/>
      <c r="D711" s="9"/>
      <c r="E711" s="9"/>
      <c r="F711" s="9"/>
      <c r="G711" s="59"/>
      <c r="H711" s="9"/>
    </row>
    <row r="712">
      <c r="A712" s="9"/>
      <c r="B712" s="9"/>
      <c r="C712" s="9"/>
      <c r="D712" s="9"/>
      <c r="E712" s="9"/>
      <c r="F712" s="9"/>
      <c r="G712" s="59"/>
      <c r="H712" s="9"/>
    </row>
    <row r="713">
      <c r="A713" s="9"/>
      <c r="B713" s="9"/>
      <c r="C713" s="9"/>
      <c r="D713" s="9"/>
      <c r="E713" s="9"/>
      <c r="F713" s="9"/>
      <c r="G713" s="59"/>
      <c r="H713" s="9"/>
    </row>
    <row r="714">
      <c r="A714" s="9"/>
      <c r="B714" s="9"/>
      <c r="C714" s="9"/>
      <c r="D714" s="9"/>
      <c r="E714" s="9"/>
      <c r="F714" s="9"/>
      <c r="G714" s="59"/>
      <c r="H714" s="9"/>
    </row>
    <row r="715">
      <c r="A715" s="9"/>
      <c r="B715" s="9"/>
      <c r="C715" s="9"/>
      <c r="D715" s="9"/>
      <c r="E715" s="9"/>
      <c r="F715" s="9"/>
      <c r="G715" s="59"/>
      <c r="H715" s="9"/>
    </row>
    <row r="716">
      <c r="A716" s="9"/>
      <c r="B716" s="9"/>
      <c r="C716" s="9"/>
      <c r="D716" s="9"/>
      <c r="E716" s="9"/>
      <c r="F716" s="9"/>
      <c r="G716" s="59"/>
      <c r="H716" s="9"/>
    </row>
    <row r="717">
      <c r="A717" s="9"/>
      <c r="B717" s="9"/>
      <c r="C717" s="9"/>
      <c r="D717" s="9"/>
      <c r="E717" s="9"/>
      <c r="F717" s="9"/>
      <c r="G717" s="59"/>
      <c r="H717" s="9"/>
    </row>
    <row r="718">
      <c r="A718" s="9"/>
      <c r="B718" s="9"/>
      <c r="C718" s="9"/>
      <c r="D718" s="9"/>
      <c r="E718" s="9"/>
      <c r="F718" s="9"/>
      <c r="G718" s="59"/>
      <c r="H718" s="9"/>
    </row>
    <row r="719">
      <c r="A719" s="9"/>
      <c r="B719" s="9"/>
      <c r="C719" s="9"/>
      <c r="D719" s="9"/>
      <c r="E719" s="9"/>
      <c r="F719" s="9"/>
      <c r="G719" s="59"/>
      <c r="H719" s="9"/>
    </row>
    <row r="720">
      <c r="A720" s="9"/>
      <c r="B720" s="9"/>
      <c r="C720" s="9"/>
      <c r="D720" s="9"/>
      <c r="E720" s="9"/>
      <c r="F720" s="9"/>
      <c r="G720" s="59"/>
      <c r="H720" s="9"/>
    </row>
    <row r="721">
      <c r="A721" s="9"/>
      <c r="B721" s="9"/>
      <c r="C721" s="9"/>
      <c r="D721" s="9"/>
      <c r="E721" s="9"/>
      <c r="F721" s="9"/>
      <c r="G721" s="59"/>
      <c r="H721" s="9"/>
    </row>
    <row r="722">
      <c r="A722" s="9"/>
      <c r="B722" s="9"/>
      <c r="C722" s="9"/>
      <c r="D722" s="9"/>
      <c r="E722" s="9"/>
      <c r="F722" s="9"/>
      <c r="G722" s="59"/>
      <c r="H722" s="9"/>
    </row>
    <row r="723">
      <c r="A723" s="9"/>
      <c r="B723" s="9"/>
      <c r="C723" s="9"/>
      <c r="D723" s="9"/>
      <c r="E723" s="9"/>
      <c r="F723" s="9"/>
      <c r="G723" s="59"/>
      <c r="H723" s="9"/>
    </row>
    <row r="724">
      <c r="A724" s="9"/>
      <c r="B724" s="9"/>
      <c r="C724" s="9"/>
      <c r="D724" s="9"/>
      <c r="E724" s="9"/>
      <c r="F724" s="9"/>
      <c r="G724" s="59"/>
      <c r="H724" s="9"/>
    </row>
    <row r="725">
      <c r="A725" s="9"/>
      <c r="B725" s="9"/>
      <c r="C725" s="9"/>
      <c r="D725" s="9"/>
      <c r="E725" s="9"/>
      <c r="F725" s="9"/>
      <c r="G725" s="59"/>
      <c r="H725" s="9"/>
    </row>
    <row r="726">
      <c r="A726" s="9"/>
      <c r="B726" s="9"/>
      <c r="C726" s="9"/>
      <c r="D726" s="9"/>
      <c r="E726" s="9"/>
      <c r="F726" s="9"/>
      <c r="G726" s="59"/>
      <c r="H726" s="9"/>
    </row>
    <row r="727">
      <c r="A727" s="9"/>
      <c r="B727" s="9"/>
      <c r="C727" s="9"/>
      <c r="D727" s="9"/>
      <c r="E727" s="9"/>
      <c r="F727" s="9"/>
      <c r="G727" s="59"/>
      <c r="H727" s="9"/>
    </row>
    <row r="728">
      <c r="A728" s="9"/>
      <c r="B728" s="9"/>
      <c r="C728" s="9"/>
      <c r="D728" s="9"/>
      <c r="E728" s="9"/>
      <c r="F728" s="9"/>
      <c r="G728" s="59"/>
      <c r="H728" s="9"/>
    </row>
    <row r="729">
      <c r="A729" s="9"/>
      <c r="B729" s="9"/>
      <c r="C729" s="9"/>
      <c r="D729" s="9"/>
      <c r="E729" s="9"/>
      <c r="F729" s="9"/>
      <c r="G729" s="59"/>
      <c r="H729" s="9"/>
    </row>
    <row r="730">
      <c r="A730" s="9"/>
      <c r="B730" s="9"/>
      <c r="C730" s="9"/>
      <c r="D730" s="9"/>
      <c r="E730" s="9"/>
      <c r="F730" s="9"/>
      <c r="G730" s="59"/>
      <c r="H730" s="9"/>
    </row>
    <row r="731">
      <c r="A731" s="9"/>
      <c r="B731" s="9"/>
      <c r="C731" s="9"/>
      <c r="D731" s="9"/>
      <c r="E731" s="9"/>
      <c r="F731" s="9"/>
      <c r="G731" s="59"/>
      <c r="H731" s="9"/>
    </row>
    <row r="732">
      <c r="A732" s="9"/>
      <c r="B732" s="9"/>
      <c r="C732" s="9"/>
      <c r="D732" s="9"/>
      <c r="E732" s="9"/>
      <c r="F732" s="9"/>
      <c r="G732" s="59"/>
      <c r="H732" s="9"/>
    </row>
    <row r="733">
      <c r="A733" s="9"/>
      <c r="B733" s="9"/>
      <c r="C733" s="9"/>
      <c r="D733" s="9"/>
      <c r="E733" s="9"/>
      <c r="F733" s="9"/>
      <c r="G733" s="59"/>
      <c r="H733" s="9"/>
    </row>
    <row r="734">
      <c r="A734" s="9"/>
      <c r="B734" s="9"/>
      <c r="C734" s="9"/>
      <c r="D734" s="9"/>
      <c r="E734" s="9"/>
      <c r="F734" s="9"/>
      <c r="G734" s="59"/>
      <c r="H734" s="9"/>
    </row>
    <row r="735">
      <c r="A735" s="9"/>
      <c r="B735" s="9"/>
      <c r="C735" s="9"/>
      <c r="D735" s="9"/>
      <c r="E735" s="9"/>
      <c r="F735" s="9"/>
      <c r="G735" s="59"/>
      <c r="H735" s="9"/>
    </row>
    <row r="736">
      <c r="A736" s="9"/>
      <c r="B736" s="9"/>
      <c r="C736" s="9"/>
      <c r="D736" s="9"/>
      <c r="E736" s="9"/>
      <c r="F736" s="9"/>
      <c r="G736" s="59"/>
      <c r="H736" s="9"/>
    </row>
    <row r="737">
      <c r="A737" s="9"/>
      <c r="B737" s="9"/>
      <c r="C737" s="9"/>
      <c r="D737" s="9"/>
      <c r="E737" s="9"/>
      <c r="F737" s="9"/>
      <c r="G737" s="59"/>
      <c r="H737" s="9"/>
    </row>
    <row r="738">
      <c r="A738" s="9"/>
      <c r="B738" s="9"/>
      <c r="C738" s="9"/>
      <c r="D738" s="9"/>
      <c r="E738" s="9"/>
      <c r="F738" s="9"/>
      <c r="G738" s="59"/>
      <c r="H738" s="9"/>
    </row>
    <row r="739">
      <c r="A739" s="9"/>
      <c r="B739" s="9"/>
      <c r="C739" s="9"/>
      <c r="D739" s="9"/>
      <c r="E739" s="9"/>
      <c r="F739" s="9"/>
      <c r="G739" s="59"/>
      <c r="H739" s="9"/>
    </row>
    <row r="740">
      <c r="A740" s="9"/>
      <c r="B740" s="9"/>
      <c r="C740" s="9"/>
      <c r="D740" s="9"/>
      <c r="E740" s="9"/>
      <c r="F740" s="9"/>
      <c r="G740" s="59"/>
      <c r="H740" s="9"/>
    </row>
    <row r="741">
      <c r="A741" s="9"/>
      <c r="B741" s="9"/>
      <c r="C741" s="9"/>
      <c r="D741" s="9"/>
      <c r="E741" s="9"/>
      <c r="F741" s="9"/>
      <c r="G741" s="59"/>
      <c r="H741" s="9"/>
    </row>
    <row r="742">
      <c r="A742" s="9"/>
      <c r="B742" s="9"/>
      <c r="C742" s="9"/>
      <c r="D742" s="9"/>
      <c r="E742" s="9"/>
      <c r="F742" s="9"/>
      <c r="G742" s="59"/>
      <c r="H742" s="9"/>
    </row>
    <row r="743">
      <c r="A743" s="9"/>
      <c r="B743" s="9"/>
      <c r="C743" s="9"/>
      <c r="D743" s="9"/>
      <c r="E743" s="9"/>
      <c r="F743" s="9"/>
      <c r="G743" s="59"/>
      <c r="H743" s="9"/>
    </row>
    <row r="744">
      <c r="A744" s="9"/>
      <c r="B744" s="9"/>
      <c r="C744" s="9"/>
      <c r="D744" s="9"/>
      <c r="E744" s="9"/>
      <c r="F744" s="9"/>
      <c r="G744" s="59"/>
      <c r="H744" s="9"/>
    </row>
    <row r="745">
      <c r="A745" s="9"/>
      <c r="B745" s="9"/>
      <c r="C745" s="9"/>
      <c r="D745" s="9"/>
      <c r="E745" s="9"/>
      <c r="F745" s="9"/>
      <c r="G745" s="59"/>
      <c r="H745" s="9"/>
    </row>
    <row r="746">
      <c r="A746" s="9"/>
      <c r="B746" s="9"/>
      <c r="C746" s="9"/>
      <c r="D746" s="9"/>
      <c r="E746" s="9"/>
      <c r="F746" s="9"/>
      <c r="G746" s="59"/>
      <c r="H746" s="9"/>
    </row>
    <row r="747">
      <c r="A747" s="9"/>
      <c r="B747" s="9"/>
      <c r="C747" s="9"/>
      <c r="D747" s="9"/>
      <c r="E747" s="9"/>
      <c r="F747" s="9"/>
      <c r="G747" s="59"/>
      <c r="H747" s="9"/>
    </row>
    <row r="748">
      <c r="A748" s="9"/>
      <c r="B748" s="9"/>
      <c r="C748" s="9"/>
      <c r="D748" s="9"/>
      <c r="E748" s="9"/>
      <c r="F748" s="9"/>
      <c r="G748" s="59"/>
      <c r="H748" s="9"/>
    </row>
    <row r="749">
      <c r="A749" s="9"/>
      <c r="B749" s="9"/>
      <c r="C749" s="9"/>
      <c r="D749" s="9"/>
      <c r="E749" s="9"/>
      <c r="F749" s="9"/>
      <c r="G749" s="59"/>
      <c r="H749" s="9"/>
    </row>
    <row r="750">
      <c r="A750" s="9"/>
      <c r="B750" s="9"/>
      <c r="C750" s="9"/>
      <c r="D750" s="9"/>
      <c r="E750" s="9"/>
      <c r="F750" s="9"/>
      <c r="G750" s="59"/>
      <c r="H750" s="9"/>
    </row>
    <row r="751">
      <c r="A751" s="9"/>
      <c r="B751" s="9"/>
      <c r="C751" s="9"/>
      <c r="D751" s="9"/>
      <c r="E751" s="9"/>
      <c r="F751" s="9"/>
      <c r="G751" s="59"/>
      <c r="H751" s="9"/>
    </row>
    <row r="752">
      <c r="A752" s="9"/>
      <c r="B752" s="9"/>
      <c r="C752" s="9"/>
      <c r="D752" s="9"/>
      <c r="E752" s="9"/>
      <c r="F752" s="9"/>
      <c r="G752" s="59"/>
      <c r="H752" s="9"/>
    </row>
    <row r="753">
      <c r="A753" s="9"/>
      <c r="B753" s="9"/>
      <c r="C753" s="9"/>
      <c r="D753" s="9"/>
      <c r="E753" s="9"/>
      <c r="F753" s="9"/>
      <c r="G753" s="59"/>
      <c r="H753" s="9"/>
    </row>
    <row r="754">
      <c r="A754" s="9"/>
      <c r="B754" s="9"/>
      <c r="C754" s="9"/>
      <c r="D754" s="9"/>
      <c r="E754" s="9"/>
      <c r="F754" s="9"/>
      <c r="G754" s="59"/>
      <c r="H754" s="9"/>
    </row>
    <row r="755">
      <c r="A755" s="9"/>
      <c r="B755" s="9"/>
      <c r="C755" s="9"/>
      <c r="D755" s="9"/>
      <c r="E755" s="9"/>
      <c r="F755" s="9"/>
      <c r="G755" s="59"/>
      <c r="H755" s="9"/>
    </row>
    <row r="756">
      <c r="A756" s="9"/>
      <c r="B756" s="9"/>
      <c r="C756" s="9"/>
      <c r="D756" s="9"/>
      <c r="E756" s="9"/>
      <c r="F756" s="9"/>
      <c r="G756" s="59"/>
      <c r="H756" s="9"/>
    </row>
    <row r="757">
      <c r="A757" s="9"/>
      <c r="B757" s="9"/>
      <c r="C757" s="9"/>
      <c r="D757" s="9"/>
      <c r="E757" s="9"/>
      <c r="F757" s="9"/>
      <c r="G757" s="59"/>
      <c r="H757" s="9"/>
    </row>
    <row r="758">
      <c r="A758" s="9"/>
      <c r="B758" s="9"/>
      <c r="C758" s="9"/>
      <c r="D758" s="9"/>
      <c r="E758" s="9"/>
      <c r="F758" s="9"/>
      <c r="G758" s="59"/>
      <c r="H758" s="9"/>
    </row>
    <row r="759">
      <c r="A759" s="9"/>
      <c r="B759" s="9"/>
      <c r="C759" s="9"/>
      <c r="D759" s="9"/>
      <c r="E759" s="9"/>
      <c r="F759" s="9"/>
      <c r="G759" s="59"/>
      <c r="H759" s="9"/>
    </row>
    <row r="760">
      <c r="A760" s="9"/>
      <c r="B760" s="9"/>
      <c r="C760" s="9"/>
      <c r="D760" s="9"/>
      <c r="E760" s="9"/>
      <c r="F760" s="9"/>
      <c r="G760" s="59"/>
      <c r="H760" s="9"/>
    </row>
    <row r="761">
      <c r="A761" s="9"/>
      <c r="B761" s="9"/>
      <c r="C761" s="9"/>
      <c r="D761" s="9"/>
      <c r="E761" s="9"/>
      <c r="F761" s="9"/>
      <c r="G761" s="59"/>
      <c r="H761" s="9"/>
    </row>
    <row r="762">
      <c r="A762" s="9"/>
      <c r="B762" s="9"/>
      <c r="C762" s="9"/>
      <c r="D762" s="9"/>
      <c r="E762" s="9"/>
      <c r="F762" s="9"/>
      <c r="G762" s="59"/>
      <c r="H762" s="9"/>
    </row>
    <row r="763">
      <c r="A763" s="9"/>
      <c r="B763" s="9"/>
      <c r="C763" s="9"/>
      <c r="D763" s="9"/>
      <c r="E763" s="9"/>
      <c r="F763" s="9"/>
      <c r="G763" s="59"/>
      <c r="H763" s="9"/>
    </row>
    <row r="764">
      <c r="A764" s="9"/>
      <c r="B764" s="9"/>
      <c r="C764" s="9"/>
      <c r="D764" s="9"/>
      <c r="E764" s="9"/>
      <c r="F764" s="9"/>
      <c r="G764" s="59"/>
      <c r="H764" s="9"/>
    </row>
    <row r="765">
      <c r="A765" s="9"/>
      <c r="B765" s="9"/>
      <c r="C765" s="9"/>
      <c r="D765" s="9"/>
      <c r="E765" s="9"/>
      <c r="F765" s="9"/>
      <c r="G765" s="59"/>
      <c r="H765" s="9"/>
    </row>
    <row r="766">
      <c r="A766" s="9"/>
      <c r="B766" s="9"/>
      <c r="C766" s="9"/>
      <c r="D766" s="9"/>
      <c r="E766" s="9"/>
      <c r="F766" s="9"/>
      <c r="G766" s="59"/>
      <c r="H766" s="9"/>
    </row>
    <row r="767">
      <c r="A767" s="9"/>
      <c r="B767" s="9"/>
      <c r="C767" s="9"/>
      <c r="D767" s="9"/>
      <c r="E767" s="9"/>
      <c r="F767" s="9"/>
      <c r="G767" s="59"/>
      <c r="H767" s="9"/>
    </row>
    <row r="768">
      <c r="A768" s="9"/>
      <c r="B768" s="9"/>
      <c r="C768" s="9"/>
      <c r="D768" s="9"/>
      <c r="E768" s="9"/>
      <c r="F768" s="9"/>
      <c r="G768" s="59"/>
      <c r="H768" s="9"/>
    </row>
    <row r="769">
      <c r="A769" s="9"/>
      <c r="B769" s="9"/>
      <c r="C769" s="9"/>
      <c r="D769" s="9"/>
      <c r="E769" s="9"/>
      <c r="F769" s="9"/>
      <c r="G769" s="59"/>
      <c r="H769" s="9"/>
    </row>
    <row r="770">
      <c r="A770" s="9"/>
      <c r="B770" s="9"/>
      <c r="C770" s="9"/>
      <c r="D770" s="9"/>
      <c r="E770" s="9"/>
      <c r="F770" s="9"/>
      <c r="G770" s="59"/>
      <c r="H770" s="9"/>
    </row>
    <row r="771">
      <c r="A771" s="9"/>
      <c r="B771" s="9"/>
      <c r="C771" s="9"/>
      <c r="D771" s="9"/>
      <c r="E771" s="9"/>
      <c r="F771" s="9"/>
      <c r="G771" s="59"/>
      <c r="H771" s="9"/>
    </row>
    <row r="772">
      <c r="A772" s="9"/>
      <c r="B772" s="9"/>
      <c r="C772" s="9"/>
      <c r="D772" s="9"/>
      <c r="E772" s="9"/>
      <c r="F772" s="9"/>
      <c r="G772" s="59"/>
      <c r="H772" s="9"/>
    </row>
    <row r="773">
      <c r="A773" s="9"/>
      <c r="B773" s="9"/>
      <c r="C773" s="9"/>
      <c r="D773" s="9"/>
      <c r="E773" s="9"/>
      <c r="F773" s="9"/>
      <c r="G773" s="59"/>
      <c r="H773" s="9"/>
    </row>
    <row r="774">
      <c r="A774" s="9"/>
      <c r="B774" s="9"/>
      <c r="C774" s="9"/>
      <c r="D774" s="9"/>
      <c r="E774" s="9"/>
      <c r="F774" s="9"/>
      <c r="G774" s="59"/>
      <c r="H774" s="9"/>
    </row>
    <row r="775">
      <c r="A775" s="9"/>
      <c r="B775" s="9"/>
      <c r="C775" s="9"/>
      <c r="D775" s="9"/>
      <c r="E775" s="9"/>
      <c r="F775" s="9"/>
      <c r="G775" s="59"/>
      <c r="H775" s="9"/>
    </row>
    <row r="776">
      <c r="A776" s="9"/>
      <c r="B776" s="9"/>
      <c r="C776" s="9"/>
      <c r="D776" s="9"/>
      <c r="E776" s="9"/>
      <c r="F776" s="9"/>
      <c r="G776" s="59"/>
      <c r="H776" s="9"/>
    </row>
    <row r="777">
      <c r="A777" s="9"/>
      <c r="B777" s="9"/>
      <c r="C777" s="9"/>
      <c r="D777" s="9"/>
      <c r="E777" s="9"/>
      <c r="F777" s="9"/>
      <c r="G777" s="59"/>
      <c r="H777" s="9"/>
    </row>
    <row r="778">
      <c r="A778" s="9"/>
      <c r="B778" s="9"/>
      <c r="C778" s="9"/>
      <c r="D778" s="9"/>
      <c r="E778" s="9"/>
      <c r="F778" s="9"/>
      <c r="G778" s="59"/>
      <c r="H778" s="9"/>
    </row>
    <row r="779">
      <c r="A779" s="9"/>
      <c r="B779" s="9"/>
      <c r="C779" s="9"/>
      <c r="D779" s="9"/>
      <c r="E779" s="9"/>
      <c r="F779" s="9"/>
      <c r="G779" s="59"/>
      <c r="H779" s="9"/>
    </row>
    <row r="780">
      <c r="A780" s="9"/>
      <c r="B780" s="9"/>
      <c r="C780" s="9"/>
      <c r="D780" s="9"/>
      <c r="E780" s="9"/>
      <c r="F780" s="9"/>
      <c r="G780" s="59"/>
      <c r="H780" s="9"/>
    </row>
    <row r="781">
      <c r="A781" s="9"/>
      <c r="B781" s="9"/>
      <c r="C781" s="9"/>
      <c r="D781" s="9"/>
      <c r="E781" s="9"/>
      <c r="F781" s="9"/>
      <c r="G781" s="59"/>
      <c r="H781" s="9"/>
    </row>
    <row r="782">
      <c r="A782" s="9"/>
      <c r="B782" s="9"/>
      <c r="C782" s="9"/>
      <c r="D782" s="9"/>
      <c r="E782" s="9"/>
      <c r="F782" s="9"/>
      <c r="G782" s="59"/>
      <c r="H782" s="9"/>
    </row>
    <row r="783">
      <c r="A783" s="9"/>
      <c r="B783" s="9"/>
      <c r="C783" s="9"/>
      <c r="D783" s="9"/>
      <c r="E783" s="9"/>
      <c r="F783" s="9"/>
      <c r="G783" s="59"/>
      <c r="H783" s="9"/>
    </row>
    <row r="784">
      <c r="A784" s="9"/>
      <c r="B784" s="9"/>
      <c r="C784" s="9"/>
      <c r="D784" s="9"/>
      <c r="E784" s="9"/>
      <c r="F784" s="9"/>
      <c r="G784" s="59"/>
      <c r="H784" s="9"/>
    </row>
    <row r="785">
      <c r="A785" s="9"/>
      <c r="B785" s="9"/>
      <c r="C785" s="9"/>
      <c r="D785" s="9"/>
      <c r="E785" s="9"/>
      <c r="F785" s="9"/>
      <c r="G785" s="59"/>
      <c r="H785" s="9"/>
    </row>
    <row r="786">
      <c r="A786" s="9"/>
      <c r="B786" s="9"/>
      <c r="C786" s="9"/>
      <c r="D786" s="9"/>
      <c r="E786" s="9"/>
      <c r="F786" s="9"/>
      <c r="G786" s="59"/>
      <c r="H786" s="9"/>
    </row>
    <row r="787">
      <c r="A787" s="9"/>
      <c r="B787" s="9"/>
      <c r="C787" s="9"/>
      <c r="D787" s="9"/>
      <c r="E787" s="9"/>
      <c r="F787" s="9"/>
      <c r="G787" s="59"/>
      <c r="H787" s="9"/>
    </row>
    <row r="788">
      <c r="A788" s="9"/>
      <c r="B788" s="9"/>
      <c r="C788" s="9"/>
      <c r="D788" s="9"/>
      <c r="E788" s="9"/>
      <c r="F788" s="9"/>
      <c r="G788" s="59"/>
      <c r="H788" s="9"/>
    </row>
    <row r="789">
      <c r="A789" s="9"/>
      <c r="B789" s="9"/>
      <c r="C789" s="9"/>
      <c r="D789" s="9"/>
      <c r="E789" s="9"/>
      <c r="F789" s="9"/>
      <c r="G789" s="59"/>
      <c r="H789" s="9"/>
    </row>
    <row r="790">
      <c r="A790" s="9"/>
      <c r="B790" s="9"/>
      <c r="C790" s="9"/>
      <c r="D790" s="9"/>
      <c r="E790" s="9"/>
      <c r="F790" s="9"/>
      <c r="G790" s="59"/>
      <c r="H790" s="9"/>
    </row>
    <row r="791">
      <c r="A791" s="9"/>
      <c r="B791" s="9"/>
      <c r="C791" s="9"/>
      <c r="D791" s="9"/>
      <c r="E791" s="9"/>
      <c r="F791" s="9"/>
      <c r="G791" s="59"/>
      <c r="H791" s="9"/>
    </row>
    <row r="792">
      <c r="A792" s="9"/>
      <c r="B792" s="9"/>
      <c r="C792" s="9"/>
      <c r="D792" s="9"/>
      <c r="E792" s="9"/>
      <c r="F792" s="9"/>
      <c r="G792" s="59"/>
      <c r="H792" s="9"/>
    </row>
    <row r="793">
      <c r="A793" s="9"/>
      <c r="B793" s="9"/>
      <c r="C793" s="9"/>
      <c r="D793" s="9"/>
      <c r="E793" s="9"/>
      <c r="F793" s="9"/>
      <c r="G793" s="59"/>
      <c r="H793" s="9"/>
    </row>
    <row r="794">
      <c r="A794" s="9"/>
      <c r="B794" s="9"/>
      <c r="C794" s="9"/>
      <c r="D794" s="9"/>
      <c r="E794" s="9"/>
      <c r="F794" s="9"/>
      <c r="G794" s="59"/>
      <c r="H794" s="9"/>
    </row>
    <row r="795">
      <c r="A795" s="9"/>
      <c r="B795" s="9"/>
      <c r="C795" s="9"/>
      <c r="D795" s="9"/>
      <c r="E795" s="9"/>
      <c r="F795" s="9"/>
      <c r="G795" s="59"/>
      <c r="H795" s="9"/>
    </row>
    <row r="796">
      <c r="A796" s="9"/>
      <c r="B796" s="9"/>
      <c r="C796" s="9"/>
      <c r="D796" s="9"/>
      <c r="E796" s="9"/>
      <c r="F796" s="9"/>
      <c r="G796" s="59"/>
      <c r="H796" s="9"/>
    </row>
    <row r="797">
      <c r="A797" s="9"/>
      <c r="B797" s="9"/>
      <c r="C797" s="9"/>
      <c r="D797" s="9"/>
      <c r="E797" s="9"/>
      <c r="F797" s="9"/>
      <c r="G797" s="59"/>
      <c r="H797" s="9"/>
    </row>
    <row r="798">
      <c r="A798" s="9"/>
      <c r="B798" s="9"/>
      <c r="C798" s="9"/>
      <c r="D798" s="9"/>
      <c r="E798" s="9"/>
      <c r="F798" s="9"/>
      <c r="G798" s="59"/>
      <c r="H798" s="9"/>
    </row>
    <row r="799">
      <c r="A799" s="9"/>
      <c r="B799" s="9"/>
      <c r="C799" s="9"/>
      <c r="D799" s="9"/>
      <c r="E799" s="9"/>
      <c r="F799" s="9"/>
      <c r="G799" s="59"/>
      <c r="H799" s="9"/>
    </row>
    <row r="800">
      <c r="A800" s="9"/>
      <c r="B800" s="9"/>
      <c r="C800" s="9"/>
      <c r="D800" s="9"/>
      <c r="E800" s="9"/>
      <c r="F800" s="9"/>
      <c r="G800" s="59"/>
      <c r="H800" s="9"/>
    </row>
    <row r="801">
      <c r="A801" s="9"/>
      <c r="B801" s="9"/>
      <c r="C801" s="9"/>
      <c r="D801" s="9"/>
      <c r="E801" s="9"/>
      <c r="F801" s="9"/>
      <c r="G801" s="59"/>
      <c r="H801" s="9"/>
    </row>
    <row r="802">
      <c r="A802" s="9"/>
      <c r="B802" s="9"/>
      <c r="C802" s="9"/>
      <c r="D802" s="9"/>
      <c r="E802" s="9"/>
      <c r="F802" s="9"/>
      <c r="G802" s="59"/>
      <c r="H802" s="9"/>
    </row>
    <row r="803">
      <c r="A803" s="9"/>
      <c r="B803" s="9"/>
      <c r="C803" s="9"/>
      <c r="D803" s="9"/>
      <c r="E803" s="9"/>
      <c r="F803" s="9"/>
      <c r="G803" s="59"/>
      <c r="H803" s="9"/>
    </row>
    <row r="804">
      <c r="A804" s="9"/>
      <c r="B804" s="9"/>
      <c r="C804" s="9"/>
      <c r="D804" s="9"/>
      <c r="E804" s="9"/>
      <c r="F804" s="9"/>
      <c r="G804" s="59"/>
      <c r="H804" s="9"/>
    </row>
    <row r="805">
      <c r="A805" s="9"/>
      <c r="B805" s="9"/>
      <c r="C805" s="9"/>
      <c r="D805" s="9"/>
      <c r="E805" s="9"/>
      <c r="F805" s="9"/>
      <c r="G805" s="59"/>
      <c r="H805" s="9"/>
    </row>
    <row r="806">
      <c r="A806" s="9"/>
      <c r="B806" s="9"/>
      <c r="C806" s="9"/>
      <c r="D806" s="9"/>
      <c r="E806" s="9"/>
      <c r="F806" s="9"/>
      <c r="G806" s="59"/>
      <c r="H806" s="9"/>
    </row>
    <row r="807">
      <c r="A807" s="9"/>
      <c r="B807" s="9"/>
      <c r="C807" s="9"/>
      <c r="D807" s="9"/>
      <c r="E807" s="9"/>
      <c r="F807" s="9"/>
      <c r="G807" s="59"/>
      <c r="H807" s="9"/>
    </row>
    <row r="808">
      <c r="A808" s="9"/>
      <c r="B808" s="9"/>
      <c r="C808" s="9"/>
      <c r="D808" s="9"/>
      <c r="E808" s="9"/>
      <c r="F808" s="9"/>
      <c r="G808" s="59"/>
      <c r="H808" s="9"/>
    </row>
    <row r="809">
      <c r="A809" s="9"/>
      <c r="B809" s="9"/>
      <c r="C809" s="9"/>
      <c r="D809" s="9"/>
      <c r="E809" s="9"/>
      <c r="F809" s="9"/>
      <c r="G809" s="59"/>
      <c r="H809" s="9"/>
    </row>
    <row r="810">
      <c r="A810" s="9"/>
      <c r="B810" s="9"/>
      <c r="C810" s="9"/>
      <c r="D810" s="9"/>
      <c r="E810" s="9"/>
      <c r="F810" s="9"/>
      <c r="G810" s="59"/>
      <c r="H810" s="9"/>
    </row>
    <row r="811">
      <c r="A811" s="9"/>
      <c r="B811" s="9"/>
      <c r="C811" s="9"/>
      <c r="D811" s="9"/>
      <c r="E811" s="9"/>
      <c r="F811" s="9"/>
      <c r="G811" s="59"/>
      <c r="H811" s="9"/>
    </row>
    <row r="812">
      <c r="A812" s="9"/>
      <c r="B812" s="9"/>
      <c r="C812" s="9"/>
      <c r="D812" s="9"/>
      <c r="E812" s="9"/>
      <c r="F812" s="9"/>
      <c r="G812" s="59"/>
      <c r="H812" s="9"/>
    </row>
    <row r="813">
      <c r="A813" s="9"/>
      <c r="B813" s="9"/>
      <c r="C813" s="9"/>
      <c r="D813" s="9"/>
      <c r="E813" s="9"/>
      <c r="F813" s="9"/>
      <c r="G813" s="59"/>
      <c r="H813" s="9"/>
    </row>
    <row r="814">
      <c r="A814" s="9"/>
      <c r="B814" s="9"/>
      <c r="C814" s="9"/>
      <c r="D814" s="9"/>
      <c r="E814" s="9"/>
      <c r="F814" s="9"/>
      <c r="G814" s="59"/>
      <c r="H814" s="9"/>
    </row>
    <row r="815">
      <c r="A815" s="9"/>
      <c r="B815" s="9"/>
      <c r="C815" s="9"/>
      <c r="D815" s="9"/>
      <c r="E815" s="9"/>
      <c r="F815" s="9"/>
      <c r="G815" s="59"/>
      <c r="H815" s="9"/>
    </row>
    <row r="816">
      <c r="A816" s="9"/>
      <c r="B816" s="9"/>
      <c r="C816" s="9"/>
      <c r="D816" s="9"/>
      <c r="E816" s="9"/>
      <c r="F816" s="9"/>
      <c r="G816" s="59"/>
      <c r="H816" s="9"/>
    </row>
    <row r="817">
      <c r="A817" s="9"/>
      <c r="B817" s="9"/>
      <c r="C817" s="9"/>
      <c r="D817" s="9"/>
      <c r="E817" s="9"/>
      <c r="F817" s="9"/>
      <c r="G817" s="59"/>
      <c r="H817" s="9"/>
    </row>
    <row r="818">
      <c r="A818" s="9"/>
      <c r="B818" s="9"/>
      <c r="C818" s="9"/>
      <c r="D818" s="9"/>
      <c r="E818" s="9"/>
      <c r="F818" s="9"/>
      <c r="G818" s="59"/>
      <c r="H818" s="9"/>
    </row>
    <row r="819">
      <c r="A819" s="9"/>
      <c r="B819" s="9"/>
      <c r="C819" s="9"/>
      <c r="D819" s="9"/>
      <c r="E819" s="9"/>
      <c r="F819" s="9"/>
      <c r="G819" s="59"/>
      <c r="H819" s="9"/>
    </row>
    <row r="820">
      <c r="A820" s="9"/>
      <c r="B820" s="9"/>
      <c r="C820" s="9"/>
      <c r="D820" s="9"/>
      <c r="E820" s="9"/>
      <c r="F820" s="9"/>
      <c r="G820" s="59"/>
      <c r="H820" s="9"/>
    </row>
    <row r="821">
      <c r="A821" s="9"/>
      <c r="B821" s="9"/>
      <c r="C821" s="9"/>
      <c r="D821" s="9"/>
      <c r="E821" s="9"/>
      <c r="F821" s="9"/>
      <c r="G821" s="59"/>
      <c r="H821" s="9"/>
    </row>
    <row r="822">
      <c r="A822" s="9"/>
      <c r="B822" s="9"/>
      <c r="C822" s="9"/>
      <c r="D822" s="9"/>
      <c r="E822" s="9"/>
      <c r="F822" s="9"/>
      <c r="G822" s="59"/>
      <c r="H822" s="9"/>
    </row>
    <row r="823">
      <c r="A823" s="9"/>
      <c r="B823" s="9"/>
      <c r="C823" s="9"/>
      <c r="D823" s="9"/>
      <c r="E823" s="9"/>
      <c r="F823" s="9"/>
      <c r="G823" s="59"/>
      <c r="H823" s="9"/>
    </row>
    <row r="824">
      <c r="A824" s="9"/>
      <c r="B824" s="9"/>
      <c r="C824" s="9"/>
      <c r="D824" s="9"/>
      <c r="E824" s="9"/>
      <c r="F824" s="9"/>
      <c r="G824" s="59"/>
      <c r="H824" s="9"/>
    </row>
    <row r="825">
      <c r="A825" s="9"/>
      <c r="B825" s="9"/>
      <c r="C825" s="9"/>
      <c r="D825" s="9"/>
      <c r="E825" s="9"/>
      <c r="F825" s="9"/>
      <c r="G825" s="59"/>
      <c r="H825" s="9"/>
    </row>
    <row r="826">
      <c r="A826" s="9"/>
      <c r="B826" s="9"/>
      <c r="C826" s="9"/>
      <c r="D826" s="9"/>
      <c r="E826" s="9"/>
      <c r="F826" s="9"/>
      <c r="G826" s="59"/>
      <c r="H826" s="9"/>
    </row>
    <row r="827">
      <c r="A827" s="9"/>
      <c r="B827" s="9"/>
      <c r="C827" s="9"/>
      <c r="D827" s="9"/>
      <c r="E827" s="9"/>
      <c r="F827" s="9"/>
      <c r="G827" s="59"/>
      <c r="H827" s="9"/>
    </row>
    <row r="828">
      <c r="A828" s="9"/>
      <c r="B828" s="9"/>
      <c r="C828" s="9"/>
      <c r="D828" s="9"/>
      <c r="E828" s="9"/>
      <c r="F828" s="9"/>
      <c r="G828" s="59"/>
      <c r="H828" s="9"/>
    </row>
    <row r="829">
      <c r="A829" s="9"/>
      <c r="B829" s="9"/>
      <c r="C829" s="9"/>
      <c r="D829" s="9"/>
      <c r="E829" s="9"/>
      <c r="F829" s="9"/>
      <c r="G829" s="59"/>
      <c r="H829" s="9"/>
    </row>
    <row r="830">
      <c r="A830" s="9"/>
      <c r="B830" s="9"/>
      <c r="C830" s="9"/>
      <c r="D830" s="9"/>
      <c r="E830" s="9"/>
      <c r="F830" s="9"/>
      <c r="G830" s="59"/>
      <c r="H830" s="9"/>
    </row>
    <row r="831">
      <c r="A831" s="9"/>
      <c r="B831" s="9"/>
      <c r="C831" s="9"/>
      <c r="D831" s="9"/>
      <c r="E831" s="9"/>
      <c r="F831" s="9"/>
      <c r="G831" s="59"/>
      <c r="H831" s="9"/>
    </row>
    <row r="832">
      <c r="A832" s="9"/>
      <c r="B832" s="9"/>
      <c r="C832" s="9"/>
      <c r="D832" s="9"/>
      <c r="E832" s="9"/>
      <c r="F832" s="9"/>
      <c r="G832" s="59"/>
      <c r="H832" s="9"/>
    </row>
    <row r="833">
      <c r="A833" s="9"/>
      <c r="B833" s="9"/>
      <c r="C833" s="9"/>
      <c r="D833" s="9"/>
      <c r="E833" s="9"/>
      <c r="F833" s="9"/>
      <c r="G833" s="59"/>
      <c r="H833" s="9"/>
    </row>
    <row r="834">
      <c r="A834" s="9"/>
      <c r="B834" s="9"/>
      <c r="C834" s="9"/>
      <c r="D834" s="9"/>
      <c r="E834" s="9"/>
      <c r="F834" s="9"/>
      <c r="G834" s="59"/>
      <c r="H834" s="9"/>
    </row>
    <row r="835">
      <c r="A835" s="9"/>
      <c r="B835" s="9"/>
      <c r="C835" s="9"/>
      <c r="D835" s="9"/>
      <c r="E835" s="9"/>
      <c r="F835" s="9"/>
      <c r="G835" s="59"/>
      <c r="H835" s="9"/>
    </row>
    <row r="836">
      <c r="A836" s="9"/>
      <c r="B836" s="9"/>
      <c r="C836" s="9"/>
      <c r="D836" s="9"/>
      <c r="E836" s="9"/>
      <c r="F836" s="9"/>
      <c r="G836" s="59"/>
      <c r="H836" s="9"/>
    </row>
    <row r="837">
      <c r="A837" s="9"/>
      <c r="B837" s="9"/>
      <c r="C837" s="9"/>
      <c r="D837" s="9"/>
      <c r="E837" s="9"/>
      <c r="F837" s="9"/>
      <c r="G837" s="59"/>
      <c r="H837" s="9"/>
    </row>
    <row r="838">
      <c r="A838" s="9"/>
      <c r="B838" s="9"/>
      <c r="C838" s="9"/>
      <c r="D838" s="9"/>
      <c r="E838" s="9"/>
      <c r="F838" s="9"/>
      <c r="G838" s="59"/>
      <c r="H838" s="9"/>
    </row>
    <row r="839">
      <c r="A839" s="9"/>
      <c r="B839" s="9"/>
      <c r="C839" s="9"/>
      <c r="D839" s="9"/>
      <c r="E839" s="9"/>
      <c r="F839" s="9"/>
      <c r="G839" s="59"/>
      <c r="H839" s="9"/>
    </row>
    <row r="840">
      <c r="A840" s="9"/>
      <c r="B840" s="9"/>
      <c r="C840" s="9"/>
      <c r="D840" s="9"/>
      <c r="E840" s="9"/>
      <c r="F840" s="9"/>
      <c r="G840" s="59"/>
      <c r="H840" s="9"/>
    </row>
    <row r="841">
      <c r="A841" s="9"/>
      <c r="B841" s="9"/>
      <c r="C841" s="9"/>
      <c r="D841" s="9"/>
      <c r="E841" s="9"/>
      <c r="F841" s="9"/>
      <c r="G841" s="59"/>
      <c r="H841" s="9"/>
    </row>
    <row r="842">
      <c r="A842" s="9"/>
      <c r="B842" s="9"/>
      <c r="C842" s="9"/>
      <c r="D842" s="9"/>
      <c r="E842" s="9"/>
      <c r="F842" s="9"/>
      <c r="G842" s="59"/>
      <c r="H842" s="9"/>
    </row>
    <row r="843">
      <c r="A843" s="9"/>
      <c r="B843" s="9"/>
      <c r="C843" s="9"/>
      <c r="D843" s="9"/>
      <c r="E843" s="9"/>
      <c r="F843" s="9"/>
      <c r="G843" s="59"/>
      <c r="H843" s="9"/>
    </row>
    <row r="844">
      <c r="A844" s="9"/>
      <c r="B844" s="9"/>
      <c r="C844" s="9"/>
      <c r="D844" s="9"/>
      <c r="E844" s="9"/>
      <c r="F844" s="9"/>
      <c r="G844" s="59"/>
      <c r="H844" s="9"/>
    </row>
    <row r="845">
      <c r="A845" s="9"/>
      <c r="B845" s="9"/>
      <c r="C845" s="9"/>
      <c r="D845" s="9"/>
      <c r="E845" s="9"/>
      <c r="F845" s="9"/>
      <c r="G845" s="59"/>
      <c r="H845" s="9"/>
    </row>
    <row r="846">
      <c r="A846" s="9"/>
      <c r="B846" s="9"/>
      <c r="C846" s="9"/>
      <c r="D846" s="9"/>
      <c r="E846" s="9"/>
      <c r="F846" s="9"/>
      <c r="G846" s="59"/>
      <c r="H846" s="9"/>
    </row>
    <row r="847">
      <c r="A847" s="9"/>
      <c r="B847" s="9"/>
      <c r="C847" s="9"/>
      <c r="D847" s="9"/>
      <c r="E847" s="9"/>
      <c r="F847" s="9"/>
      <c r="G847" s="59"/>
      <c r="H847" s="9"/>
    </row>
    <row r="848">
      <c r="A848" s="9"/>
      <c r="B848" s="9"/>
      <c r="C848" s="9"/>
      <c r="D848" s="9"/>
      <c r="E848" s="9"/>
      <c r="F848" s="9"/>
      <c r="G848" s="59"/>
      <c r="H848" s="9"/>
    </row>
    <row r="849">
      <c r="A849" s="9"/>
      <c r="B849" s="9"/>
      <c r="C849" s="9"/>
      <c r="D849" s="9"/>
      <c r="E849" s="9"/>
      <c r="F849" s="9"/>
      <c r="G849" s="59"/>
      <c r="H849" s="9"/>
    </row>
    <row r="850">
      <c r="A850" s="9"/>
      <c r="B850" s="9"/>
      <c r="C850" s="9"/>
      <c r="D850" s="9"/>
      <c r="E850" s="9"/>
      <c r="F850" s="9"/>
      <c r="G850" s="59"/>
      <c r="H850" s="9"/>
    </row>
    <row r="851">
      <c r="A851" s="9"/>
      <c r="B851" s="9"/>
      <c r="C851" s="9"/>
      <c r="D851" s="9"/>
      <c r="E851" s="9"/>
      <c r="F851" s="9"/>
      <c r="G851" s="59"/>
      <c r="H851" s="9"/>
    </row>
    <row r="852">
      <c r="A852" s="9"/>
      <c r="B852" s="9"/>
      <c r="C852" s="9"/>
      <c r="D852" s="9"/>
      <c r="E852" s="9"/>
      <c r="F852" s="9"/>
      <c r="G852" s="59"/>
      <c r="H852" s="9"/>
    </row>
    <row r="853">
      <c r="A853" s="9"/>
      <c r="B853" s="9"/>
      <c r="C853" s="9"/>
      <c r="D853" s="9"/>
      <c r="E853" s="9"/>
      <c r="F853" s="9"/>
      <c r="G853" s="59"/>
      <c r="H853" s="9"/>
    </row>
    <row r="854">
      <c r="A854" s="9"/>
      <c r="B854" s="9"/>
      <c r="C854" s="9"/>
      <c r="D854" s="9"/>
      <c r="E854" s="9"/>
      <c r="F854" s="9"/>
      <c r="G854" s="59"/>
      <c r="H854" s="9"/>
    </row>
    <row r="855">
      <c r="A855" s="9"/>
      <c r="B855" s="9"/>
      <c r="C855" s="9"/>
      <c r="D855" s="9"/>
      <c r="E855" s="9"/>
      <c r="F855" s="9"/>
      <c r="G855" s="59"/>
      <c r="H855" s="9"/>
    </row>
    <row r="856">
      <c r="A856" s="9"/>
      <c r="B856" s="9"/>
      <c r="C856" s="9"/>
      <c r="D856" s="9"/>
      <c r="E856" s="9"/>
      <c r="F856" s="9"/>
      <c r="G856" s="59"/>
      <c r="H856" s="9"/>
    </row>
    <row r="857">
      <c r="A857" s="9"/>
      <c r="B857" s="9"/>
      <c r="C857" s="9"/>
      <c r="D857" s="9"/>
      <c r="E857" s="9"/>
      <c r="F857" s="9"/>
      <c r="G857" s="59"/>
      <c r="H857" s="9"/>
    </row>
    <row r="858">
      <c r="A858" s="9"/>
      <c r="B858" s="9"/>
      <c r="C858" s="9"/>
      <c r="D858" s="9"/>
      <c r="E858" s="9"/>
      <c r="F858" s="9"/>
      <c r="G858" s="59"/>
      <c r="H858" s="9"/>
    </row>
    <row r="859">
      <c r="A859" s="9"/>
      <c r="B859" s="9"/>
      <c r="C859" s="9"/>
      <c r="D859" s="9"/>
      <c r="E859" s="9"/>
      <c r="F859" s="9"/>
      <c r="G859" s="59"/>
      <c r="H859" s="9"/>
    </row>
    <row r="860">
      <c r="A860" s="9"/>
      <c r="B860" s="9"/>
      <c r="C860" s="9"/>
      <c r="D860" s="9"/>
      <c r="E860" s="9"/>
      <c r="F860" s="9"/>
      <c r="G860" s="59"/>
      <c r="H860" s="9"/>
    </row>
    <row r="861">
      <c r="A861" s="9"/>
      <c r="B861" s="9"/>
      <c r="C861" s="9"/>
      <c r="D861" s="9"/>
      <c r="E861" s="9"/>
      <c r="F861" s="9"/>
      <c r="G861" s="59"/>
      <c r="H861" s="9"/>
    </row>
    <row r="862">
      <c r="A862" s="9"/>
      <c r="B862" s="9"/>
      <c r="C862" s="9"/>
      <c r="D862" s="9"/>
      <c r="E862" s="9"/>
      <c r="F862" s="9"/>
      <c r="G862" s="59"/>
      <c r="H862" s="9"/>
    </row>
    <row r="863">
      <c r="A863" s="9"/>
      <c r="B863" s="9"/>
      <c r="C863" s="9"/>
      <c r="D863" s="9"/>
      <c r="E863" s="9"/>
      <c r="F863" s="9"/>
      <c r="G863" s="59"/>
      <c r="H863" s="9"/>
    </row>
    <row r="864">
      <c r="A864" s="9"/>
      <c r="B864" s="9"/>
      <c r="C864" s="9"/>
      <c r="D864" s="9"/>
      <c r="E864" s="9"/>
      <c r="F864" s="9"/>
      <c r="G864" s="59"/>
      <c r="H864" s="9"/>
    </row>
    <row r="865">
      <c r="A865" s="9"/>
      <c r="B865" s="9"/>
      <c r="C865" s="9"/>
      <c r="D865" s="9"/>
      <c r="E865" s="9"/>
      <c r="F865" s="9"/>
      <c r="G865" s="59"/>
      <c r="H865" s="9"/>
    </row>
    <row r="866">
      <c r="A866" s="9"/>
      <c r="B866" s="9"/>
      <c r="C866" s="9"/>
      <c r="D866" s="9"/>
      <c r="E866" s="9"/>
      <c r="F866" s="9"/>
      <c r="G866" s="59"/>
      <c r="H866" s="9"/>
    </row>
    <row r="867">
      <c r="A867" s="9"/>
      <c r="B867" s="9"/>
      <c r="C867" s="9"/>
      <c r="D867" s="9"/>
      <c r="E867" s="9"/>
      <c r="F867" s="9"/>
      <c r="G867" s="59"/>
      <c r="H867" s="9"/>
    </row>
    <row r="868">
      <c r="A868" s="9"/>
      <c r="B868" s="9"/>
      <c r="C868" s="9"/>
      <c r="D868" s="9"/>
      <c r="E868" s="9"/>
      <c r="F868" s="9"/>
      <c r="G868" s="59"/>
      <c r="H868" s="9"/>
    </row>
    <row r="869">
      <c r="A869" s="9"/>
      <c r="B869" s="9"/>
      <c r="C869" s="9"/>
      <c r="D869" s="9"/>
      <c r="E869" s="9"/>
      <c r="F869" s="9"/>
      <c r="G869" s="59"/>
      <c r="H869" s="9"/>
    </row>
    <row r="870">
      <c r="A870" s="9"/>
      <c r="B870" s="9"/>
      <c r="C870" s="9"/>
      <c r="D870" s="9"/>
      <c r="E870" s="9"/>
      <c r="F870" s="9"/>
      <c r="G870" s="59"/>
      <c r="H870" s="9"/>
    </row>
    <row r="871">
      <c r="A871" s="9"/>
      <c r="B871" s="9"/>
      <c r="C871" s="9"/>
      <c r="D871" s="9"/>
      <c r="E871" s="9"/>
      <c r="F871" s="9"/>
      <c r="G871" s="59"/>
      <c r="H871" s="9"/>
    </row>
    <row r="872">
      <c r="A872" s="9"/>
      <c r="B872" s="9"/>
      <c r="C872" s="9"/>
      <c r="D872" s="9"/>
      <c r="E872" s="9"/>
      <c r="F872" s="9"/>
      <c r="G872" s="59"/>
      <c r="H872" s="9"/>
    </row>
    <row r="873">
      <c r="A873" s="9"/>
      <c r="B873" s="9"/>
      <c r="C873" s="9"/>
      <c r="D873" s="9"/>
      <c r="E873" s="9"/>
      <c r="F873" s="9"/>
      <c r="G873" s="59"/>
      <c r="H873" s="9"/>
    </row>
    <row r="874">
      <c r="A874" s="9"/>
      <c r="B874" s="9"/>
      <c r="C874" s="9"/>
      <c r="D874" s="9"/>
      <c r="E874" s="9"/>
      <c r="F874" s="9"/>
      <c r="G874" s="59"/>
      <c r="H874" s="9"/>
    </row>
    <row r="875">
      <c r="A875" s="9"/>
      <c r="B875" s="9"/>
      <c r="C875" s="9"/>
      <c r="D875" s="9"/>
      <c r="E875" s="9"/>
      <c r="F875" s="9"/>
      <c r="G875" s="59"/>
      <c r="H875" s="9"/>
    </row>
    <row r="876">
      <c r="A876" s="9"/>
      <c r="B876" s="9"/>
      <c r="C876" s="9"/>
      <c r="D876" s="9"/>
      <c r="E876" s="9"/>
      <c r="F876" s="9"/>
      <c r="G876" s="59"/>
      <c r="H876" s="9"/>
    </row>
    <row r="877">
      <c r="A877" s="9"/>
      <c r="B877" s="9"/>
      <c r="C877" s="9"/>
      <c r="D877" s="9"/>
      <c r="E877" s="9"/>
      <c r="F877" s="9"/>
      <c r="G877" s="59"/>
      <c r="H877" s="9"/>
    </row>
    <row r="878">
      <c r="A878" s="9"/>
      <c r="B878" s="9"/>
      <c r="C878" s="9"/>
      <c r="D878" s="9"/>
      <c r="E878" s="9"/>
      <c r="F878" s="9"/>
      <c r="G878" s="59"/>
      <c r="H878" s="9"/>
    </row>
    <row r="879">
      <c r="A879" s="9"/>
      <c r="B879" s="9"/>
      <c r="C879" s="9"/>
      <c r="D879" s="9"/>
      <c r="E879" s="9"/>
      <c r="F879" s="9"/>
      <c r="G879" s="59"/>
      <c r="H879" s="9"/>
    </row>
    <row r="880">
      <c r="A880" s="9"/>
      <c r="B880" s="9"/>
      <c r="C880" s="9"/>
      <c r="D880" s="9"/>
      <c r="E880" s="9"/>
      <c r="F880" s="9"/>
      <c r="G880" s="59"/>
      <c r="H880" s="9"/>
    </row>
    <row r="881">
      <c r="A881" s="9"/>
      <c r="B881" s="9"/>
      <c r="C881" s="9"/>
      <c r="D881" s="9"/>
      <c r="E881" s="9"/>
      <c r="F881" s="9"/>
      <c r="G881" s="59"/>
      <c r="H881" s="9"/>
    </row>
    <row r="882">
      <c r="A882" s="9"/>
      <c r="B882" s="9"/>
      <c r="C882" s="9"/>
      <c r="D882" s="9"/>
      <c r="E882" s="9"/>
      <c r="F882" s="9"/>
      <c r="G882" s="59"/>
      <c r="H882" s="9"/>
    </row>
    <row r="883">
      <c r="A883" s="9"/>
      <c r="B883" s="9"/>
      <c r="C883" s="9"/>
      <c r="D883" s="9"/>
      <c r="E883" s="9"/>
      <c r="F883" s="9"/>
      <c r="G883" s="59"/>
      <c r="H883" s="9"/>
    </row>
    <row r="884">
      <c r="A884" s="9"/>
      <c r="B884" s="9"/>
      <c r="C884" s="9"/>
      <c r="D884" s="9"/>
      <c r="E884" s="9"/>
      <c r="F884" s="9"/>
      <c r="G884" s="59"/>
      <c r="H884" s="9"/>
    </row>
    <row r="885">
      <c r="A885" s="9"/>
      <c r="B885" s="9"/>
      <c r="C885" s="9"/>
      <c r="D885" s="9"/>
      <c r="E885" s="9"/>
      <c r="F885" s="9"/>
      <c r="G885" s="59"/>
      <c r="H885" s="9"/>
    </row>
    <row r="886">
      <c r="A886" s="9"/>
      <c r="B886" s="9"/>
      <c r="C886" s="9"/>
      <c r="D886" s="9"/>
      <c r="E886" s="9"/>
      <c r="F886" s="9"/>
      <c r="G886" s="59"/>
      <c r="H886" s="9"/>
    </row>
    <row r="887">
      <c r="A887" s="9"/>
      <c r="B887" s="9"/>
      <c r="C887" s="9"/>
      <c r="D887" s="9"/>
      <c r="E887" s="9"/>
      <c r="F887" s="9"/>
      <c r="G887" s="59"/>
      <c r="H887" s="9"/>
    </row>
    <row r="888">
      <c r="A888" s="9"/>
      <c r="B888" s="9"/>
      <c r="C888" s="9"/>
      <c r="D888" s="9"/>
      <c r="E888" s="9"/>
      <c r="F888" s="9"/>
      <c r="G888" s="59"/>
      <c r="H888" s="9"/>
    </row>
    <row r="889">
      <c r="A889" s="9"/>
      <c r="B889" s="9"/>
      <c r="C889" s="9"/>
      <c r="D889" s="9"/>
      <c r="E889" s="9"/>
      <c r="F889" s="9"/>
      <c r="G889" s="59"/>
      <c r="H889" s="9"/>
    </row>
    <row r="890">
      <c r="A890" s="9"/>
      <c r="B890" s="9"/>
      <c r="C890" s="9"/>
      <c r="D890" s="9"/>
      <c r="E890" s="9"/>
      <c r="F890" s="9"/>
      <c r="G890" s="59"/>
      <c r="H890" s="9"/>
    </row>
    <row r="891">
      <c r="A891" s="9"/>
      <c r="B891" s="9"/>
      <c r="C891" s="9"/>
      <c r="D891" s="9"/>
      <c r="E891" s="9"/>
      <c r="F891" s="9"/>
      <c r="G891" s="59"/>
      <c r="H891" s="9"/>
    </row>
    <row r="892">
      <c r="A892" s="9"/>
      <c r="B892" s="9"/>
      <c r="C892" s="9"/>
      <c r="D892" s="9"/>
      <c r="E892" s="9"/>
      <c r="F892" s="9"/>
      <c r="G892" s="59"/>
      <c r="H892" s="9"/>
    </row>
    <row r="893">
      <c r="A893" s="9"/>
      <c r="B893" s="9"/>
      <c r="C893" s="9"/>
      <c r="D893" s="9"/>
      <c r="E893" s="9"/>
      <c r="F893" s="9"/>
      <c r="G893" s="59"/>
      <c r="H893" s="9"/>
    </row>
    <row r="894">
      <c r="A894" s="9"/>
      <c r="B894" s="9"/>
      <c r="C894" s="9"/>
      <c r="D894" s="9"/>
      <c r="E894" s="9"/>
      <c r="F894" s="9"/>
      <c r="G894" s="59"/>
      <c r="H894" s="9"/>
    </row>
    <row r="895">
      <c r="A895" s="9"/>
      <c r="B895" s="9"/>
      <c r="C895" s="9"/>
      <c r="D895" s="9"/>
      <c r="E895" s="9"/>
      <c r="F895" s="9"/>
      <c r="G895" s="59"/>
      <c r="H895" s="9"/>
    </row>
    <row r="896">
      <c r="A896" s="9"/>
      <c r="B896" s="9"/>
      <c r="C896" s="9"/>
      <c r="D896" s="9"/>
      <c r="E896" s="9"/>
      <c r="F896" s="9"/>
      <c r="G896" s="59"/>
      <c r="H896" s="9"/>
    </row>
    <row r="897">
      <c r="A897" s="9"/>
      <c r="B897" s="9"/>
      <c r="C897" s="9"/>
      <c r="D897" s="9"/>
      <c r="E897" s="9"/>
      <c r="F897" s="9"/>
      <c r="G897" s="59"/>
      <c r="H897" s="9"/>
    </row>
    <row r="898">
      <c r="A898" s="9"/>
      <c r="B898" s="9"/>
      <c r="C898" s="9"/>
      <c r="D898" s="9"/>
      <c r="E898" s="9"/>
      <c r="F898" s="9"/>
      <c r="G898" s="59"/>
      <c r="H898" s="9"/>
    </row>
    <row r="899">
      <c r="A899" s="9"/>
      <c r="B899" s="9"/>
      <c r="C899" s="9"/>
      <c r="D899" s="9"/>
      <c r="E899" s="9"/>
      <c r="F899" s="9"/>
      <c r="G899" s="59"/>
      <c r="H899" s="9"/>
    </row>
    <row r="900">
      <c r="A900" s="9"/>
      <c r="B900" s="9"/>
      <c r="C900" s="9"/>
      <c r="D900" s="9"/>
      <c r="E900" s="9"/>
      <c r="F900" s="9"/>
      <c r="G900" s="59"/>
      <c r="H900" s="9"/>
    </row>
    <row r="901">
      <c r="A901" s="9"/>
      <c r="B901" s="9"/>
      <c r="C901" s="9"/>
      <c r="D901" s="9"/>
      <c r="E901" s="9"/>
      <c r="F901" s="9"/>
      <c r="G901" s="59"/>
      <c r="H901" s="9"/>
    </row>
    <row r="902">
      <c r="A902" s="9"/>
      <c r="B902" s="9"/>
      <c r="C902" s="9"/>
      <c r="D902" s="9"/>
      <c r="E902" s="9"/>
      <c r="F902" s="9"/>
      <c r="G902" s="59"/>
      <c r="H902" s="9"/>
    </row>
    <row r="903">
      <c r="A903" s="9"/>
      <c r="B903" s="9"/>
      <c r="C903" s="9"/>
      <c r="D903" s="9"/>
      <c r="E903" s="9"/>
      <c r="F903" s="9"/>
      <c r="G903" s="59"/>
      <c r="H903" s="9"/>
    </row>
    <row r="904">
      <c r="A904" s="9"/>
      <c r="B904" s="9"/>
      <c r="C904" s="9"/>
      <c r="D904" s="9"/>
      <c r="E904" s="9"/>
      <c r="F904" s="9"/>
      <c r="G904" s="59"/>
      <c r="H904" s="9"/>
    </row>
    <row r="905">
      <c r="A905" s="9"/>
      <c r="B905" s="9"/>
      <c r="C905" s="9"/>
      <c r="D905" s="9"/>
      <c r="E905" s="9"/>
      <c r="F905" s="9"/>
      <c r="G905" s="59"/>
      <c r="H905" s="9"/>
    </row>
    <row r="906">
      <c r="A906" s="9"/>
      <c r="B906" s="9"/>
      <c r="C906" s="9"/>
      <c r="D906" s="9"/>
      <c r="E906" s="9"/>
      <c r="F906" s="9"/>
      <c r="G906" s="59"/>
      <c r="H906" s="9"/>
    </row>
    <row r="907">
      <c r="A907" s="9"/>
      <c r="B907" s="9"/>
      <c r="C907" s="9"/>
      <c r="D907" s="9"/>
      <c r="E907" s="9"/>
      <c r="F907" s="9"/>
      <c r="G907" s="59"/>
      <c r="H907" s="9"/>
    </row>
    <row r="908">
      <c r="A908" s="9"/>
      <c r="B908" s="9"/>
      <c r="C908" s="9"/>
      <c r="D908" s="9"/>
      <c r="E908" s="9"/>
      <c r="F908" s="9"/>
      <c r="G908" s="59"/>
      <c r="H908" s="9"/>
    </row>
    <row r="909">
      <c r="A909" s="9"/>
      <c r="B909" s="9"/>
      <c r="C909" s="9"/>
      <c r="D909" s="9"/>
      <c r="E909" s="9"/>
      <c r="F909" s="9"/>
      <c r="G909" s="59"/>
      <c r="H909" s="9"/>
    </row>
    <row r="910">
      <c r="A910" s="9"/>
      <c r="B910" s="9"/>
      <c r="C910" s="9"/>
      <c r="D910" s="9"/>
      <c r="E910" s="9"/>
      <c r="F910" s="9"/>
      <c r="G910" s="59"/>
      <c r="H910" s="9"/>
    </row>
    <row r="911">
      <c r="A911" s="9"/>
      <c r="B911" s="9"/>
      <c r="C911" s="9"/>
      <c r="D911" s="9"/>
      <c r="E911" s="9"/>
      <c r="F911" s="9"/>
      <c r="G911" s="59"/>
      <c r="H911" s="9"/>
    </row>
    <row r="912">
      <c r="A912" s="9"/>
      <c r="B912" s="9"/>
      <c r="C912" s="9"/>
      <c r="D912" s="9"/>
      <c r="E912" s="9"/>
      <c r="F912" s="9"/>
      <c r="G912" s="59"/>
      <c r="H912" s="9"/>
    </row>
    <row r="913">
      <c r="A913" s="9"/>
      <c r="B913" s="9"/>
      <c r="C913" s="9"/>
      <c r="D913" s="9"/>
      <c r="E913" s="9"/>
      <c r="F913" s="9"/>
      <c r="G913" s="59"/>
      <c r="H913" s="9"/>
    </row>
    <row r="914">
      <c r="A914" s="9"/>
      <c r="B914" s="9"/>
      <c r="C914" s="9"/>
      <c r="D914" s="9"/>
      <c r="E914" s="9"/>
      <c r="F914" s="9"/>
      <c r="G914" s="59"/>
      <c r="H914" s="9"/>
    </row>
    <row r="915">
      <c r="A915" s="9"/>
      <c r="B915" s="9"/>
      <c r="C915" s="9"/>
      <c r="D915" s="9"/>
      <c r="E915" s="9"/>
      <c r="F915" s="9"/>
      <c r="G915" s="59"/>
      <c r="H915" s="9"/>
    </row>
    <row r="916">
      <c r="A916" s="9"/>
      <c r="B916" s="9"/>
      <c r="C916" s="9"/>
      <c r="D916" s="9"/>
      <c r="E916" s="9"/>
      <c r="F916" s="9"/>
      <c r="G916" s="59"/>
      <c r="H916" s="9"/>
    </row>
    <row r="917">
      <c r="A917" s="9"/>
      <c r="B917" s="9"/>
      <c r="C917" s="9"/>
      <c r="D917" s="9"/>
      <c r="E917" s="9"/>
      <c r="F917" s="9"/>
      <c r="G917" s="59"/>
      <c r="H917" s="9"/>
    </row>
    <row r="918">
      <c r="A918" s="9"/>
      <c r="B918" s="9"/>
      <c r="C918" s="9"/>
      <c r="D918" s="9"/>
      <c r="E918" s="9"/>
      <c r="F918" s="9"/>
      <c r="G918" s="59"/>
      <c r="H918" s="9"/>
    </row>
    <row r="919">
      <c r="A919" s="9"/>
      <c r="B919" s="9"/>
      <c r="C919" s="9"/>
      <c r="D919" s="9"/>
      <c r="E919" s="9"/>
      <c r="F919" s="9"/>
      <c r="G919" s="59"/>
      <c r="H919" s="9"/>
    </row>
    <row r="920">
      <c r="A920" s="9"/>
      <c r="B920" s="9"/>
      <c r="C920" s="9"/>
      <c r="D920" s="9"/>
      <c r="E920" s="9"/>
      <c r="F920" s="9"/>
      <c r="G920" s="59"/>
      <c r="H920" s="9"/>
    </row>
    <row r="921">
      <c r="A921" s="9"/>
      <c r="B921" s="9"/>
      <c r="C921" s="9"/>
      <c r="D921" s="9"/>
      <c r="E921" s="9"/>
      <c r="F921" s="9"/>
      <c r="G921" s="59"/>
      <c r="H921" s="9"/>
    </row>
    <row r="922">
      <c r="A922" s="9"/>
      <c r="B922" s="9"/>
      <c r="C922" s="9"/>
      <c r="D922" s="9"/>
      <c r="E922" s="9"/>
      <c r="F922" s="9"/>
      <c r="G922" s="59"/>
      <c r="H922" s="9"/>
    </row>
    <row r="923">
      <c r="A923" s="9"/>
      <c r="B923" s="9"/>
      <c r="C923" s="9"/>
      <c r="D923" s="9"/>
      <c r="E923" s="9"/>
      <c r="F923" s="9"/>
      <c r="G923" s="59"/>
      <c r="H923" s="9"/>
    </row>
    <row r="924">
      <c r="A924" s="9"/>
      <c r="B924" s="9"/>
      <c r="C924" s="9"/>
      <c r="D924" s="9"/>
      <c r="E924" s="9"/>
      <c r="F924" s="9"/>
      <c r="G924" s="59"/>
      <c r="H924" s="9"/>
    </row>
    <row r="925">
      <c r="A925" s="9"/>
      <c r="B925" s="9"/>
      <c r="C925" s="9"/>
      <c r="D925" s="9"/>
      <c r="E925" s="9"/>
      <c r="F925" s="9"/>
      <c r="G925" s="59"/>
      <c r="H925" s="9"/>
    </row>
    <row r="926">
      <c r="A926" s="9"/>
      <c r="B926" s="9"/>
      <c r="C926" s="9"/>
      <c r="D926" s="9"/>
      <c r="E926" s="9"/>
      <c r="F926" s="9"/>
      <c r="G926" s="59"/>
      <c r="H926" s="9"/>
    </row>
    <row r="927">
      <c r="A927" s="9"/>
      <c r="B927" s="9"/>
      <c r="C927" s="9"/>
      <c r="D927" s="9"/>
      <c r="E927" s="9"/>
      <c r="F927" s="9"/>
      <c r="G927" s="59"/>
      <c r="H927" s="9"/>
    </row>
    <row r="928">
      <c r="A928" s="9"/>
      <c r="B928" s="9"/>
      <c r="C928" s="9"/>
      <c r="D928" s="9"/>
      <c r="E928" s="9"/>
      <c r="F928" s="9"/>
      <c r="G928" s="59"/>
      <c r="H928" s="9"/>
    </row>
    <row r="929">
      <c r="A929" s="9"/>
      <c r="B929" s="9"/>
      <c r="C929" s="9"/>
      <c r="D929" s="9"/>
      <c r="E929" s="9"/>
      <c r="F929" s="9"/>
      <c r="G929" s="59"/>
      <c r="H929" s="9"/>
    </row>
    <row r="930">
      <c r="A930" s="9"/>
      <c r="B930" s="9"/>
      <c r="C930" s="9"/>
      <c r="D930" s="9"/>
      <c r="E930" s="9"/>
      <c r="F930" s="9"/>
      <c r="G930" s="59"/>
      <c r="H930" s="9"/>
    </row>
    <row r="931">
      <c r="A931" s="9"/>
      <c r="B931" s="9"/>
      <c r="C931" s="9"/>
      <c r="D931" s="9"/>
      <c r="E931" s="9"/>
      <c r="F931" s="9"/>
      <c r="G931" s="59"/>
      <c r="H931" s="9"/>
    </row>
    <row r="932">
      <c r="A932" s="9"/>
      <c r="B932" s="9"/>
      <c r="C932" s="9"/>
      <c r="D932" s="9"/>
      <c r="E932" s="9"/>
      <c r="F932" s="9"/>
      <c r="G932" s="59"/>
      <c r="H932" s="9"/>
    </row>
    <row r="933">
      <c r="A933" s="9"/>
      <c r="B933" s="9"/>
      <c r="C933" s="9"/>
      <c r="D933" s="9"/>
      <c r="E933" s="9"/>
      <c r="F933" s="9"/>
      <c r="G933" s="59"/>
      <c r="H933" s="9"/>
    </row>
    <row r="934">
      <c r="A934" s="9"/>
      <c r="B934" s="9"/>
      <c r="C934" s="9"/>
      <c r="D934" s="9"/>
      <c r="E934" s="9"/>
      <c r="F934" s="9"/>
      <c r="G934" s="59"/>
      <c r="H934" s="9"/>
    </row>
    <row r="935">
      <c r="A935" s="9"/>
      <c r="B935" s="9"/>
      <c r="C935" s="9"/>
      <c r="D935" s="9"/>
      <c r="E935" s="9"/>
      <c r="F935" s="9"/>
      <c r="G935" s="59"/>
      <c r="H935" s="9"/>
    </row>
    <row r="936">
      <c r="A936" s="9"/>
      <c r="B936" s="9"/>
      <c r="C936" s="9"/>
      <c r="D936" s="9"/>
      <c r="E936" s="9"/>
      <c r="F936" s="9"/>
      <c r="G936" s="59"/>
      <c r="H936" s="9"/>
    </row>
    <row r="937">
      <c r="A937" s="9"/>
      <c r="B937" s="9"/>
      <c r="C937" s="9"/>
      <c r="D937" s="9"/>
      <c r="E937" s="9"/>
      <c r="F937" s="9"/>
      <c r="G937" s="59"/>
      <c r="H937" s="9"/>
    </row>
    <row r="938">
      <c r="A938" s="9"/>
      <c r="B938" s="9"/>
      <c r="C938" s="9"/>
      <c r="D938" s="9"/>
      <c r="E938" s="9"/>
      <c r="F938" s="9"/>
      <c r="G938" s="59"/>
      <c r="H938" s="9"/>
    </row>
    <row r="939">
      <c r="A939" s="9"/>
      <c r="B939" s="9"/>
      <c r="C939" s="9"/>
      <c r="D939" s="9"/>
      <c r="E939" s="9"/>
      <c r="F939" s="9"/>
      <c r="G939" s="59"/>
      <c r="H939" s="9"/>
    </row>
    <row r="940">
      <c r="A940" s="9"/>
      <c r="B940" s="9"/>
      <c r="C940" s="9"/>
      <c r="D940" s="9"/>
      <c r="E940" s="9"/>
      <c r="F940" s="9"/>
      <c r="G940" s="59"/>
      <c r="H940" s="9"/>
    </row>
    <row r="941">
      <c r="A941" s="9"/>
      <c r="B941" s="9"/>
      <c r="C941" s="9"/>
      <c r="D941" s="9"/>
      <c r="E941" s="9"/>
      <c r="F941" s="9"/>
      <c r="G941" s="59"/>
      <c r="H941" s="9"/>
    </row>
    <row r="942">
      <c r="A942" s="9"/>
      <c r="B942" s="9"/>
      <c r="C942" s="9"/>
      <c r="D942" s="9"/>
      <c r="E942" s="9"/>
      <c r="F942" s="9"/>
      <c r="G942" s="59"/>
      <c r="H942" s="9"/>
    </row>
    <row r="943">
      <c r="A943" s="9"/>
      <c r="B943" s="9"/>
      <c r="C943" s="9"/>
      <c r="D943" s="9"/>
      <c r="E943" s="9"/>
      <c r="F943" s="9"/>
      <c r="G943" s="59"/>
      <c r="H943" s="9"/>
    </row>
    <row r="944">
      <c r="A944" s="9"/>
      <c r="B944" s="9"/>
      <c r="C944" s="9"/>
      <c r="D944" s="9"/>
      <c r="E944" s="9"/>
      <c r="F944" s="9"/>
      <c r="G944" s="59"/>
      <c r="H944" s="9"/>
    </row>
    <row r="945">
      <c r="A945" s="9"/>
      <c r="B945" s="9"/>
      <c r="C945" s="9"/>
      <c r="D945" s="9"/>
      <c r="E945" s="9"/>
      <c r="F945" s="9"/>
      <c r="G945" s="59"/>
      <c r="H945" s="9"/>
    </row>
    <row r="946">
      <c r="A946" s="9"/>
      <c r="B946" s="9"/>
      <c r="C946" s="9"/>
      <c r="D946" s="9"/>
      <c r="E946" s="9"/>
      <c r="F946" s="9"/>
      <c r="G946" s="59"/>
      <c r="H946" s="9"/>
    </row>
    <row r="947">
      <c r="A947" s="9"/>
      <c r="B947" s="9"/>
      <c r="C947" s="9"/>
      <c r="D947" s="9"/>
      <c r="E947" s="9"/>
      <c r="F947" s="9"/>
      <c r="G947" s="59"/>
      <c r="H947" s="9"/>
    </row>
    <row r="948">
      <c r="A948" s="9"/>
      <c r="B948" s="9"/>
      <c r="C948" s="9"/>
      <c r="D948" s="9"/>
      <c r="E948" s="9"/>
      <c r="F948" s="9"/>
      <c r="G948" s="59"/>
      <c r="H948" s="9"/>
    </row>
    <row r="949">
      <c r="A949" s="9"/>
      <c r="B949" s="9"/>
      <c r="C949" s="9"/>
      <c r="D949" s="9"/>
      <c r="E949" s="9"/>
      <c r="F949" s="9"/>
      <c r="G949" s="59"/>
      <c r="H949" s="9"/>
    </row>
    <row r="950">
      <c r="A950" s="9"/>
      <c r="B950" s="9"/>
      <c r="C950" s="9"/>
      <c r="D950" s="9"/>
      <c r="E950" s="9"/>
      <c r="F950" s="9"/>
      <c r="G950" s="59"/>
      <c r="H950" s="9"/>
    </row>
    <row r="951">
      <c r="A951" s="9"/>
      <c r="B951" s="9"/>
      <c r="C951" s="9"/>
      <c r="D951" s="9"/>
      <c r="E951" s="9"/>
      <c r="F951" s="9"/>
      <c r="G951" s="59"/>
      <c r="H951" s="9"/>
    </row>
    <row r="952">
      <c r="A952" s="9"/>
      <c r="B952" s="9"/>
      <c r="C952" s="9"/>
      <c r="D952" s="9"/>
      <c r="E952" s="9"/>
      <c r="F952" s="9"/>
      <c r="G952" s="59"/>
      <c r="H952" s="9"/>
    </row>
    <row r="953">
      <c r="A953" s="9"/>
      <c r="B953" s="9"/>
      <c r="C953" s="9"/>
      <c r="D953" s="9"/>
      <c r="E953" s="9"/>
      <c r="F953" s="9"/>
      <c r="G953" s="59"/>
      <c r="H953" s="9"/>
    </row>
    <row r="954">
      <c r="A954" s="9"/>
      <c r="B954" s="9"/>
      <c r="C954" s="9"/>
      <c r="D954" s="9"/>
      <c r="E954" s="9"/>
      <c r="F954" s="9"/>
      <c r="G954" s="59"/>
      <c r="H954" s="9"/>
    </row>
    <row r="955">
      <c r="A955" s="9"/>
      <c r="B955" s="9"/>
      <c r="C955" s="9"/>
      <c r="D955" s="9"/>
      <c r="E955" s="9"/>
      <c r="F955" s="9"/>
      <c r="G955" s="59"/>
      <c r="H955" s="9"/>
    </row>
    <row r="956">
      <c r="A956" s="9"/>
      <c r="B956" s="9"/>
      <c r="C956" s="9"/>
      <c r="D956" s="9"/>
      <c r="E956" s="9"/>
      <c r="F956" s="9"/>
      <c r="G956" s="59"/>
      <c r="H956" s="9"/>
    </row>
    <row r="957">
      <c r="A957" s="9"/>
      <c r="B957" s="9"/>
      <c r="C957" s="9"/>
      <c r="D957" s="9"/>
      <c r="E957" s="9"/>
      <c r="F957" s="9"/>
      <c r="G957" s="59"/>
      <c r="H957" s="9"/>
    </row>
    <row r="958">
      <c r="A958" s="9"/>
      <c r="B958" s="9"/>
      <c r="C958" s="9"/>
      <c r="D958" s="9"/>
      <c r="E958" s="9"/>
      <c r="F958" s="9"/>
      <c r="G958" s="59"/>
      <c r="H958" s="9"/>
    </row>
    <row r="959">
      <c r="A959" s="9"/>
      <c r="B959" s="9"/>
      <c r="C959" s="9"/>
      <c r="D959" s="9"/>
      <c r="E959" s="9"/>
      <c r="F959" s="9"/>
      <c r="G959" s="59"/>
      <c r="H959" s="9"/>
    </row>
    <row r="960">
      <c r="A960" s="9"/>
      <c r="B960" s="9"/>
      <c r="C960" s="9"/>
      <c r="D960" s="9"/>
      <c r="E960" s="9"/>
      <c r="F960" s="9"/>
      <c r="G960" s="59"/>
      <c r="H960" s="9"/>
    </row>
    <row r="961">
      <c r="A961" s="9"/>
      <c r="B961" s="9"/>
      <c r="C961" s="9"/>
      <c r="D961" s="9"/>
      <c r="E961" s="9"/>
      <c r="F961" s="9"/>
      <c r="G961" s="59"/>
      <c r="H961" s="9"/>
    </row>
    <row r="962">
      <c r="A962" s="9"/>
      <c r="B962" s="9"/>
      <c r="C962" s="9"/>
      <c r="D962" s="9"/>
      <c r="E962" s="9"/>
      <c r="F962" s="9"/>
      <c r="G962" s="59"/>
      <c r="H962" s="9"/>
    </row>
    <row r="963">
      <c r="A963" s="9"/>
      <c r="B963" s="9"/>
      <c r="C963" s="9"/>
      <c r="D963" s="9"/>
      <c r="E963" s="9"/>
      <c r="F963" s="9"/>
      <c r="G963" s="59"/>
      <c r="H963" s="9"/>
    </row>
    <row r="964">
      <c r="A964" s="9"/>
      <c r="B964" s="9"/>
      <c r="C964" s="9"/>
      <c r="D964" s="9"/>
      <c r="E964" s="9"/>
      <c r="F964" s="9"/>
      <c r="G964" s="59"/>
      <c r="H964" s="9"/>
    </row>
    <row r="965">
      <c r="A965" s="9"/>
      <c r="B965" s="9"/>
      <c r="C965" s="9"/>
      <c r="D965" s="9"/>
      <c r="E965" s="9"/>
      <c r="F965" s="9"/>
      <c r="G965" s="59"/>
      <c r="H965" s="9"/>
    </row>
    <row r="966">
      <c r="A966" s="9"/>
      <c r="B966" s="9"/>
      <c r="C966" s="9"/>
      <c r="D966" s="9"/>
      <c r="E966" s="9"/>
      <c r="F966" s="9"/>
      <c r="G966" s="59"/>
      <c r="H966" s="9"/>
    </row>
    <row r="967">
      <c r="A967" s="9"/>
      <c r="B967" s="9"/>
      <c r="C967" s="9"/>
      <c r="D967" s="9"/>
      <c r="E967" s="9"/>
      <c r="F967" s="9"/>
      <c r="G967" s="59"/>
      <c r="H967" s="9"/>
    </row>
    <row r="968">
      <c r="A968" s="9"/>
      <c r="B968" s="9"/>
      <c r="C968" s="9"/>
      <c r="D968" s="9"/>
      <c r="E968" s="9"/>
      <c r="F968" s="9"/>
      <c r="G968" s="59"/>
      <c r="H968" s="9"/>
    </row>
    <row r="969">
      <c r="A969" s="9"/>
      <c r="B969" s="9"/>
      <c r="C969" s="9"/>
      <c r="D969" s="9"/>
      <c r="E969" s="9"/>
      <c r="F969" s="9"/>
      <c r="G969" s="59"/>
      <c r="H969" s="9"/>
    </row>
    <row r="970">
      <c r="A970" s="9"/>
      <c r="B970" s="9"/>
      <c r="C970" s="9"/>
      <c r="D970" s="9"/>
      <c r="E970" s="9"/>
      <c r="F970" s="9"/>
      <c r="G970" s="59"/>
      <c r="H970" s="9"/>
    </row>
    <row r="971">
      <c r="A971" s="9"/>
      <c r="B971" s="9"/>
      <c r="C971" s="9"/>
      <c r="D971" s="9"/>
      <c r="E971" s="9"/>
      <c r="F971" s="9"/>
      <c r="G971" s="59"/>
      <c r="H971" s="9"/>
    </row>
    <row r="972">
      <c r="A972" s="9"/>
      <c r="B972" s="9"/>
      <c r="C972" s="9"/>
      <c r="D972" s="9"/>
      <c r="E972" s="9"/>
      <c r="F972" s="9"/>
      <c r="G972" s="59"/>
      <c r="H972" s="9"/>
    </row>
    <row r="973">
      <c r="A973" s="9"/>
      <c r="B973" s="9"/>
      <c r="C973" s="9"/>
      <c r="D973" s="9"/>
      <c r="E973" s="9"/>
      <c r="F973" s="9"/>
      <c r="G973" s="59"/>
      <c r="H973" s="9"/>
    </row>
    <row r="974">
      <c r="A974" s="9"/>
      <c r="B974" s="9"/>
      <c r="C974" s="9"/>
      <c r="D974" s="9"/>
      <c r="E974" s="9"/>
      <c r="F974" s="9"/>
      <c r="G974" s="59"/>
      <c r="H974" s="9"/>
    </row>
    <row r="975">
      <c r="A975" s="9"/>
      <c r="B975" s="9"/>
      <c r="C975" s="9"/>
      <c r="D975" s="9"/>
      <c r="E975" s="9"/>
      <c r="F975" s="9"/>
      <c r="G975" s="59"/>
      <c r="H975" s="9"/>
    </row>
    <row r="976">
      <c r="A976" s="9"/>
      <c r="B976" s="9"/>
      <c r="C976" s="9"/>
      <c r="D976" s="9"/>
      <c r="E976" s="9"/>
      <c r="F976" s="9"/>
      <c r="G976" s="59"/>
      <c r="H976" s="9"/>
    </row>
    <row r="977">
      <c r="A977" s="9"/>
      <c r="B977" s="9"/>
      <c r="C977" s="9"/>
      <c r="D977" s="9"/>
      <c r="E977" s="9"/>
      <c r="F977" s="9"/>
      <c r="G977" s="59"/>
      <c r="H977" s="9"/>
    </row>
    <row r="978">
      <c r="A978" s="9"/>
      <c r="B978" s="9"/>
      <c r="C978" s="9"/>
      <c r="D978" s="9"/>
      <c r="E978" s="9"/>
      <c r="F978" s="9"/>
      <c r="G978" s="59"/>
      <c r="H978" s="9"/>
    </row>
    <row r="979">
      <c r="A979" s="9"/>
      <c r="B979" s="9"/>
      <c r="C979" s="9"/>
      <c r="D979" s="9"/>
      <c r="E979" s="9"/>
      <c r="F979" s="9"/>
      <c r="G979" s="59"/>
      <c r="H979" s="9"/>
    </row>
    <row r="980">
      <c r="A980" s="9"/>
      <c r="B980" s="9"/>
      <c r="C980" s="9"/>
      <c r="D980" s="9"/>
      <c r="E980" s="9"/>
      <c r="F980" s="9"/>
      <c r="G980" s="59"/>
      <c r="H980" s="9"/>
    </row>
    <row r="981">
      <c r="A981" s="9"/>
      <c r="B981" s="9"/>
      <c r="C981" s="9"/>
      <c r="D981" s="9"/>
      <c r="E981" s="9"/>
      <c r="F981" s="9"/>
      <c r="G981" s="59"/>
      <c r="H981" s="9"/>
    </row>
    <row r="982">
      <c r="A982" s="9"/>
      <c r="B982" s="9"/>
      <c r="C982" s="9"/>
      <c r="D982" s="9"/>
      <c r="E982" s="9"/>
      <c r="F982" s="9"/>
      <c r="G982" s="59"/>
      <c r="H982" s="9"/>
    </row>
    <row r="983">
      <c r="A983" s="9"/>
      <c r="B983" s="9"/>
      <c r="C983" s="9"/>
      <c r="D983" s="9"/>
      <c r="E983" s="9"/>
      <c r="F983" s="9"/>
      <c r="G983" s="59"/>
      <c r="H983" s="9"/>
    </row>
    <row r="984">
      <c r="A984" s="9"/>
      <c r="B984" s="9"/>
      <c r="C984" s="9"/>
      <c r="D984" s="9"/>
      <c r="E984" s="9"/>
      <c r="F984" s="9"/>
      <c r="G984" s="59"/>
      <c r="H984" s="9"/>
    </row>
    <row r="985">
      <c r="A985" s="9"/>
      <c r="B985" s="9"/>
      <c r="C985" s="9"/>
      <c r="D985" s="9"/>
      <c r="E985" s="9"/>
      <c r="F985" s="9"/>
      <c r="G985" s="59"/>
      <c r="H985" s="9"/>
    </row>
    <row r="986">
      <c r="A986" s="9"/>
      <c r="B986" s="9"/>
      <c r="C986" s="9"/>
      <c r="D986" s="9"/>
      <c r="E986" s="9"/>
      <c r="F986" s="9"/>
      <c r="G986" s="59"/>
      <c r="H986" s="9"/>
    </row>
    <row r="987">
      <c r="A987" s="9"/>
      <c r="B987" s="9"/>
      <c r="C987" s="9"/>
      <c r="D987" s="9"/>
      <c r="E987" s="9"/>
      <c r="F987" s="9"/>
      <c r="G987" s="59"/>
      <c r="H987" s="9"/>
    </row>
    <row r="988">
      <c r="A988" s="9"/>
      <c r="B988" s="9"/>
      <c r="C988" s="9"/>
      <c r="D988" s="9"/>
      <c r="E988" s="9"/>
      <c r="F988" s="9"/>
      <c r="G988" s="59"/>
      <c r="H988" s="9"/>
    </row>
    <row r="989">
      <c r="A989" s="9"/>
      <c r="B989" s="9"/>
      <c r="C989" s="9"/>
      <c r="D989" s="9"/>
      <c r="E989" s="9"/>
      <c r="F989" s="9"/>
      <c r="G989" s="59"/>
      <c r="H989" s="9"/>
    </row>
    <row r="990">
      <c r="A990" s="9"/>
      <c r="B990" s="9"/>
      <c r="C990" s="9"/>
      <c r="D990" s="9"/>
      <c r="E990" s="9"/>
      <c r="F990" s="9"/>
      <c r="G990" s="59"/>
      <c r="H990" s="9"/>
    </row>
    <row r="991">
      <c r="A991" s="9"/>
      <c r="B991" s="9"/>
      <c r="C991" s="9"/>
      <c r="D991" s="9"/>
      <c r="E991" s="9"/>
      <c r="F991" s="9"/>
      <c r="G991" s="59"/>
      <c r="H991" s="9"/>
    </row>
    <row r="992">
      <c r="A992" s="9"/>
      <c r="B992" s="9"/>
      <c r="C992" s="9"/>
      <c r="D992" s="9"/>
      <c r="E992" s="9"/>
      <c r="F992" s="9"/>
      <c r="G992" s="59"/>
      <c r="H992" s="9"/>
    </row>
    <row r="993">
      <c r="A993" s="9"/>
      <c r="B993" s="9"/>
      <c r="C993" s="9"/>
      <c r="D993" s="9"/>
      <c r="E993" s="9"/>
      <c r="F993" s="9"/>
      <c r="G993" s="59"/>
      <c r="H993" s="9"/>
    </row>
    <row r="994">
      <c r="A994" s="9"/>
      <c r="B994" s="9"/>
      <c r="C994" s="9"/>
      <c r="D994" s="9"/>
      <c r="E994" s="9"/>
      <c r="F994" s="9"/>
      <c r="G994" s="59"/>
      <c r="H994" s="9"/>
    </row>
    <row r="995">
      <c r="A995" s="9"/>
      <c r="B995" s="9"/>
      <c r="C995" s="9"/>
      <c r="D995" s="9"/>
      <c r="E995" s="9"/>
      <c r="F995" s="9"/>
      <c r="G995" s="59"/>
      <c r="H995" s="9"/>
    </row>
    <row r="996">
      <c r="A996" s="9"/>
      <c r="B996" s="9"/>
      <c r="C996" s="9"/>
      <c r="D996" s="9"/>
      <c r="E996" s="9"/>
      <c r="F996" s="9"/>
      <c r="G996" s="59"/>
      <c r="H996" s="9"/>
    </row>
    <row r="997">
      <c r="A997" s="9"/>
      <c r="B997" s="9"/>
      <c r="C997" s="9"/>
      <c r="D997" s="9"/>
      <c r="E997" s="9"/>
      <c r="F997" s="9"/>
      <c r="G997" s="59"/>
      <c r="H997" s="9"/>
    </row>
    <row r="998">
      <c r="A998" s="9"/>
      <c r="B998" s="9"/>
      <c r="C998" s="9"/>
      <c r="D998" s="9"/>
      <c r="E998" s="9"/>
      <c r="F998" s="9"/>
      <c r="G998" s="59"/>
      <c r="H998" s="9"/>
    </row>
    <row r="999">
      <c r="A999" s="9"/>
      <c r="B999" s="9"/>
      <c r="C999" s="9"/>
      <c r="D999" s="9"/>
      <c r="E999" s="9"/>
      <c r="F999" s="9"/>
      <c r="G999" s="59"/>
      <c r="H999" s="9"/>
    </row>
    <row r="1000">
      <c r="A1000" s="9"/>
      <c r="B1000" s="9"/>
      <c r="C1000" s="9"/>
      <c r="D1000" s="9"/>
      <c r="E1000" s="9"/>
      <c r="F1000" s="9"/>
      <c r="G1000" s="59"/>
      <c r="H1000" s="9"/>
    </row>
    <row r="1001">
      <c r="A1001" s="9"/>
      <c r="B1001" s="9"/>
      <c r="C1001" s="9"/>
      <c r="D1001" s="9"/>
      <c r="E1001" s="9"/>
      <c r="F1001" s="9"/>
      <c r="G1001" s="59"/>
      <c r="H1001" s="9"/>
    </row>
    <row r="1002">
      <c r="A1002" s="9"/>
      <c r="B1002" s="9"/>
      <c r="C1002" s="9"/>
      <c r="D1002" s="9"/>
      <c r="E1002" s="9"/>
      <c r="F1002" s="9"/>
      <c r="G1002" s="59"/>
      <c r="H1002" s="9"/>
    </row>
    <row r="1003">
      <c r="A1003" s="9"/>
      <c r="B1003" s="9"/>
      <c r="C1003" s="9"/>
      <c r="D1003" s="9"/>
      <c r="E1003" s="9"/>
      <c r="F1003" s="9"/>
      <c r="G1003" s="59"/>
      <c r="H1003" s="9"/>
    </row>
  </sheetData>
  <mergeCells count="3">
    <mergeCell ref="A1:F1"/>
    <mergeCell ref="A5:A6"/>
    <mergeCell ref="J8:Q9"/>
  </mergeCells>
  <dataValidations>
    <dataValidation type="list" allowBlank="1" showErrorMessage="1" sqref="B9:B208">
      <formula1>"🕹 Lucky Draw"</formula1>
    </dataValidation>
    <dataValidation type="list" allowBlank="1" showErrorMessage="1" sqref="E9:E208">
      <formula1>"🌐 เว็บไซต์,💌 จดหมายภายในเกม,📱 ข้อความ sms,📦 จัดส่งพัสดุ"</formula1>
    </dataValidation>
    <dataValidation type="list" allowBlank="1" showErrorMessage="1" sqref="L11:L18">
      <formula1>Data!$E$4:$E1003</formula1>
    </dataValidation>
    <dataValidation type="list" allowBlank="1" showErrorMessage="1" sqref="B3">
      <formula1>"⚙️ กำลังดำเนินการ,✅ จัดส่งเรียบร้อย"</formula1>
    </dataValidation>
    <dataValidation type="list" allowBlank="1" showErrorMessage="1" sqref="D3">
      <formula1>"ทีมสีเหลือง,ทีมสีฟ้า,MKT,BD"</formula1>
    </dataValidation>
    <dataValidation type="list" allowBlank="1" showErrorMessage="1" sqref="F9:F208">
      <formula1>"เปิดรับยืนยันตัวตน,ปิดรับยืนยันตัวตน,⚙️ กำลังดำเนินการ,✅ จัดส่งแล้ว"</formula1>
    </dataValidation>
  </dataValidations>
  <hyperlinks>
    <hyperlink r:id="rId1" ref="C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29.75"/>
    <col customWidth="1" min="3" max="3" width="37.25"/>
    <col customWidth="1" min="4" max="4" width="27.5"/>
    <col customWidth="1" min="5" max="5" width="24.63"/>
    <col customWidth="1" min="6" max="6" width="23.88"/>
    <col customWidth="1" min="7" max="7" width="6.75"/>
  </cols>
  <sheetData>
    <row r="1">
      <c r="A1" s="92" t="s">
        <v>518</v>
      </c>
      <c r="G1" s="59"/>
      <c r="H1" s="9"/>
    </row>
    <row r="2">
      <c r="A2" s="60" t="s">
        <v>46</v>
      </c>
      <c r="B2" s="93">
        <v>46183.0</v>
      </c>
      <c r="C2" s="60" t="s">
        <v>47</v>
      </c>
      <c r="D2" s="62" t="s">
        <v>48</v>
      </c>
      <c r="E2" s="63" t="s">
        <v>49</v>
      </c>
      <c r="F2" s="9"/>
      <c r="G2" s="59"/>
      <c r="H2" s="9"/>
    </row>
    <row r="3">
      <c r="A3" s="60" t="s">
        <v>51</v>
      </c>
      <c r="B3" s="65" t="s">
        <v>27</v>
      </c>
      <c r="C3" s="113" t="s">
        <v>52</v>
      </c>
      <c r="D3" s="65" t="s">
        <v>53</v>
      </c>
      <c r="E3" s="67" t="s">
        <v>54</v>
      </c>
      <c r="F3" s="9"/>
      <c r="G3" s="59"/>
      <c r="H3" s="9"/>
    </row>
    <row r="4">
      <c r="A4" s="9"/>
      <c r="B4" s="9"/>
      <c r="C4" s="9"/>
      <c r="D4" s="9"/>
      <c r="E4" s="9"/>
      <c r="F4" s="9"/>
      <c r="G4" s="59"/>
      <c r="H4" s="9"/>
    </row>
    <row r="5">
      <c r="A5" s="70" t="s">
        <v>57</v>
      </c>
      <c r="B5" s="71" t="s">
        <v>58</v>
      </c>
      <c r="C5" s="72" t="s">
        <v>59</v>
      </c>
      <c r="D5" s="9"/>
      <c r="E5" s="9"/>
      <c r="F5" s="9"/>
      <c r="G5" s="59"/>
      <c r="H5" s="9"/>
      <c r="I5" s="9" t="s">
        <v>519</v>
      </c>
      <c r="J5" s="135" t="s">
        <v>520</v>
      </c>
    </row>
    <row r="6">
      <c r="B6" s="71" t="s">
        <v>60</v>
      </c>
      <c r="C6" s="72" t="s">
        <v>61</v>
      </c>
      <c r="D6" s="9"/>
      <c r="E6" s="9"/>
      <c r="F6" s="9"/>
      <c r="G6" s="59"/>
      <c r="H6" s="9"/>
    </row>
    <row r="7">
      <c r="A7" s="9"/>
      <c r="B7" s="9"/>
      <c r="C7" s="9"/>
      <c r="D7" s="9"/>
      <c r="E7" s="9"/>
      <c r="F7" s="9"/>
      <c r="G7" s="59"/>
      <c r="H7" s="9"/>
      <c r="I7" s="96" t="s">
        <v>55</v>
      </c>
      <c r="J7" s="121" t="s">
        <v>71</v>
      </c>
      <c r="K7" s="121" t="s">
        <v>72</v>
      </c>
      <c r="L7" s="122" t="s">
        <v>73</v>
      </c>
      <c r="M7" s="123" t="s">
        <v>74</v>
      </c>
      <c r="N7" s="121" t="s">
        <v>75</v>
      </c>
      <c r="O7" s="121" t="s">
        <v>76</v>
      </c>
      <c r="P7" s="121" t="s">
        <v>77</v>
      </c>
      <c r="Q7" s="124" t="s">
        <v>78</v>
      </c>
    </row>
    <row r="8">
      <c r="A8" s="73" t="s">
        <v>62</v>
      </c>
      <c r="B8" s="73" t="s">
        <v>63</v>
      </c>
      <c r="C8" s="73" t="s">
        <v>64</v>
      </c>
      <c r="D8" s="73" t="s">
        <v>65</v>
      </c>
      <c r="E8" s="73" t="s">
        <v>66</v>
      </c>
      <c r="F8" s="73" t="s">
        <v>51</v>
      </c>
      <c r="G8" s="59"/>
      <c r="H8" s="9"/>
      <c r="I8" s="118">
        <v>1203.0</v>
      </c>
      <c r="J8" s="136" t="str">
        <f t="array" ref="J8">IFERROR(INDEX(Data!$A$4:$O1003, MATCH($L8, INDEX(Data!$A$4:$O1003, 0, MATCH("Item EN", Data!$A$3:$O$3, FALSE)), FALSE), MATCH("Image", Data!$A$3:$O$3, FALSE)
),"")</f>
        <v/>
      </c>
      <c r="K8" s="137">
        <f t="array" ref="K8">IFERROR(INDEX(Data!$A$4:$O1003, MATCH($L8, INDEX(Data!$A$4:$O1003, 0, MATCH("Item EN", Data!$A$3:$O$3, FALSE)), FALSE), MATCH("Item ID", Data!$A$3:$O$3, FALSE)
),"")</f>
        <v>101022</v>
      </c>
      <c r="L8" s="138" t="s">
        <v>94</v>
      </c>
      <c r="M8" s="103"/>
      <c r="N8" s="139" t="str">
        <f t="array" ref="N8">IFERROR(INDEX(Data!$A$4:$O1003, MATCH($L8, INDEX(Data!$A$4:$O1003, 0, MATCH("Item EN", Data!$A$3:$O$3, FALSE)), FALSE), MATCH("Item Type", Data!$A$3:$O$3, FALSE)
),"")</f>
        <v>Weapon</v>
      </c>
      <c r="O8" s="140">
        <v>1.0</v>
      </c>
      <c r="P8" s="141">
        <f t="array" ref="P8">IF(O8="",,IFERROR(INDEX(Data!$A$4:$O1003, MATCH($L8, INDEX(Data!$A$4:$O1003, 0, MATCH("Item EN", Data!$A$3:$O$3, FALSE)), FALSE), MATCH("Price", Data!$A$3:$O$3, FALSE)
),"")*O8)</f>
        <v>4</v>
      </c>
      <c r="Q8" s="142" t="str">
        <f t="array" ref="Q8">IFERROR(INDEX(Data!$A$4:$O1003, MATCH($L8, INDEX(Data!$A$4:$O1003, 0, MATCH("Item EN", Data!$A$3:$O$3, FALSE)), FALSE), MATCH("Image URL", Data!$A$3:$O$3, FALSE)
),"")</f>
        <v>https://cdn.exe.in.th/marketing/WarzTH_LE/Item%20Dict/ak_74m.png</v>
      </c>
    </row>
    <row r="9">
      <c r="A9" s="65">
        <v>1.0</v>
      </c>
      <c r="B9" s="50" t="s">
        <v>67</v>
      </c>
      <c r="C9" s="143" t="s">
        <v>166</v>
      </c>
      <c r="D9" s="143" t="s">
        <v>167</v>
      </c>
      <c r="E9" s="75" t="s">
        <v>68</v>
      </c>
      <c r="F9" s="117" t="s">
        <v>69</v>
      </c>
      <c r="G9" s="59"/>
      <c r="H9" s="9"/>
      <c r="I9" s="144" t="s">
        <v>521</v>
      </c>
      <c r="J9" s="136" t="str">
        <f t="array" ref="J9">IFERROR(INDEX(Data!$A$4:$O1003, MATCH($L9, INDEX(Data!$A$4:$O1003, 0, MATCH("Item EN", Data!$A$3:$O$3, FALSE)), FALSE), MATCH("Image", Data!$A$3:$O$3, FALSE)
),"")</f>
        <v/>
      </c>
      <c r="K9" s="137">
        <f t="array" ref="K9">IFERROR(INDEX(Data!$A$4:$O1003, MATCH($L9, INDEX(Data!$A$4:$O1003, 0, MATCH("Item EN", Data!$A$3:$O$3, FALSE)), FALSE), MATCH("Item ID", Data!$A$3:$O$3, FALSE)
),"")</f>
        <v>400100</v>
      </c>
      <c r="L9" s="138" t="s">
        <v>97</v>
      </c>
      <c r="M9" s="103"/>
      <c r="N9" s="139" t="str">
        <f t="array" ref="N9">IFERROR(INDEX(Data!$A$4:$O1003, MATCH($L9, INDEX(Data!$A$4:$O1003, 0, MATCH("Item EN", Data!$A$3:$O$3, FALSE)), FALSE), MATCH("Item Type", Data!$A$3:$O$3, FALSE)
),"")</f>
        <v>Ammo</v>
      </c>
      <c r="O9" s="102">
        <v>1.0</v>
      </c>
      <c r="P9" s="141">
        <f t="array" ref="P9">IF(O9="",,IFERROR(INDEX(Data!$A$4:$O1003, MATCH($L9, INDEX(Data!$A$4:$O1003, 0, MATCH("Item EN", Data!$A$3:$O$3, FALSE)), FALSE), MATCH("Price", Data!$A$3:$O$3, FALSE)
),"")*O9)</f>
        <v>1.5</v>
      </c>
      <c r="Q9" s="142" t="str">
        <f t="array" ref="Q9">IFERROR(INDEX(Data!$A$4:$O1003, MATCH($L9, INDEX(Data!$A$4:$O1003, 0, MATCH("Item EN", Data!$A$3:$O$3, FALSE)), FALSE), MATCH("Image URL", Data!$A$3:$O$3, FALSE)
),"")</f>
        <v>https://cdn.exe.in.th/marketing/WarzTH_LE/Item%20Dict/5.45AK_drum.png</v>
      </c>
    </row>
    <row r="10">
      <c r="A10" s="65">
        <v>2.0</v>
      </c>
      <c r="B10" s="50" t="s">
        <v>67</v>
      </c>
      <c r="C10" s="143" t="s">
        <v>522</v>
      </c>
      <c r="D10" s="143" t="s">
        <v>523</v>
      </c>
      <c r="E10" s="75" t="s">
        <v>68</v>
      </c>
      <c r="F10" s="117" t="s">
        <v>69</v>
      </c>
      <c r="G10" s="59"/>
      <c r="H10" s="9"/>
      <c r="J10" s="136" t="str">
        <f t="array" ref="J10">IFERROR(INDEX(Data!$A$4:$O1003, MATCH($L10, INDEX(Data!$A$4:$O1003, 0, MATCH("Item EN", Data!$A$3:$O$3, FALSE)), FALSE), MATCH("Image", Data!$A$3:$O$3, FALSE)
),"")</f>
        <v/>
      </c>
      <c r="K10" s="137">
        <f t="array" ref="K10">IFERROR(INDEX(Data!$A$4:$O1003, MATCH($L10, INDEX(Data!$A$4:$O1003, 0, MATCH("Item EN", Data!$A$3:$O$3, FALSE)), FALSE), MATCH("Item ID", Data!$A$3:$O$3, FALSE)
),"")</f>
        <v>20067</v>
      </c>
      <c r="L10" s="138" t="s">
        <v>123</v>
      </c>
      <c r="M10" s="103"/>
      <c r="N10" s="139" t="str">
        <f t="array" ref="N10">IFERROR(INDEX(Data!$A$4:$O1003, MATCH($L10, INDEX(Data!$A$4:$O1003, 0, MATCH("Item EN", Data!$A$3:$O$3, FALSE)), FALSE), MATCH("Item Type", Data!$A$3:$O$3, FALSE)
),"")</f>
        <v>Equipment</v>
      </c>
      <c r="O10" s="102">
        <v>1.0</v>
      </c>
      <c r="P10" s="141">
        <f t="array" ref="P10">IF(O10="",,IFERROR(INDEX(Data!$A$4:$O1003, MATCH($L10, INDEX(Data!$A$4:$O1003, 0, MATCH("Item EN", Data!$A$3:$O$3, FALSE)), FALSE), MATCH("Price", Data!$A$3:$O$3, FALSE)
),"")*O10)</f>
        <v>2</v>
      </c>
      <c r="Q10" s="142" t="str">
        <f t="array" ref="Q10">IFERROR(INDEX(Data!$A$4:$O1003, MATCH($L10, INDEX(Data!$A$4:$O1003, 0, MATCH("Item EN", Data!$A$3:$O$3, FALSE)), FALSE), MATCH("Image URL", Data!$A$3:$O$3, FALSE)
),"")</f>
        <v>https://cdn.exe.in.th/marketing/WarzTH_LE/Item%20Dict/nvg_goggles.png</v>
      </c>
    </row>
    <row r="11">
      <c r="A11" s="65">
        <v>3.0</v>
      </c>
      <c r="B11" s="50" t="s">
        <v>67</v>
      </c>
      <c r="C11" s="143" t="s">
        <v>524</v>
      </c>
      <c r="D11" s="143" t="s">
        <v>525</v>
      </c>
      <c r="E11" s="75" t="s">
        <v>68</v>
      </c>
      <c r="F11" s="117" t="s">
        <v>69</v>
      </c>
      <c r="G11" s="59"/>
      <c r="H11" s="9"/>
      <c r="J11" s="136" t="str">
        <f t="array" ref="J11">IFERROR(INDEX(Data!$A$4:$O1003, MATCH($L11, INDEX(Data!$A$4:$O1003, 0, MATCH("Item EN", Data!$A$3:$O$3, FALSE)), FALSE), MATCH("Image", Data!$A$3:$O$3, FALSE)
),"")</f>
        <v/>
      </c>
      <c r="K11" s="137">
        <f t="array" ref="K11">IFERROR(INDEX(Data!$A$4:$O1003, MATCH($L11, INDEX(Data!$A$4:$O1003, 0, MATCH("Item EN", Data!$A$3:$O$3, FALSE)), FALSE), MATCH("Item ID", Data!$A$3:$O$3, FALSE)
),"")</f>
        <v>20015</v>
      </c>
      <c r="L11" s="138" t="s">
        <v>126</v>
      </c>
      <c r="M11" s="103"/>
      <c r="N11" s="139" t="str">
        <f t="array" ref="N11">IFERROR(INDEX(Data!$A$4:$O1003, MATCH($L11, INDEX(Data!$A$4:$O1003, 0, MATCH("Item EN", Data!$A$3:$O$3, FALSE)), FALSE), MATCH("Item Type", Data!$A$3:$O$3, FALSE)
),"")</f>
        <v>Equipment</v>
      </c>
      <c r="O11" s="102">
        <v>1.0</v>
      </c>
      <c r="P11" s="141">
        <f t="array" ref="P11">IF(O11="",,IFERROR(INDEX(Data!$A$4:$O1003, MATCH($L11, INDEX(Data!$A$4:$O1003, 0, MATCH("Item EN", Data!$A$3:$O$3, FALSE)), FALSE), MATCH("Price", Data!$A$3:$O$3, FALSE)
),"")*O11)</f>
        <v>1.5</v>
      </c>
      <c r="Q11" s="142" t="str">
        <f t="array" ref="Q11">IFERROR(INDEX(Data!$A$4:$O1003, MATCH($L11, INDEX(Data!$A$4:$O1003, 0, MATCH("Item EN", Data!$A$3:$O$3, FALSE)), FALSE), MATCH("Image URL", Data!$A$3:$O$3, FALSE)
),"")</f>
        <v>https://cdn.exe.in.th/marketing/WarzTH_LE/Item%20Dict/custom_guerilla.png</v>
      </c>
    </row>
    <row r="12">
      <c r="A12" s="65">
        <v>4.0</v>
      </c>
      <c r="B12" s="50" t="s">
        <v>67</v>
      </c>
      <c r="C12" s="143" t="s">
        <v>526</v>
      </c>
      <c r="D12" s="143" t="s">
        <v>527</v>
      </c>
      <c r="E12" s="75" t="s">
        <v>68</v>
      </c>
      <c r="F12" s="117" t="s">
        <v>69</v>
      </c>
      <c r="G12" s="59"/>
      <c r="H12" s="9"/>
      <c r="I12" s="9"/>
      <c r="J12" s="136" t="str">
        <f t="array" ref="J12">IFERROR(INDEX(Data!$A$4:$O1003, MATCH($L12, INDEX(Data!$A$4:$O1003, 0, MATCH("Item EN", Data!$A$3:$O$3, FALSE)), FALSE), MATCH("Image", Data!$A$3:$O$3, FALSE)
),"")</f>
        <v/>
      </c>
      <c r="K12" s="137">
        <f t="array" ref="K12">IFERROR(INDEX(Data!$A$4:$O1003, MATCH($L12, INDEX(Data!$A$4:$O1003, 0, MATCH("Item EN", Data!$A$3:$O$3, FALSE)), FALSE), MATCH("Item ID", Data!$A$3:$O$3, FALSE)
),"")</f>
        <v>20185</v>
      </c>
      <c r="L12" s="138" t="s">
        <v>129</v>
      </c>
      <c r="M12" s="103"/>
      <c r="N12" s="139" t="str">
        <f t="array" ref="N12">IFERROR(INDEX(Data!$A$4:$O1003, MATCH($L12, INDEX(Data!$A$4:$O1003, 0, MATCH("Item EN", Data!$A$3:$O$3, FALSE)), FALSE), MATCH("Item Type", Data!$A$3:$O$3, FALSE)
),"")</f>
        <v>Equipment</v>
      </c>
      <c r="O12" s="102">
        <v>1.0</v>
      </c>
      <c r="P12" s="141">
        <f t="array" ref="P12">IF(O12="",,IFERROR(INDEX(Data!$A$4:$O1003, MATCH($L12, INDEX(Data!$A$4:$O1003, 0, MATCH("Item EN", Data!$A$3:$O$3, FALSE)), FALSE), MATCH("Price", Data!$A$3:$O$3, FALSE)
),"")*O12)</f>
        <v>2.5</v>
      </c>
      <c r="Q12" s="142" t="str">
        <f t="array" ref="Q12">IFERROR(INDEX(Data!$A$4:$O1003, MATCH($L12, INDEX(Data!$A$4:$O1003, 0, MATCH("Item EN", Data!$A$3:$O$3, FALSE)), FALSE), MATCH("Image URL", Data!$A$3:$O$3, FALSE)
),"")</f>
        <v>https://cdn.exe.in.th/marketing/WarzTH_LE/Item%20Dict/alice_rucksack.png</v>
      </c>
    </row>
    <row r="13">
      <c r="A13" s="65">
        <v>5.0</v>
      </c>
      <c r="B13" s="50" t="s">
        <v>67</v>
      </c>
      <c r="C13" s="143" t="s">
        <v>528</v>
      </c>
      <c r="D13" s="143" t="s">
        <v>529</v>
      </c>
      <c r="E13" s="75" t="s">
        <v>68</v>
      </c>
      <c r="F13" s="117" t="s">
        <v>69</v>
      </c>
      <c r="G13" s="59"/>
      <c r="H13" s="9"/>
      <c r="I13" s="9"/>
      <c r="J13" s="136" t="str">
        <f t="array" ref="J13">IFERROR(INDEX(Data!$A$4:$O1003, MATCH($L13, INDEX(Data!$A$4:$O1003, 0, MATCH("Item EN", Data!$A$3:$O$3, FALSE)), FALSE), MATCH("Image", Data!$A$3:$O$3, FALSE)
),"")</f>
        <v/>
      </c>
      <c r="K13" s="137">
        <f t="array" ref="K13">IFERROR(INDEX(Data!$A$4:$O1003, MATCH($L13, INDEX(Data!$A$4:$O1003, 0, MATCH("Item EN", Data!$A$3:$O$3, FALSE)), FALSE), MATCH("Item ID", Data!$A$3:$O$3, FALSE)
),"")</f>
        <v>101262</v>
      </c>
      <c r="L13" s="138" t="s">
        <v>530</v>
      </c>
      <c r="M13" s="103"/>
      <c r="N13" s="139" t="str">
        <f t="array" ref="N13">IFERROR(INDEX(Data!$A$4:$O1003, MATCH($L13, INDEX(Data!$A$4:$O1003, 0, MATCH("Item EN", Data!$A$3:$O$3, FALSE)), FALSE), MATCH("Item Type", Data!$A$3:$O$3, FALSE)
),"")</f>
        <v>Consumable</v>
      </c>
      <c r="O13" s="102">
        <v>3.0</v>
      </c>
      <c r="P13" s="141">
        <f t="array" ref="P13">IF(O13="",,IFERROR(INDEX(Data!$A$4:$O1003, MATCH($L13, INDEX(Data!$A$4:$O1003, 0, MATCH("Item EN", Data!$A$3:$O$3, FALSE)), FALSE), MATCH("Price", Data!$A$3:$O$3, FALSE)
),"")*O13)</f>
        <v>2.4</v>
      </c>
      <c r="Q13" s="142" t="str">
        <f t="array" ref="Q13">IFERROR(INDEX(Data!$A$4:$O1003, MATCH($L13, INDEX(Data!$A$4:$O1003, 0, MATCH("Item EN", Data!$A$3:$O$3, FALSE)), FALSE), MATCH("Image URL", Data!$A$3:$O$3, FALSE)
),"")</f>
        <v>https://cdn.exe.in.th/marketing/WarzTH_LE/Item%20Dict/bandages_dx.png</v>
      </c>
    </row>
    <row r="14">
      <c r="A14" s="65">
        <v>6.0</v>
      </c>
      <c r="B14" s="50" t="s">
        <v>67</v>
      </c>
      <c r="C14" s="143" t="s">
        <v>531</v>
      </c>
      <c r="D14" s="143" t="s">
        <v>532</v>
      </c>
      <c r="E14" s="75" t="s">
        <v>68</v>
      </c>
      <c r="F14" s="117" t="s">
        <v>69</v>
      </c>
      <c r="G14" s="59"/>
      <c r="H14" s="9"/>
      <c r="I14" s="9"/>
      <c r="J14" s="136" t="str">
        <f t="array" ref="J14">IFERROR(INDEX(Data!$A$4:$O1003, MATCH($L14, INDEX(Data!$A$4:$O1003, 0, MATCH("Item EN", Data!$A$3:$O$3, FALSE)), FALSE), MATCH("Image", Data!$A$3:$O$3, FALSE)
),"")</f>
        <v/>
      </c>
      <c r="K14" s="137">
        <f t="array" ref="K14">IFERROR(INDEX(Data!$A$4:$O1003, MATCH($L14, INDEX(Data!$A$4:$O1003, 0, MATCH("Item EN", Data!$A$3:$O$3, FALSE)), FALSE), MATCH("Item ID", Data!$A$3:$O$3, FALSE)
),"")</f>
        <v>101501</v>
      </c>
      <c r="L14" s="138" t="s">
        <v>533</v>
      </c>
      <c r="M14" s="103"/>
      <c r="N14" s="139" t="str">
        <f t="array" ref="N14">IFERROR(INDEX(Data!$A$4:$O1003, MATCH($L14, INDEX(Data!$A$4:$O1003, 0, MATCH("Item EN", Data!$A$3:$O$3, FALSE)), FALSE), MATCH("Item Type", Data!$A$3:$O$3, FALSE)
),"")</f>
        <v>Consumable</v>
      </c>
      <c r="O14" s="102">
        <v>1.0</v>
      </c>
      <c r="P14" s="141">
        <f t="array" ref="P14">IF(O14="",,IFERROR(INDEX(Data!$A$4:$O1003, MATCH($L14, INDEX(Data!$A$4:$O1003, 0, MATCH("Item EN", Data!$A$3:$O$3, FALSE)), FALSE), MATCH("Price", Data!$A$3:$O$3, FALSE)
),"")*O14)</f>
        <v>30</v>
      </c>
      <c r="Q14" s="142" t="str">
        <f t="array" ref="Q14">IFERROR(INDEX(Data!$A$4:$O1003, MATCH($L14, INDEX(Data!$A$4:$O1003, 0, MATCH("Item EN", Data!$A$3:$O$3, FALSE)), FALSE), MATCH("Image URL", Data!$A$3:$O$3, FALSE)
),"")</f>
        <v>https://cdn.exe.in.th/marketing/WarzTH_LE/Item%20Dict/rod_fishing_01.png</v>
      </c>
    </row>
    <row r="15">
      <c r="A15" s="65">
        <v>7.0</v>
      </c>
      <c r="B15" s="50" t="s">
        <v>67</v>
      </c>
      <c r="C15" s="143" t="s">
        <v>534</v>
      </c>
      <c r="D15" s="143" t="s">
        <v>535</v>
      </c>
      <c r="E15" s="75" t="s">
        <v>68</v>
      </c>
      <c r="F15" s="117" t="s">
        <v>69</v>
      </c>
      <c r="G15" s="59"/>
      <c r="H15" s="9"/>
      <c r="I15" s="9"/>
      <c r="J15" s="136" t="str">
        <f t="array" ref="J15">IFERROR(INDEX(Data!$A$4:$O1003, MATCH($L15, INDEX(Data!$A$4:$O1003, 0, MATCH("Item EN", Data!$A$3:$O$3, FALSE)), FALSE), MATCH("Image", Data!$A$3:$O$3, FALSE)
),"")</f>
        <v/>
      </c>
      <c r="K15" s="137">
        <f t="array" ref="K15">IFERROR(INDEX(Data!$A$4:$O1003, MATCH($L15, INDEX(Data!$A$4:$O1003, 0, MATCH("Item EN", Data!$A$3:$O$3, FALSE)), FALSE), MATCH("Item ID", Data!$A$3:$O$3, FALSE)
),"")</f>
        <v>301255</v>
      </c>
      <c r="L15" s="138" t="s">
        <v>536</v>
      </c>
      <c r="M15" s="103"/>
      <c r="N15" s="139" t="str">
        <f t="array" ref="N15">IFERROR(INDEX(Data!$A$4:$O1003, MATCH($L15, INDEX(Data!$A$4:$O1003, 0, MATCH("Item EN", Data!$A$3:$O$3, FALSE)), FALSE), MATCH("Item Type", Data!$A$3:$O$3, FALSE)
),"")</f>
        <v>Consumable</v>
      </c>
      <c r="O15" s="102">
        <v>1.0</v>
      </c>
      <c r="P15" s="141">
        <f t="array" ref="P15">IF(O15="",,IFERROR(INDEX(Data!$A$4:$O1003, MATCH($L15, INDEX(Data!$A$4:$O1003, 0, MATCH("Item EN", Data!$A$3:$O$3, FALSE)), FALSE), MATCH("Price", Data!$A$3:$O$3, FALSE)
),"")*O15)</f>
        <v>20</v>
      </c>
      <c r="Q15" s="142" t="str">
        <f t="array" ref="Q15">IFERROR(INDEX(Data!$A$4:$O1003, MATCH($L15, INDEX(Data!$A$4:$O1003, 0, MATCH("Item EN", Data!$A$3:$O$3, FALSE)), FALSE), MATCH("Image URL", Data!$A$3:$O$3, FALSE)
),"")</f>
        <v>https://cdn.exe.in.th/marketing/WarzTH_LE/Item%20Dict/1Days.png</v>
      </c>
    </row>
    <row r="16">
      <c r="A16" s="65">
        <v>8.0</v>
      </c>
      <c r="B16" s="50" t="s">
        <v>67</v>
      </c>
      <c r="C16" s="143" t="s">
        <v>537</v>
      </c>
      <c r="D16" s="143" t="s">
        <v>538</v>
      </c>
      <c r="E16" s="75" t="s">
        <v>68</v>
      </c>
      <c r="F16" s="117" t="s">
        <v>69</v>
      </c>
      <c r="G16" s="59"/>
      <c r="H16" s="9"/>
      <c r="I16" s="9"/>
      <c r="J16" s="9"/>
      <c r="K16" s="9"/>
      <c r="L16" s="9"/>
      <c r="M16" s="9"/>
      <c r="N16" s="9"/>
      <c r="O16" s="9"/>
      <c r="P16" s="145"/>
      <c r="Q16" s="9"/>
    </row>
    <row r="17">
      <c r="A17" s="65">
        <v>9.0</v>
      </c>
      <c r="B17" s="50" t="s">
        <v>67</v>
      </c>
      <c r="C17" s="143" t="s">
        <v>539</v>
      </c>
      <c r="D17" s="143" t="s">
        <v>540</v>
      </c>
      <c r="E17" s="75" t="s">
        <v>68</v>
      </c>
      <c r="F17" s="117" t="s">
        <v>69</v>
      </c>
      <c r="G17" s="59"/>
      <c r="H17" s="9"/>
      <c r="I17" s="9"/>
      <c r="J17" s="9"/>
      <c r="K17" s="9"/>
      <c r="L17" s="9"/>
      <c r="M17" s="9"/>
      <c r="N17" s="9"/>
      <c r="O17" s="9"/>
      <c r="P17" s="145"/>
      <c r="Q17" s="9"/>
    </row>
    <row r="18">
      <c r="A18" s="65">
        <v>10.0</v>
      </c>
      <c r="B18" s="50" t="s">
        <v>67</v>
      </c>
      <c r="C18" s="143" t="s">
        <v>541</v>
      </c>
      <c r="D18" s="143" t="s">
        <v>542</v>
      </c>
      <c r="E18" s="75" t="s">
        <v>68</v>
      </c>
      <c r="F18" s="117" t="s">
        <v>69</v>
      </c>
      <c r="G18" s="59"/>
      <c r="H18" s="9"/>
      <c r="I18" s="9" t="s">
        <v>519</v>
      </c>
      <c r="J18" s="9"/>
      <c r="K18" s="9"/>
      <c r="L18" s="9"/>
      <c r="M18" s="9"/>
      <c r="N18" s="9"/>
      <c r="O18" s="9"/>
      <c r="P18" s="145"/>
      <c r="Q18" s="9"/>
    </row>
    <row r="19">
      <c r="A19" s="65">
        <v>11.0</v>
      </c>
      <c r="B19" s="50" t="s">
        <v>67</v>
      </c>
      <c r="C19" s="143" t="s">
        <v>543</v>
      </c>
      <c r="D19" s="143" t="s">
        <v>544</v>
      </c>
      <c r="E19" s="75" t="s">
        <v>68</v>
      </c>
      <c r="F19" s="117" t="s">
        <v>69</v>
      </c>
      <c r="G19" s="59"/>
      <c r="H19" s="9"/>
      <c r="I19" s="9"/>
      <c r="J19" s="135" t="s">
        <v>545</v>
      </c>
    </row>
    <row r="20">
      <c r="A20" s="65">
        <v>12.0</v>
      </c>
      <c r="B20" s="50" t="s">
        <v>67</v>
      </c>
      <c r="C20" s="143" t="s">
        <v>546</v>
      </c>
      <c r="D20" s="143" t="s">
        <v>547</v>
      </c>
      <c r="E20" s="75" t="s">
        <v>68</v>
      </c>
      <c r="F20" s="117" t="s">
        <v>69</v>
      </c>
      <c r="G20" s="59"/>
      <c r="H20" s="9"/>
    </row>
    <row r="21">
      <c r="A21" s="65">
        <v>13.0</v>
      </c>
      <c r="B21" s="50" t="s">
        <v>67</v>
      </c>
      <c r="C21" s="143" t="s">
        <v>548</v>
      </c>
      <c r="D21" s="143" t="s">
        <v>549</v>
      </c>
      <c r="E21" s="75" t="s">
        <v>68</v>
      </c>
      <c r="F21" s="117" t="s">
        <v>69</v>
      </c>
      <c r="G21" s="59"/>
      <c r="H21" s="9"/>
      <c r="I21" s="96" t="s">
        <v>55</v>
      </c>
      <c r="J21" s="121" t="s">
        <v>71</v>
      </c>
      <c r="K21" s="121" t="s">
        <v>72</v>
      </c>
      <c r="L21" s="122" t="s">
        <v>73</v>
      </c>
      <c r="M21" s="123" t="s">
        <v>74</v>
      </c>
      <c r="N21" s="121" t="s">
        <v>75</v>
      </c>
      <c r="O21" s="121" t="s">
        <v>76</v>
      </c>
      <c r="P21" s="121" t="s">
        <v>77</v>
      </c>
      <c r="Q21" s="124" t="s">
        <v>78</v>
      </c>
    </row>
    <row r="22">
      <c r="A22" s="65">
        <v>14.0</v>
      </c>
      <c r="B22" s="50" t="s">
        <v>67</v>
      </c>
      <c r="C22" s="143" t="s">
        <v>550</v>
      </c>
      <c r="D22" s="143" t="s">
        <v>551</v>
      </c>
      <c r="E22" s="75" t="s">
        <v>68</v>
      </c>
      <c r="F22" s="117" t="s">
        <v>69</v>
      </c>
      <c r="G22" s="59"/>
      <c r="H22" s="9"/>
      <c r="I22" s="118">
        <v>1306.0</v>
      </c>
      <c r="J22" s="136" t="str">
        <f t="array" ref="J22">IFERROR(INDEX(Data!$A$4:$O1003, MATCH($L22, INDEX(Data!$A$4:$O1003, 0, MATCH("Item EN", Data!$A$3:$O$3, FALSE)), FALSE), MATCH("Image", Data!$A$3:$O$3, FALSE)
),"")</f>
        <v/>
      </c>
      <c r="K22" s="137">
        <f t="array" ref="K22">IFERROR(INDEX(Data!$A$4:$O1003, MATCH($L22, INDEX(Data!$A$4:$O1003, 0, MATCH("Item EN", Data!$A$3:$O$3, FALSE)), FALSE), MATCH("Item ID", Data!$A$3:$O$3, FALSE)
),"")</f>
        <v>101300</v>
      </c>
      <c r="L22" s="138" t="s">
        <v>552</v>
      </c>
      <c r="M22" s="103"/>
      <c r="N22" s="139" t="str">
        <f t="array" ref="N22">IFERROR(INDEX(Data!$A$4:$O1003, MATCH($L22, INDEX(Data!$A$4:$O1003, 0, MATCH("Item EN", Data!$A$3:$O$3, FALSE)), FALSE), MATCH("Item Type", Data!$A$3:$O$3, FALSE)
),"")</f>
        <v>Consumable</v>
      </c>
      <c r="O22" s="102">
        <v>5.0</v>
      </c>
      <c r="P22" s="141">
        <f t="array" ref="P22">IF(O22="",,IFERROR(INDEX(Data!$A$4:$O1003, MATCH($L22, INDEX(Data!$A$4:$O1003, 0, MATCH("Item EN", Data!$A$3:$O$3, FALSE)), FALSE), MATCH("Price", Data!$A$3:$O$3, FALSE)
),"")*O22)</f>
        <v>2.5</v>
      </c>
      <c r="Q22" s="142" t="str">
        <f t="array" ref="Q22">IFERROR(INDEX(Data!$A$4:$O1003, MATCH($L22, INDEX(Data!$A$4:$O1003, 0, MATCH("Item EN", Data!$A$3:$O$3, FALSE)), FALSE), MATCH("Image URL", Data!$A$3:$O$3, FALSE)
),"")</f>
        <v>https://cdn.exe.in.th/marketing/WarzTH_LE/Item%20Dict/pain_killers.png</v>
      </c>
    </row>
    <row r="23">
      <c r="A23" s="65">
        <v>15.0</v>
      </c>
      <c r="B23" s="50" t="s">
        <v>67</v>
      </c>
      <c r="C23" s="143" t="s">
        <v>553</v>
      </c>
      <c r="D23" s="143" t="s">
        <v>554</v>
      </c>
      <c r="E23" s="75" t="s">
        <v>68</v>
      </c>
      <c r="F23" s="117" t="s">
        <v>69</v>
      </c>
      <c r="G23" s="59"/>
      <c r="H23" s="9"/>
      <c r="I23" s="9"/>
      <c r="J23" s="136" t="str">
        <f t="array" ref="J23">IFERROR(INDEX(Data!$A$4:$O1003, MATCH($L23, INDEX(Data!$A$4:$O1003, 0, MATCH("Item EN", Data!$A$3:$O$3, FALSE)), FALSE), MATCH("Image", Data!$A$3:$O$3, FALSE)
),"")</f>
        <v/>
      </c>
      <c r="K23" s="137">
        <f t="array" ref="K23">IFERROR(INDEX(Data!$A$4:$O1003, MATCH($L23, INDEX(Data!$A$4:$O1003, 0, MATCH("Item EN", Data!$A$3:$O$3, FALSE)), FALSE), MATCH("Item ID", Data!$A$3:$O$3, FALSE)
),"")</f>
        <v>101256</v>
      </c>
      <c r="L23" s="138" t="s">
        <v>87</v>
      </c>
      <c r="M23" s="103"/>
      <c r="N23" s="139" t="str">
        <f t="array" ref="N23">IFERROR(INDEX(Data!$A$4:$O1003, MATCH($L23, INDEX(Data!$A$4:$O1003, 0, MATCH("Item EN", Data!$A$3:$O$3, FALSE)), FALSE), MATCH("Item Type", Data!$A$3:$O$3, FALSE)
),"")</f>
        <v>Consumable</v>
      </c>
      <c r="O23" s="102">
        <v>3.0</v>
      </c>
      <c r="P23" s="141">
        <f t="array" ref="P23">IF(O23="",,IFERROR(INDEX(Data!$A$4:$O1003, MATCH($L23, INDEX(Data!$A$4:$O1003, 0, MATCH("Item EN", Data!$A$3:$O$3, FALSE)), FALSE), MATCH("Price", Data!$A$3:$O$3, FALSE)
),"")*O23)</f>
        <v>1.5</v>
      </c>
      <c r="Q23" s="142" t="str">
        <f t="array" ref="Q23">IFERROR(INDEX(Data!$A$4:$O1003, MATCH($L23, INDEX(Data!$A$4:$O1003, 0, MATCH("Item EN", Data!$A$3:$O$3, FALSE)), FALSE), MATCH("Image URL", Data!$A$3:$O$3, FALSE)
),"")</f>
        <v>https://cdn.exe.in.th/marketing/WarzTH_LE/Item%20Dict/anitibiotics.png</v>
      </c>
    </row>
    <row r="24">
      <c r="A24" s="65">
        <v>16.0</v>
      </c>
      <c r="B24" s="50" t="s">
        <v>67</v>
      </c>
      <c r="C24" s="143" t="s">
        <v>555</v>
      </c>
      <c r="D24" s="143" t="s">
        <v>556</v>
      </c>
      <c r="E24" s="75" t="s">
        <v>68</v>
      </c>
      <c r="F24" s="117" t="s">
        <v>69</v>
      </c>
      <c r="G24" s="59"/>
      <c r="H24" s="9"/>
      <c r="I24" s="9"/>
      <c r="J24" s="136" t="str">
        <f t="array" ref="J24">IFERROR(INDEX(Data!$A$4:$O1003, MATCH($L24, INDEX(Data!$A$4:$O1003, 0, MATCH("Item EN", Data!$A$3:$O$3, FALSE)), FALSE), MATCH("Image", Data!$A$3:$O$3, FALSE)
),"")</f>
        <v/>
      </c>
      <c r="K24" s="137">
        <f t="array" ref="K24">IFERROR(INDEX(Data!$A$4:$O1003, MATCH($L24, INDEX(Data!$A$4:$O1003, 0, MATCH("Item EN", Data!$A$3:$O$3, FALSE)), FALSE), MATCH("Item ID", Data!$A$3:$O$3, FALSE)
),"")</f>
        <v>101284</v>
      </c>
      <c r="L24" s="138" t="s">
        <v>88</v>
      </c>
      <c r="M24" s="103"/>
      <c r="N24" s="139" t="str">
        <f t="array" ref="N24">IFERROR(INDEX(Data!$A$4:$O1003, MATCH($L24, INDEX(Data!$A$4:$O1003, 0, MATCH("Item EN", Data!$A$3:$O$3, FALSE)), FALSE), MATCH("Item Type", Data!$A$3:$O$3, FALSE)
),"")</f>
        <v>Consumable</v>
      </c>
      <c r="O24" s="102">
        <v>1.0</v>
      </c>
      <c r="P24" s="141">
        <f t="array" ref="P24">IF(O24="",,IFERROR(INDEX(Data!$A$4:$O1003, MATCH($L24, INDEX(Data!$A$4:$O1003, 0, MATCH("Item EN", Data!$A$3:$O$3, FALSE)), FALSE), MATCH("Price", Data!$A$3:$O$3, FALSE)
),"")*O24)</f>
        <v>1</v>
      </c>
      <c r="Q24" s="142" t="str">
        <f t="array" ref="Q24">IFERROR(INDEX(Data!$A$4:$O1003, MATCH($L24, INDEX(Data!$A$4:$O1003, 0, MATCH("Item EN", Data!$A$3:$O$3, FALSE)), FALSE), MATCH("Image URL", Data!$A$3:$O$3, FALSE)
),"")</f>
        <v>https://cdn.exe.in.th/marketing/WarzTH_LE/Item%20Dict/mre.png</v>
      </c>
    </row>
    <row r="25">
      <c r="A25" s="65">
        <v>17.0</v>
      </c>
      <c r="B25" s="50" t="s">
        <v>67</v>
      </c>
      <c r="C25" s="143" t="s">
        <v>261</v>
      </c>
      <c r="D25" s="143" t="s">
        <v>262</v>
      </c>
      <c r="E25" s="75" t="s">
        <v>68</v>
      </c>
      <c r="F25" s="117" t="s">
        <v>69</v>
      </c>
      <c r="G25" s="59"/>
      <c r="H25" s="9"/>
      <c r="I25" s="9"/>
      <c r="J25" s="136" t="str">
        <f t="array" ref="J25">IFERROR(INDEX(Data!$A$4:$O1003, MATCH($L25, INDEX(Data!$A$4:$O1003, 0, MATCH("Item EN", Data!$A$3:$O$3, FALSE)), FALSE), MATCH("Image", Data!$A$3:$O$3, FALSE)
),"")</f>
        <v/>
      </c>
      <c r="K25" s="137">
        <f t="array" ref="K25">IFERROR(INDEX(Data!$A$4:$O1003, MATCH($L25, INDEX(Data!$A$4:$O1003, 0, MATCH("Item EN", Data!$A$3:$O$3, FALSE)), FALSE), MATCH("Item ID", Data!$A$3:$O$3, FALSE)
),"")</f>
        <v>101295</v>
      </c>
      <c r="L25" s="138" t="s">
        <v>89</v>
      </c>
      <c r="M25" s="103"/>
      <c r="N25" s="139" t="str">
        <f t="array" ref="N25">IFERROR(INDEX(Data!$A$4:$O1003, MATCH($L25, INDEX(Data!$A$4:$O1003, 0, MATCH("Item EN", Data!$A$3:$O$3, FALSE)), FALSE), MATCH("Item Type", Data!$A$3:$O$3, FALSE)
),"")</f>
        <v>Consumable</v>
      </c>
      <c r="O25" s="102">
        <v>1.0</v>
      </c>
      <c r="P25" s="141">
        <f t="array" ref="P25">IF(O25="",,IFERROR(INDEX(Data!$A$4:$O1003, MATCH($L25, INDEX(Data!$A$4:$O1003, 0, MATCH("Item EN", Data!$A$3:$O$3, FALSE)), FALSE), MATCH("Price", Data!$A$3:$O$3, FALSE)
),"")*O25)</f>
        <v>2.5</v>
      </c>
      <c r="Q25" s="142" t="str">
        <f t="array" ref="Q25">IFERROR(INDEX(Data!$A$4:$O1003, MATCH($L25, INDEX(Data!$A$4:$O1003, 0, MATCH("Item EN", Data!$A$3:$O$3, FALSE)), FALSE), MATCH("Image URL", Data!$A$3:$O$3, FALSE)
),"")</f>
        <v>https://cdn.exe.in.th/marketing/WarzTH_LE/Item%20Dict/electro_aid.png</v>
      </c>
    </row>
    <row r="26">
      <c r="A26" s="65">
        <v>18.0</v>
      </c>
      <c r="B26" s="50" t="s">
        <v>67</v>
      </c>
      <c r="C26" s="143" t="s">
        <v>557</v>
      </c>
      <c r="D26" s="143" t="s">
        <v>558</v>
      </c>
      <c r="E26" s="75" t="s">
        <v>68</v>
      </c>
      <c r="F26" s="117" t="s">
        <v>69</v>
      </c>
      <c r="G26" s="59"/>
      <c r="H26" s="9"/>
      <c r="I26" s="9"/>
      <c r="J26" s="136" t="str">
        <f t="array" ref="J26">IFERROR(INDEX(Data!$A$4:$O1003, MATCH($L26, INDEX(Data!$A$4:$O1003, 0, MATCH("Item EN", Data!$A$3:$O$3, FALSE)), FALSE), MATCH("Image", Data!$A$3:$O$3, FALSE)
),"")</f>
        <v/>
      </c>
      <c r="K26" s="137">
        <f t="array" ref="K26">IFERROR(INDEX(Data!$A$4:$O1003, MATCH($L26, INDEX(Data!$A$4:$O1003, 0, MATCH("Item EN", Data!$A$3:$O$3, FALSE)), FALSE), MATCH("Item ID", Data!$A$3:$O$3, FALSE)
),"")</f>
        <v>220003</v>
      </c>
      <c r="L26" s="138" t="s">
        <v>559</v>
      </c>
      <c r="M26" s="103"/>
      <c r="N26" s="139" t="str">
        <f t="array" ref="N26">IFERROR(INDEX(Data!$A$4:$O1003, MATCH($L26, INDEX(Data!$A$4:$O1003, 0, MATCH("Item EN", Data!$A$3:$O$3, FALSE)), FALSE), MATCH("Item Type", Data!$A$3:$O$3, FALSE)
),"")</f>
        <v>Blueprint Skin</v>
      </c>
      <c r="O26" s="102">
        <v>1.0</v>
      </c>
      <c r="P26" s="141" t="str">
        <f t="array" ref="P26">IF(O26="",,IFERROR(INDEX(Data!$A$4:$O1003, MATCH($L26, INDEX(Data!$A$4:$O1003, 0, MATCH("Item EN", Data!$A$3:$O$3, FALSE)), FALSE), MATCH("Price", Data!$A$3:$O$3, FALSE)
),"")*O26)</f>
        <v>#VALUE!</v>
      </c>
      <c r="Q26" s="142" t="str">
        <f t="array" ref="Q26">IFERROR(INDEX(Data!$A$4:$O1003, MATCH($L26, INDEX(Data!$A$4:$O1003, 0, MATCH("Item EN", Data!$A$3:$O$3, FALSE)), FALSE), MATCH("Image URL", Data!$A$3:$O$3, FALSE)
),"")</f>
        <v>https://cdn.exe.in.th/marketing/WarzTH_LE/Item%20Dict/blueprint__hgear_kstyle_nvg_HOF_SET.png</v>
      </c>
    </row>
    <row r="27">
      <c r="A27" s="65">
        <v>19.0</v>
      </c>
      <c r="B27" s="50" t="s">
        <v>67</v>
      </c>
      <c r="C27" s="143" t="s">
        <v>560</v>
      </c>
      <c r="D27" s="143" t="s">
        <v>561</v>
      </c>
      <c r="E27" s="75" t="s">
        <v>68</v>
      </c>
      <c r="F27" s="117" t="s">
        <v>69</v>
      </c>
      <c r="G27" s="59"/>
      <c r="H27" s="9"/>
      <c r="I27" s="9"/>
      <c r="J27" s="9"/>
      <c r="K27" s="9"/>
      <c r="L27" s="9"/>
      <c r="M27" s="9"/>
      <c r="N27" s="9"/>
      <c r="O27" s="9"/>
      <c r="P27" s="9"/>
      <c r="Q27" s="9"/>
    </row>
    <row r="28">
      <c r="A28" s="65">
        <v>20.0</v>
      </c>
      <c r="B28" s="50" t="s">
        <v>67</v>
      </c>
      <c r="C28" s="143" t="s">
        <v>562</v>
      </c>
      <c r="D28" s="143" t="s">
        <v>563</v>
      </c>
      <c r="E28" s="75" t="s">
        <v>68</v>
      </c>
      <c r="F28" s="117" t="s">
        <v>69</v>
      </c>
      <c r="G28" s="59"/>
      <c r="H28" s="9"/>
      <c r="I28" s="9" t="s">
        <v>519</v>
      </c>
      <c r="J28" s="9"/>
      <c r="K28" s="9"/>
      <c r="L28" s="9"/>
      <c r="M28" s="9"/>
      <c r="N28" s="9"/>
      <c r="O28" s="9"/>
      <c r="P28" s="9"/>
      <c r="Q28" s="9"/>
    </row>
    <row r="29">
      <c r="A29" s="65">
        <v>21.0</v>
      </c>
      <c r="B29" s="50" t="s">
        <v>67</v>
      </c>
      <c r="C29" s="143" t="s">
        <v>564</v>
      </c>
      <c r="D29" s="143" t="s">
        <v>565</v>
      </c>
      <c r="E29" s="75" t="s">
        <v>68</v>
      </c>
      <c r="F29" s="117" t="s">
        <v>69</v>
      </c>
      <c r="G29" s="59"/>
      <c r="H29" s="9"/>
      <c r="I29" s="9"/>
      <c r="J29" s="135" t="s">
        <v>566</v>
      </c>
    </row>
    <row r="30">
      <c r="A30" s="65">
        <v>22.0</v>
      </c>
      <c r="B30" s="50" t="s">
        <v>67</v>
      </c>
      <c r="C30" s="143" t="s">
        <v>567</v>
      </c>
      <c r="D30" s="143" t="s">
        <v>568</v>
      </c>
      <c r="E30" s="75" t="s">
        <v>68</v>
      </c>
      <c r="F30" s="117" t="s">
        <v>69</v>
      </c>
      <c r="G30" s="59"/>
      <c r="H30" s="9"/>
    </row>
    <row r="31">
      <c r="A31" s="65">
        <v>23.0</v>
      </c>
      <c r="B31" s="50" t="s">
        <v>67</v>
      </c>
      <c r="C31" s="143" t="s">
        <v>569</v>
      </c>
      <c r="D31" s="143" t="s">
        <v>570</v>
      </c>
      <c r="E31" s="75" t="s">
        <v>68</v>
      </c>
      <c r="F31" s="117" t="s">
        <v>69</v>
      </c>
      <c r="G31" s="59"/>
      <c r="H31" s="9"/>
      <c r="I31" s="96" t="s">
        <v>55</v>
      </c>
      <c r="J31" s="121" t="s">
        <v>71</v>
      </c>
      <c r="K31" s="121" t="s">
        <v>72</v>
      </c>
      <c r="L31" s="122" t="s">
        <v>73</v>
      </c>
      <c r="M31" s="123" t="s">
        <v>74</v>
      </c>
      <c r="N31" s="121" t="s">
        <v>75</v>
      </c>
      <c r="O31" s="121" t="s">
        <v>76</v>
      </c>
      <c r="P31" s="121" t="s">
        <v>77</v>
      </c>
      <c r="Q31" s="124" t="s">
        <v>78</v>
      </c>
    </row>
    <row r="32">
      <c r="A32" s="65">
        <v>24.0</v>
      </c>
      <c r="B32" s="50" t="s">
        <v>67</v>
      </c>
      <c r="C32" s="143" t="s">
        <v>571</v>
      </c>
      <c r="D32" s="143" t="s">
        <v>572</v>
      </c>
      <c r="E32" s="75" t="s">
        <v>68</v>
      </c>
      <c r="F32" s="117" t="s">
        <v>69</v>
      </c>
      <c r="G32" s="59"/>
      <c r="H32" s="9"/>
      <c r="I32" s="118">
        <v>1305.0</v>
      </c>
      <c r="J32" s="136" t="str">
        <f t="array" ref="J32">IFERROR(INDEX(Data!$A$4:$O1003, MATCH($L32, INDEX(Data!$A$4:$O1003, 0, MATCH("Item EN", Data!$A$3:$O$3, FALSE)), FALSE), MATCH("Image", Data!$A$3:$O$3, FALSE)
),"")</f>
        <v/>
      </c>
      <c r="K32" s="137">
        <f t="array" ref="K32">IFERROR(INDEX(Data!$A$4:$O1003, MATCH($L32, INDEX(Data!$A$4:$O1003, 0, MATCH("Item EN", Data!$A$3:$O$3, FALSE)), FALSE), MATCH("Item ID", Data!$A$3:$O$3, FALSE)
),"")</f>
        <v>101336</v>
      </c>
      <c r="L32" s="138" t="s">
        <v>83</v>
      </c>
      <c r="M32" s="103"/>
      <c r="N32" s="139" t="str">
        <f t="array" ref="N32">IFERROR(INDEX(Data!$A$4:$O1003, MATCH($L32, INDEX(Data!$A$4:$O1003, 0, MATCH("Item EN", Data!$A$3:$O$3, FALSE)), FALSE), MATCH("Item Type", Data!$A$3:$O$3, FALSE)
),"")</f>
        <v>Weapon</v>
      </c>
      <c r="O32" s="102">
        <v>1.0</v>
      </c>
      <c r="P32" s="141">
        <f t="array" ref="P32">IF(O32="",,IFERROR(INDEX(Data!$A$4:$O1003, MATCH($L32, INDEX(Data!$A$4:$O1003, 0, MATCH("Item EN", Data!$A$3:$O$3, FALSE)), FALSE), MATCH("Price", Data!$A$3:$O$3, FALSE)
),"")*O32)</f>
        <v>1.5</v>
      </c>
      <c r="Q32" s="142" t="str">
        <f t="array" ref="Q32">IFERROR(INDEX(Data!$A$4:$O1003, MATCH($L32, INDEX(Data!$A$4:$O1003, 0, MATCH("Item EN", Data!$A$3:$O$3, FALSE)), FALSE), MATCH("Image URL", Data!$A$3:$O$3, FALSE)
),"")</f>
        <v>https://cdn.exe.in.th/marketing/WarzTH_LE/Item%20Dict/katana.png</v>
      </c>
    </row>
    <row r="33">
      <c r="A33" s="65">
        <v>25.0</v>
      </c>
      <c r="B33" s="50" t="s">
        <v>67</v>
      </c>
      <c r="C33" s="143" t="s">
        <v>573</v>
      </c>
      <c r="D33" s="143" t="s">
        <v>574</v>
      </c>
      <c r="E33" s="75" t="s">
        <v>68</v>
      </c>
      <c r="F33" s="117" t="s">
        <v>69</v>
      </c>
      <c r="G33" s="59"/>
      <c r="H33" s="9"/>
      <c r="I33" s="9"/>
      <c r="J33" s="136" t="str">
        <f t="array" ref="J33">IFERROR(INDEX(Data!$A$4:$O1003, MATCH($L33, INDEX(Data!$A$4:$O1003, 0, MATCH("Item EN", Data!$A$3:$O$3, FALSE)), FALSE), MATCH("Image", Data!$A$3:$O$3, FALSE)
),"")</f>
        <v/>
      </c>
      <c r="K33" s="137">
        <f t="array" ref="K33">IFERROR(INDEX(Data!$A$4:$O1003, MATCH($L33, INDEX(Data!$A$4:$O1003, 0, MATCH("Item EN", Data!$A$3:$O$3, FALSE)), FALSE), MATCH("Item ID", Data!$A$3:$O$3, FALSE)
),"")</f>
        <v>20054</v>
      </c>
      <c r="L33" s="138" t="s">
        <v>575</v>
      </c>
      <c r="M33" s="103"/>
      <c r="N33" s="139" t="str">
        <f t="array" ref="N33">IFERROR(INDEX(Data!$A$4:$O1003, MATCH($L33, INDEX(Data!$A$4:$O1003, 0, MATCH("Item EN", Data!$A$3:$O$3, FALSE)), FALSE), MATCH("Item Type", Data!$A$3:$O$3, FALSE)
),"")</f>
        <v>Equipment</v>
      </c>
      <c r="O33" s="102">
        <v>1.0</v>
      </c>
      <c r="P33" s="141">
        <f t="array" ref="P33">IF(O33="",,IFERROR(INDEX(Data!$A$4:$O1003, MATCH($L33, INDEX(Data!$A$4:$O1003, 0, MATCH("Item EN", Data!$A$3:$O$3, FALSE)), FALSE), MATCH("Price", Data!$A$3:$O$3, FALSE)
),"")*O33)</f>
        <v>1.5</v>
      </c>
      <c r="Q33" s="142" t="str">
        <f t="array" ref="Q33">IFERROR(INDEX(Data!$A$4:$O1003, MATCH($L33, INDEX(Data!$A$4:$O1003, 0, MATCH("Item EN", Data!$A$3:$O$3, FALSE)), FALSE), MATCH("Image URL", Data!$A$3:$O$3, FALSE)
),"")</f>
        <v>https://cdn.exe.in.th/marketing/WarzTH_LE/Item%20Dict/iba_sand.png</v>
      </c>
    </row>
    <row r="34">
      <c r="A34" s="65">
        <v>26.0</v>
      </c>
      <c r="B34" s="50" t="s">
        <v>67</v>
      </c>
      <c r="C34" s="143" t="s">
        <v>576</v>
      </c>
      <c r="D34" s="143" t="s">
        <v>577</v>
      </c>
      <c r="E34" s="75" t="s">
        <v>68</v>
      </c>
      <c r="F34" s="117" t="s">
        <v>69</v>
      </c>
      <c r="G34" s="59"/>
      <c r="H34" s="9"/>
      <c r="I34" s="9"/>
      <c r="J34" s="136" t="str">
        <f t="array" ref="J34">IFERROR(INDEX(Data!$A$4:$O1003, MATCH($L34, INDEX(Data!$A$4:$O1003, 0, MATCH("Item EN", Data!$A$3:$O$3, FALSE)), FALSE), MATCH("Image", Data!$A$3:$O$3, FALSE)
),"")</f>
        <v/>
      </c>
      <c r="K34" s="137">
        <f t="array" ref="K34">IFERROR(INDEX(Data!$A$4:$O1003, MATCH($L34, INDEX(Data!$A$4:$O1003, 0, MATCH("Item EN", Data!$A$3:$O$3, FALSE)), FALSE), MATCH("Item ID", Data!$A$3:$O$3, FALSE)
),"")</f>
        <v>20006</v>
      </c>
      <c r="L34" s="138" t="s">
        <v>578</v>
      </c>
      <c r="M34" s="103"/>
      <c r="N34" s="139" t="str">
        <f t="array" ref="N34">IFERROR(INDEX(Data!$A$4:$O1003, MATCH($L34, INDEX(Data!$A$4:$O1003, 0, MATCH("Item EN", Data!$A$3:$O$3, FALSE)), FALSE), MATCH("Item Type", Data!$A$3:$O$3, FALSE)
),"")</f>
        <v>Equipment</v>
      </c>
      <c r="O34" s="102">
        <v>1.0</v>
      </c>
      <c r="P34" s="141">
        <f t="array" ref="P34">IF(O34="",,IFERROR(INDEX(Data!$A$4:$O1003, MATCH($L34, INDEX(Data!$A$4:$O1003, 0, MATCH("Item EN", Data!$A$3:$O$3, FALSE)), FALSE), MATCH("Price", Data!$A$3:$O$3, FALSE)
),"")*O34)</f>
        <v>1.5</v>
      </c>
      <c r="Q34" s="142" t="str">
        <f t="array" ref="Q34">IFERROR(INDEX(Data!$A$4:$O1003, MATCH($L34, INDEX(Data!$A$4:$O1003, 0, MATCH("Item EN", Data!$A$3:$O$3, FALSE)), FALSE), MATCH("Image URL", Data!$A$3:$O$3, FALSE)
),"")</f>
        <v>https://cdn.exe.in.th/marketing/WarzTH_LE/Item%20Dict/k._style_helmet.png</v>
      </c>
    </row>
    <row r="35">
      <c r="A35" s="65">
        <v>27.0</v>
      </c>
      <c r="B35" s="50" t="s">
        <v>67</v>
      </c>
      <c r="C35" s="143" t="s">
        <v>579</v>
      </c>
      <c r="D35" s="143" t="s">
        <v>580</v>
      </c>
      <c r="E35" s="75" t="s">
        <v>68</v>
      </c>
      <c r="F35" s="117" t="s">
        <v>69</v>
      </c>
      <c r="G35" s="59"/>
      <c r="H35" s="9"/>
      <c r="I35" s="146"/>
      <c r="J35" s="136" t="str">
        <f t="array" ref="J35">IFERROR(INDEX(Data!$A$4:$O1003, MATCH($L35, INDEX(Data!$A$4:$O1003, 0, MATCH("Item EN", Data!$A$3:$O$3, FALSE)), FALSE), MATCH("Image", Data!$A$3:$O$3, FALSE)
),"")</f>
        <v/>
      </c>
      <c r="K35" s="137">
        <f t="array" ref="K35">IFERROR(INDEX(Data!$A$4:$O1003, MATCH($L35, INDEX(Data!$A$4:$O1003, 0, MATCH("Item EN", Data!$A$3:$O$3, FALSE)), FALSE), MATCH("Item ID", Data!$A$3:$O$3, FALSE)
),"")</f>
        <v>20179</v>
      </c>
      <c r="L35" s="138" t="s">
        <v>86</v>
      </c>
      <c r="M35" s="103"/>
      <c r="N35" s="139" t="str">
        <f t="array" ref="N35">IFERROR(INDEX(Data!$A$4:$O1003, MATCH($L35, INDEX(Data!$A$4:$O1003, 0, MATCH("Item EN", Data!$A$3:$O$3, FALSE)), FALSE), MATCH("Item Type", Data!$A$3:$O$3, FALSE)
),"")</f>
        <v>Equipment</v>
      </c>
      <c r="O35" s="102">
        <v>1.0</v>
      </c>
      <c r="P35" s="141">
        <f t="array" ref="P35">IF(O35="",,IFERROR(INDEX(Data!$A$4:$O1003, MATCH($L35, INDEX(Data!$A$4:$O1003, 0, MATCH("Item EN", Data!$A$3:$O$3, FALSE)), FALSE), MATCH("Price", Data!$A$3:$O$3, FALSE)
),"")*O35)</f>
        <v>2</v>
      </c>
      <c r="Q35" s="142" t="str">
        <f t="array" ref="Q35">IFERROR(INDEX(Data!$A$4:$O1003, MATCH($L35, INDEX(Data!$A$4:$O1003, 0, MATCH("Item EN", Data!$A$3:$O$3, FALSE)), FALSE), MATCH("Image URL", Data!$A$3:$O$3, FALSE)
),"")</f>
        <v>https://cdn.exe.in.th/marketing/WarzTH_LE/Item%20Dict/large_backpack.png</v>
      </c>
    </row>
    <row r="36">
      <c r="A36" s="65">
        <v>28.0</v>
      </c>
      <c r="B36" s="50" t="s">
        <v>67</v>
      </c>
      <c r="C36" s="143" t="s">
        <v>581</v>
      </c>
      <c r="D36" s="143" t="s">
        <v>582</v>
      </c>
      <c r="E36" s="75" t="s">
        <v>68</v>
      </c>
      <c r="F36" s="117" t="s">
        <v>69</v>
      </c>
      <c r="G36" s="59"/>
      <c r="H36" s="9"/>
      <c r="I36" s="9"/>
      <c r="J36" s="136" t="str">
        <f t="array" ref="J36">IFERROR(INDEX(Data!$A$4:$O1003, MATCH($L36, INDEX(Data!$A$4:$O1003, 0, MATCH("Item EN", Data!$A$3:$O$3, FALSE)), FALSE), MATCH("Image", Data!$A$3:$O$3, FALSE)
),"")</f>
        <v/>
      </c>
      <c r="K36" s="137">
        <f t="array" ref="K36">IFERROR(INDEX(Data!$A$4:$O1003, MATCH($L36, INDEX(Data!$A$4:$O1003, 0, MATCH("Item EN", Data!$A$3:$O$3, FALSE)), FALSE), MATCH("Item ID", Data!$A$3:$O$3, FALSE)
),"")</f>
        <v>230002</v>
      </c>
      <c r="L36" s="138" t="s">
        <v>583</v>
      </c>
      <c r="M36" s="103"/>
      <c r="N36" s="139" t="str">
        <f t="array" ref="N36">IFERROR(INDEX(Data!$A$4:$O1003, MATCH($L36, INDEX(Data!$A$4:$O1003, 0, MATCH("Item EN", Data!$A$3:$O$3, FALSE)), FALSE), MATCH("Item Type", Data!$A$3:$O$3, FALSE)
),"")</f>
        <v>Blueprint Skin</v>
      </c>
      <c r="O36" s="102">
        <v>1.0</v>
      </c>
      <c r="P36" s="141">
        <f t="array" ref="P36">IF(O36="",,IFERROR(INDEX(Data!$A$4:$O1003, MATCH($L36, INDEX(Data!$A$4:$O1003, 0, MATCH("Item EN", Data!$A$3:$O$3, FALSE)), FALSE), MATCH("Price", Data!$A$3:$O$3, FALSE)
),"")*O36)</f>
        <v>0</v>
      </c>
      <c r="Q36" s="142" t="str">
        <f t="array" ref="Q36">IFERROR(INDEX(Data!$A$4:$O1003, MATCH($L36, INDEX(Data!$A$4:$O1003, 0, MATCH("Item EN", Data!$A$3:$O$3, FALSE)), FALSE), MATCH("Image URL", Data!$A$3:$O$3, FALSE)
),"")</f>
        <v>https://cdn.exe.in.th/marketing/WarzTH_LE/Item%20Dict/blueprint__gear_backpack_med_HOF_SET.png</v>
      </c>
    </row>
    <row r="37">
      <c r="A37" s="65">
        <v>29.0</v>
      </c>
      <c r="B37" s="50" t="s">
        <v>67</v>
      </c>
      <c r="C37" s="143" t="s">
        <v>584</v>
      </c>
      <c r="D37" s="143" t="s">
        <v>585</v>
      </c>
      <c r="E37" s="75" t="s">
        <v>68</v>
      </c>
      <c r="F37" s="117" t="s">
        <v>69</v>
      </c>
      <c r="G37" s="59"/>
      <c r="H37" s="9"/>
      <c r="I37" s="9"/>
      <c r="J37" s="9"/>
      <c r="K37" s="9"/>
      <c r="L37" s="9"/>
      <c r="M37" s="9"/>
      <c r="N37" s="9"/>
      <c r="O37" s="9"/>
      <c r="P37" s="9"/>
      <c r="Q37" s="9"/>
    </row>
    <row r="38">
      <c r="A38" s="65">
        <v>30.0</v>
      </c>
      <c r="B38" s="50" t="s">
        <v>67</v>
      </c>
      <c r="C38" s="143" t="s">
        <v>586</v>
      </c>
      <c r="D38" s="143" t="s">
        <v>587</v>
      </c>
      <c r="E38" s="75" t="s">
        <v>68</v>
      </c>
      <c r="F38" s="117" t="s">
        <v>69</v>
      </c>
      <c r="G38" s="59"/>
      <c r="H38" s="9"/>
      <c r="I38" s="9" t="s">
        <v>519</v>
      </c>
      <c r="J38" s="9"/>
      <c r="K38" s="9"/>
      <c r="L38" s="9"/>
      <c r="M38" s="9"/>
      <c r="N38" s="9"/>
      <c r="O38" s="9"/>
      <c r="P38" s="9"/>
      <c r="Q38" s="9"/>
    </row>
    <row r="39">
      <c r="A39" s="65">
        <v>31.0</v>
      </c>
      <c r="B39" s="50" t="s">
        <v>67</v>
      </c>
      <c r="C39" s="143" t="s">
        <v>588</v>
      </c>
      <c r="D39" s="143" t="s">
        <v>589</v>
      </c>
      <c r="E39" s="75" t="s">
        <v>68</v>
      </c>
      <c r="F39" s="117" t="s">
        <v>69</v>
      </c>
      <c r="G39" s="59"/>
      <c r="H39" s="9"/>
      <c r="I39" s="9"/>
      <c r="J39" s="135" t="s">
        <v>590</v>
      </c>
    </row>
    <row r="40">
      <c r="A40" s="65">
        <v>32.0</v>
      </c>
      <c r="B40" s="50" t="s">
        <v>67</v>
      </c>
      <c r="C40" s="143" t="s">
        <v>591</v>
      </c>
      <c r="D40" s="143" t="s">
        <v>592</v>
      </c>
      <c r="E40" s="75" t="s">
        <v>68</v>
      </c>
      <c r="F40" s="117" t="s">
        <v>69</v>
      </c>
      <c r="G40" s="59"/>
      <c r="H40" s="9"/>
    </row>
    <row r="41">
      <c r="A41" s="65">
        <v>33.0</v>
      </c>
      <c r="B41" s="50" t="s">
        <v>67</v>
      </c>
      <c r="C41" s="143" t="s">
        <v>593</v>
      </c>
      <c r="D41" s="143" t="s">
        <v>594</v>
      </c>
      <c r="E41" s="75" t="s">
        <v>68</v>
      </c>
      <c r="F41" s="117" t="s">
        <v>69</v>
      </c>
      <c r="G41" s="59"/>
      <c r="H41" s="9"/>
      <c r="I41" s="96" t="s">
        <v>55</v>
      </c>
      <c r="J41" s="121" t="s">
        <v>71</v>
      </c>
      <c r="K41" s="121" t="s">
        <v>72</v>
      </c>
      <c r="L41" s="122" t="s">
        <v>73</v>
      </c>
      <c r="M41" s="123" t="s">
        <v>74</v>
      </c>
      <c r="N41" s="121" t="s">
        <v>75</v>
      </c>
      <c r="O41" s="121" t="s">
        <v>76</v>
      </c>
      <c r="P41" s="121" t="s">
        <v>77</v>
      </c>
      <c r="Q41" s="124" t="s">
        <v>78</v>
      </c>
    </row>
    <row r="42">
      <c r="A42" s="65">
        <v>34.0</v>
      </c>
      <c r="B42" s="50" t="s">
        <v>67</v>
      </c>
      <c r="C42" s="143" t="s">
        <v>595</v>
      </c>
      <c r="D42" s="143" t="s">
        <v>596</v>
      </c>
      <c r="E42" s="75" t="s">
        <v>68</v>
      </c>
      <c r="F42" s="117" t="s">
        <v>69</v>
      </c>
      <c r="G42" s="59"/>
      <c r="H42" s="9"/>
      <c r="I42" s="118">
        <v>1304.0</v>
      </c>
      <c r="J42" s="136" t="str">
        <f t="array" ref="J42">IFERROR(INDEX(Data!$A$4:$O1003, MATCH($L42, INDEX(Data!$A$4:$O1003, 0, MATCH("Item EN", Data!$A$3:$O$3, FALSE)), FALSE), MATCH("Image", Data!$A$3:$O$3, FALSE)
),"")</f>
        <v/>
      </c>
      <c r="K42" s="137">
        <f t="array" ref="K42">IFERROR(INDEX(Data!$A$4:$O1003, MATCH($L42, INDEX(Data!$A$4:$O1003, 0, MATCH("Item EN", Data!$A$3:$O$3, FALSE)), FALSE), MATCH("Item ID", Data!$A$3:$O$3, FALSE)
),"")</f>
        <v>101246</v>
      </c>
      <c r="L42" s="138" t="s">
        <v>597</v>
      </c>
      <c r="M42" s="103"/>
      <c r="N42" s="139" t="str">
        <f t="array" ref="N42">IFERROR(INDEX(Data!$A$4:$O1003, MATCH($L42, INDEX(Data!$A$4:$O1003, 0, MATCH("Item EN", Data!$A$3:$O$3, FALSE)), FALSE), MATCH("Item Type", Data!$A$3:$O$3, FALSE)
),"")</f>
        <v>Weapon</v>
      </c>
      <c r="O42" s="102">
        <v>1.0</v>
      </c>
      <c r="P42" s="141">
        <f t="array" ref="P42">IF(O42="",,IFERROR(INDEX(Data!$A$4:$O1003, MATCH($L42, INDEX(Data!$A$4:$O1003, 0, MATCH("Item EN", Data!$A$3:$O$3, FALSE)), FALSE), MATCH("Price", Data!$A$3:$O$3, FALSE)
),"")*O42)</f>
        <v>2</v>
      </c>
      <c r="Q42" s="142" t="str">
        <f t="array" ref="Q42">IFERROR(INDEX(Data!$A$4:$O1003, MATCH($L42, INDEX(Data!$A$4:$O1003, 0, MATCH("Item EN", Data!$A$3:$O$3, FALSE)), FALSE), MATCH("Image URL", Data!$A$3:$O$3, FALSE)
),"")</f>
        <v>https://cdn.exe.in.th/marketing/WarzTH_LE/Item%20Dict/fn_p90_s.png</v>
      </c>
    </row>
    <row r="43">
      <c r="A43" s="65">
        <v>35.0</v>
      </c>
      <c r="B43" s="50" t="s">
        <v>67</v>
      </c>
      <c r="C43" s="143" t="s">
        <v>598</v>
      </c>
      <c r="D43" s="143">
        <v>123456.0</v>
      </c>
      <c r="E43" s="75" t="s">
        <v>68</v>
      </c>
      <c r="F43" s="117" t="s">
        <v>69</v>
      </c>
      <c r="G43" s="59"/>
      <c r="H43" s="9"/>
      <c r="I43" s="9"/>
      <c r="J43" s="136" t="str">
        <f t="array" ref="J43">IFERROR(INDEX(Data!$A$4:$O1003, MATCH($L43, INDEX(Data!$A$4:$O1003, 0, MATCH("Item EN", Data!$A$3:$O$3, FALSE)), FALSE), MATCH("Image", Data!$A$3:$O$3, FALSE)
),"")</f>
        <v/>
      </c>
      <c r="K43" s="137">
        <f t="array" ref="K43">IFERROR(INDEX(Data!$A$4:$O1003, MATCH($L43, INDEX(Data!$A$4:$O1003, 0, MATCH("Item EN", Data!$A$3:$O$3, FALSE)), FALSE), MATCH("Item ID", Data!$A$3:$O$3, FALSE)
),"")</f>
        <v>400046</v>
      </c>
      <c r="L43" s="138" t="s">
        <v>599</v>
      </c>
      <c r="M43" s="103"/>
      <c r="N43" s="139" t="str">
        <f t="array" ref="N43">IFERROR(INDEX(Data!$A$4:$O1003, MATCH($L43, INDEX(Data!$A$4:$O1003, 0, MATCH("Item EN", Data!$A$3:$O$3, FALSE)), FALSE), MATCH("Item Type", Data!$A$3:$O$3, FALSE)
),"")</f>
        <v>Ammo</v>
      </c>
      <c r="O43" s="102">
        <v>2.0</v>
      </c>
      <c r="P43" s="141">
        <f t="array" ref="P43">IF(O43="",,IFERROR(INDEX(Data!$A$4:$O1003, MATCH($L43, INDEX(Data!$A$4:$O1003, 0, MATCH("Item EN", Data!$A$3:$O$3, FALSE)), FALSE), MATCH("Price", Data!$A$3:$O$3, FALSE)
),"")*O43)</f>
        <v>2</v>
      </c>
      <c r="Q43" s="142" t="str">
        <f t="array" ref="Q43">IFERROR(INDEX(Data!$A$4:$O1003, MATCH($L43, INDEX(Data!$A$4:$O1003, 0, MATCH("Item EN", Data!$A$3:$O$3, FALSE)), FALSE), MATCH("Image URL", Data!$A$3:$O$3, FALSE)
),"")</f>
        <v>https://cdn.exe.in.th/marketing/WarzTH_LE/Item%20Dict/p90_50.png</v>
      </c>
    </row>
    <row r="44">
      <c r="A44" s="65">
        <v>36.0</v>
      </c>
      <c r="B44" s="50" t="s">
        <v>67</v>
      </c>
      <c r="C44" s="143" t="s">
        <v>600</v>
      </c>
      <c r="D44" s="143" t="s">
        <v>601</v>
      </c>
      <c r="E44" s="75" t="s">
        <v>68</v>
      </c>
      <c r="F44" s="117" t="s">
        <v>69</v>
      </c>
      <c r="G44" s="59"/>
      <c r="H44" s="9"/>
      <c r="I44" s="9"/>
      <c r="J44" s="136" t="str">
        <f t="array" ref="J44">IFERROR(INDEX(Data!$A$4:$O1003, MATCH($L44, INDEX(Data!$A$4:$O1003, 0, MATCH("Item EN", Data!$A$3:$O$3, FALSE)), FALSE), MATCH("Image", Data!$A$3:$O$3, FALSE)
),"")</f>
        <v/>
      </c>
      <c r="K44" s="137">
        <f t="array" ref="K44">IFERROR(INDEX(Data!$A$4:$O1003, MATCH($L44, INDEX(Data!$A$4:$O1003, 0, MATCH("Item EN", Data!$A$3:$O$3, FALSE)), FALSE), MATCH("Item ID", Data!$A$3:$O$3, FALSE)
),"")</f>
        <v>220002</v>
      </c>
      <c r="L44" s="138" t="s">
        <v>602</v>
      </c>
      <c r="M44" s="103"/>
      <c r="N44" s="139" t="str">
        <f t="array" ref="N44">IFERROR(INDEX(Data!$A$4:$O1003, MATCH($L44, INDEX(Data!$A$4:$O1003, 0, MATCH("Item EN", Data!$A$3:$O$3, FALSE)), FALSE), MATCH("Item Type", Data!$A$3:$O$3, FALSE)
),"")</f>
        <v>Blueprint Skin</v>
      </c>
      <c r="O44" s="102">
        <v>1.0</v>
      </c>
      <c r="P44" s="141">
        <f t="array" ref="P44">IF(O44="",,IFERROR(INDEX(Data!$A$4:$O1003, MATCH($L44, INDEX(Data!$A$4:$O1003, 0, MATCH("Item EN", Data!$A$3:$O$3, FALSE)), FALSE), MATCH("Price", Data!$A$3:$O$3, FALSE)
),"")*O44)</f>
        <v>0</v>
      </c>
      <c r="Q44" s="142" t="str">
        <f t="array" ref="Q44">IFERROR(INDEX(Data!$A$4:$O1003, MATCH($L44, INDEX(Data!$A$4:$O1003, 0, MATCH("Item EN", Data!$A$3:$O$3, FALSE)), FALSE), MATCH("Image URL", Data!$A$3:$O$3, FALSE)
),"")</f>
        <v>https://cdn.exe.in.th/marketing/WarzTH_LE/Item%20Dict/blueprint__armor_rebel_heavy_HOF_SET.png</v>
      </c>
    </row>
    <row r="45">
      <c r="A45" s="65">
        <v>37.0</v>
      </c>
      <c r="B45" s="50" t="s">
        <v>67</v>
      </c>
      <c r="C45" s="143" t="s">
        <v>603</v>
      </c>
      <c r="D45" s="143" t="s">
        <v>604</v>
      </c>
      <c r="E45" s="75" t="s">
        <v>68</v>
      </c>
      <c r="F45" s="117" t="s">
        <v>69</v>
      </c>
      <c r="G45" s="59"/>
      <c r="H45" s="9"/>
      <c r="I45" s="9"/>
      <c r="J45" s="9"/>
      <c r="K45" s="9"/>
      <c r="L45" s="9"/>
      <c r="M45" s="9"/>
      <c r="N45" s="9"/>
      <c r="O45" s="9"/>
      <c r="P45" s="9"/>
      <c r="Q45" s="9"/>
    </row>
    <row r="46">
      <c r="A46" s="65">
        <v>38.0</v>
      </c>
      <c r="B46" s="50" t="s">
        <v>67</v>
      </c>
      <c r="C46" s="143" t="s">
        <v>605</v>
      </c>
      <c r="D46" s="143" t="s">
        <v>606</v>
      </c>
      <c r="E46" s="75" t="s">
        <v>68</v>
      </c>
      <c r="F46" s="117" t="s">
        <v>69</v>
      </c>
      <c r="G46" s="59"/>
      <c r="H46" s="9"/>
    </row>
    <row r="47">
      <c r="A47" s="65">
        <v>39.0</v>
      </c>
      <c r="B47" s="50" t="s">
        <v>67</v>
      </c>
      <c r="C47" s="143" t="s">
        <v>607</v>
      </c>
      <c r="D47" s="143" t="s">
        <v>608</v>
      </c>
      <c r="E47" s="75" t="s">
        <v>68</v>
      </c>
      <c r="F47" s="117" t="s">
        <v>69</v>
      </c>
      <c r="G47" s="59"/>
      <c r="H47" s="9"/>
    </row>
    <row r="48">
      <c r="A48" s="65">
        <v>40.0</v>
      </c>
      <c r="B48" s="50" t="s">
        <v>67</v>
      </c>
      <c r="C48" s="143" t="s">
        <v>609</v>
      </c>
      <c r="D48" s="143" t="s">
        <v>610</v>
      </c>
      <c r="E48" s="75" t="s">
        <v>68</v>
      </c>
      <c r="F48" s="117" t="s">
        <v>69</v>
      </c>
      <c r="G48" s="59"/>
      <c r="H48" s="9"/>
    </row>
    <row r="49">
      <c r="A49" s="65">
        <v>41.0</v>
      </c>
      <c r="B49" s="50" t="s">
        <v>67</v>
      </c>
      <c r="C49" s="143" t="s">
        <v>611</v>
      </c>
      <c r="D49" s="143" t="s">
        <v>612</v>
      </c>
      <c r="E49" s="75" t="s">
        <v>68</v>
      </c>
      <c r="F49" s="117" t="s">
        <v>69</v>
      </c>
      <c r="G49" s="59"/>
      <c r="H49" s="9"/>
    </row>
    <row r="50">
      <c r="A50" s="65">
        <v>42.0</v>
      </c>
      <c r="B50" s="50" t="s">
        <v>67</v>
      </c>
      <c r="C50" s="143" t="s">
        <v>344</v>
      </c>
      <c r="D50" s="143" t="s">
        <v>345</v>
      </c>
      <c r="E50" s="75" t="s">
        <v>68</v>
      </c>
      <c r="F50" s="117" t="s">
        <v>69</v>
      </c>
      <c r="G50" s="59"/>
      <c r="H50" s="9"/>
    </row>
    <row r="51">
      <c r="A51" s="65">
        <v>43.0</v>
      </c>
      <c r="B51" s="50" t="s">
        <v>67</v>
      </c>
      <c r="C51" s="143" t="s">
        <v>613</v>
      </c>
      <c r="D51" s="143" t="s">
        <v>614</v>
      </c>
      <c r="E51" s="75" t="s">
        <v>68</v>
      </c>
      <c r="F51" s="117" t="s">
        <v>69</v>
      </c>
      <c r="G51" s="59"/>
      <c r="H51" s="9"/>
    </row>
    <row r="52">
      <c r="A52" s="65">
        <v>44.0</v>
      </c>
      <c r="B52" s="50" t="s">
        <v>67</v>
      </c>
      <c r="C52" s="143" t="s">
        <v>615</v>
      </c>
      <c r="D52" s="143" t="s">
        <v>616</v>
      </c>
      <c r="E52" s="75" t="s">
        <v>68</v>
      </c>
      <c r="F52" s="117" t="s">
        <v>69</v>
      </c>
      <c r="G52" s="59"/>
      <c r="H52" s="9"/>
    </row>
    <row r="53">
      <c r="A53" s="65">
        <v>45.0</v>
      </c>
      <c r="B53" s="50" t="s">
        <v>67</v>
      </c>
      <c r="C53" s="143" t="s">
        <v>617</v>
      </c>
      <c r="D53" s="143" t="s">
        <v>618</v>
      </c>
      <c r="E53" s="75" t="s">
        <v>68</v>
      </c>
      <c r="F53" s="117" t="s">
        <v>69</v>
      </c>
      <c r="G53" s="59"/>
      <c r="H53" s="9"/>
    </row>
    <row r="54">
      <c r="A54" s="65">
        <v>46.0</v>
      </c>
      <c r="B54" s="50" t="s">
        <v>67</v>
      </c>
      <c r="C54" s="143" t="s">
        <v>619</v>
      </c>
      <c r="D54" s="143" t="s">
        <v>620</v>
      </c>
      <c r="E54" s="75" t="s">
        <v>68</v>
      </c>
      <c r="F54" s="117" t="s">
        <v>69</v>
      </c>
      <c r="G54" s="59"/>
      <c r="H54" s="9"/>
    </row>
    <row r="55">
      <c r="A55" s="65">
        <v>47.0</v>
      </c>
      <c r="B55" s="50" t="s">
        <v>67</v>
      </c>
      <c r="C55" s="143" t="s">
        <v>621</v>
      </c>
      <c r="D55" s="143" t="s">
        <v>622</v>
      </c>
      <c r="E55" s="75" t="s">
        <v>68</v>
      </c>
      <c r="F55" s="117" t="s">
        <v>69</v>
      </c>
      <c r="G55" s="59"/>
      <c r="H55" s="9"/>
    </row>
    <row r="56">
      <c r="A56" s="65">
        <v>48.0</v>
      </c>
      <c r="B56" s="50" t="s">
        <v>67</v>
      </c>
      <c r="C56" s="143" t="s">
        <v>623</v>
      </c>
      <c r="D56" s="143" t="s">
        <v>624</v>
      </c>
      <c r="E56" s="75" t="s">
        <v>68</v>
      </c>
      <c r="F56" s="117" t="s">
        <v>69</v>
      </c>
      <c r="G56" s="59"/>
      <c r="H56" s="9"/>
    </row>
    <row r="57">
      <c r="A57" s="65">
        <v>49.0</v>
      </c>
      <c r="B57" s="50" t="s">
        <v>67</v>
      </c>
      <c r="C57" s="143" t="s">
        <v>625</v>
      </c>
      <c r="D57" s="143" t="s">
        <v>626</v>
      </c>
      <c r="E57" s="75" t="s">
        <v>68</v>
      </c>
      <c r="F57" s="117" t="s">
        <v>69</v>
      </c>
      <c r="G57" s="59"/>
      <c r="H57" s="9"/>
    </row>
    <row r="58">
      <c r="A58" s="65">
        <v>50.0</v>
      </c>
      <c r="B58" s="50" t="s">
        <v>67</v>
      </c>
      <c r="C58" s="143" t="s">
        <v>452</v>
      </c>
      <c r="D58" s="143" t="s">
        <v>453</v>
      </c>
      <c r="E58" s="75" t="s">
        <v>68</v>
      </c>
      <c r="F58" s="117" t="s">
        <v>69</v>
      </c>
      <c r="G58" s="59"/>
      <c r="H58" s="9"/>
    </row>
    <row r="59">
      <c r="A59" s="65"/>
      <c r="B59" s="50"/>
      <c r="C59" s="116"/>
      <c r="D59" s="116"/>
      <c r="E59" s="75"/>
      <c r="F59" s="117"/>
      <c r="G59" s="59"/>
      <c r="H59" s="9"/>
    </row>
    <row r="60">
      <c r="A60" s="65"/>
      <c r="B60" s="50"/>
      <c r="C60" s="125"/>
      <c r="D60" s="125"/>
      <c r="E60" s="75"/>
      <c r="F60" s="117"/>
      <c r="G60" s="59"/>
      <c r="H60" s="9"/>
    </row>
    <row r="61">
      <c r="A61" s="65"/>
      <c r="B61" s="50"/>
      <c r="C61" s="116"/>
      <c r="D61" s="116"/>
      <c r="E61" s="75"/>
      <c r="F61" s="117"/>
      <c r="G61" s="59"/>
      <c r="H61" s="9"/>
    </row>
    <row r="62">
      <c r="A62" s="65"/>
      <c r="B62" s="50"/>
      <c r="C62" s="125"/>
      <c r="D62" s="125"/>
      <c r="E62" s="75"/>
      <c r="F62" s="117"/>
      <c r="G62" s="59"/>
      <c r="H62" s="9"/>
    </row>
    <row r="63">
      <c r="A63" s="65"/>
      <c r="B63" s="50"/>
      <c r="C63" s="116"/>
      <c r="D63" s="116"/>
      <c r="E63" s="75"/>
      <c r="F63" s="117"/>
      <c r="G63" s="59"/>
      <c r="H63" s="9"/>
    </row>
    <row r="64">
      <c r="A64" s="65"/>
      <c r="B64" s="50"/>
      <c r="C64" s="125"/>
      <c r="D64" s="125"/>
      <c r="E64" s="75"/>
      <c r="F64" s="117"/>
      <c r="G64" s="59"/>
      <c r="H64" s="9"/>
    </row>
    <row r="65">
      <c r="A65" s="65"/>
      <c r="B65" s="50"/>
      <c r="C65" s="116"/>
      <c r="D65" s="116"/>
      <c r="E65" s="75"/>
      <c r="F65" s="117"/>
      <c r="G65" s="59"/>
      <c r="H65" s="9"/>
    </row>
    <row r="66">
      <c r="A66" s="65"/>
      <c r="B66" s="50"/>
      <c r="C66" s="125"/>
      <c r="D66" s="125"/>
      <c r="E66" s="75"/>
      <c r="F66" s="117"/>
      <c r="G66" s="59"/>
      <c r="H66" s="9"/>
    </row>
    <row r="67">
      <c r="A67" s="65"/>
      <c r="B67" s="50"/>
      <c r="C67" s="116"/>
      <c r="D67" s="116"/>
      <c r="E67" s="75"/>
      <c r="F67" s="117"/>
      <c r="G67" s="59"/>
      <c r="H67" s="9"/>
    </row>
    <row r="68">
      <c r="A68" s="65"/>
      <c r="B68" s="50"/>
      <c r="C68" s="125"/>
      <c r="D68" s="125"/>
      <c r="E68" s="75"/>
      <c r="F68" s="117"/>
      <c r="G68" s="59"/>
      <c r="H68" s="9"/>
    </row>
    <row r="69">
      <c r="A69" s="65"/>
      <c r="B69" s="50"/>
      <c r="C69" s="116"/>
      <c r="D69" s="116"/>
      <c r="E69" s="75"/>
      <c r="F69" s="117"/>
      <c r="G69" s="59"/>
      <c r="H69" s="9"/>
    </row>
    <row r="70">
      <c r="A70" s="65"/>
      <c r="B70" s="50"/>
      <c r="C70" s="125"/>
      <c r="D70" s="125"/>
      <c r="E70" s="75"/>
      <c r="F70" s="117"/>
      <c r="G70" s="59"/>
      <c r="H70" s="9"/>
    </row>
    <row r="71">
      <c r="A71" s="65"/>
      <c r="B71" s="50"/>
      <c r="C71" s="116"/>
      <c r="D71" s="116"/>
      <c r="E71" s="75"/>
      <c r="F71" s="117"/>
      <c r="G71" s="59"/>
      <c r="H71" s="9"/>
    </row>
    <row r="72">
      <c r="A72" s="65"/>
      <c r="B72" s="50"/>
      <c r="C72" s="125"/>
      <c r="D72" s="125"/>
      <c r="E72" s="75"/>
      <c r="F72" s="117"/>
      <c r="G72" s="59"/>
      <c r="H72" s="9"/>
    </row>
    <row r="73">
      <c r="A73" s="65"/>
      <c r="B73" s="50"/>
      <c r="C73" s="116"/>
      <c r="D73" s="116"/>
      <c r="E73" s="75"/>
      <c r="F73" s="117"/>
      <c r="G73" s="59"/>
      <c r="H73" s="9"/>
    </row>
    <row r="74">
      <c r="A74" s="65"/>
      <c r="B74" s="50"/>
      <c r="C74" s="125"/>
      <c r="D74" s="125"/>
      <c r="E74" s="75"/>
      <c r="F74" s="117"/>
      <c r="G74" s="59"/>
      <c r="H74" s="9"/>
    </row>
    <row r="75">
      <c r="A75" s="65"/>
      <c r="B75" s="50"/>
      <c r="C75" s="116"/>
      <c r="D75" s="116"/>
      <c r="E75" s="75"/>
      <c r="F75" s="117"/>
      <c r="G75" s="59"/>
      <c r="H75" s="9"/>
    </row>
    <row r="76">
      <c r="A76" s="65"/>
      <c r="B76" s="50"/>
      <c r="C76" s="116"/>
      <c r="D76" s="116"/>
      <c r="E76" s="75"/>
      <c r="F76" s="117"/>
      <c r="G76" s="59"/>
      <c r="H76" s="9"/>
    </row>
    <row r="77">
      <c r="A77" s="65"/>
      <c r="B77" s="50"/>
      <c r="C77" s="116"/>
      <c r="D77" s="116"/>
      <c r="E77" s="75"/>
      <c r="F77" s="117"/>
      <c r="G77" s="59"/>
      <c r="H77" s="9"/>
    </row>
    <row r="78">
      <c r="A78" s="65"/>
      <c r="B78" s="50"/>
      <c r="C78" s="125"/>
      <c r="D78" s="125"/>
      <c r="E78" s="75"/>
      <c r="F78" s="117"/>
      <c r="G78" s="59"/>
      <c r="H78" s="9"/>
    </row>
    <row r="79">
      <c r="A79" s="65"/>
      <c r="B79" s="50"/>
      <c r="C79" s="116"/>
      <c r="D79" s="116"/>
      <c r="E79" s="75"/>
      <c r="F79" s="117"/>
      <c r="G79" s="59"/>
      <c r="H79" s="9"/>
    </row>
    <row r="80">
      <c r="A80" s="65"/>
      <c r="B80" s="50"/>
      <c r="C80" s="125"/>
      <c r="D80" s="125"/>
      <c r="E80" s="75"/>
      <c r="F80" s="117"/>
      <c r="G80" s="59"/>
      <c r="H80" s="9"/>
    </row>
    <row r="81">
      <c r="A81" s="65"/>
      <c r="B81" s="50"/>
      <c r="C81" s="116"/>
      <c r="D81" s="116"/>
      <c r="E81" s="75"/>
      <c r="F81" s="117"/>
      <c r="G81" s="59"/>
      <c r="H81" s="9"/>
    </row>
    <row r="82">
      <c r="A82" s="65"/>
      <c r="B82" s="50"/>
      <c r="C82" s="125"/>
      <c r="D82" s="125"/>
      <c r="E82" s="75"/>
      <c r="F82" s="117"/>
      <c r="G82" s="59"/>
      <c r="H82" s="9"/>
    </row>
    <row r="83">
      <c r="A83" s="65"/>
      <c r="B83" s="50"/>
      <c r="C83" s="116"/>
      <c r="D83" s="116"/>
      <c r="E83" s="75"/>
      <c r="F83" s="117"/>
      <c r="G83" s="59"/>
      <c r="H83" s="9"/>
    </row>
    <row r="84">
      <c r="A84" s="65"/>
      <c r="B84" s="50"/>
      <c r="C84" s="125"/>
      <c r="D84" s="125"/>
      <c r="E84" s="75"/>
      <c r="F84" s="117"/>
      <c r="G84" s="59"/>
      <c r="H84" s="9"/>
    </row>
    <row r="85">
      <c r="A85" s="65"/>
      <c r="B85" s="50"/>
      <c r="C85" s="116"/>
      <c r="D85" s="116"/>
      <c r="E85" s="75"/>
      <c r="F85" s="117"/>
      <c r="G85" s="59"/>
      <c r="H85" s="9"/>
    </row>
    <row r="86">
      <c r="A86" s="65"/>
      <c r="B86" s="50"/>
      <c r="C86" s="125"/>
      <c r="D86" s="125"/>
      <c r="E86" s="75"/>
      <c r="F86" s="117"/>
      <c r="G86" s="59"/>
      <c r="H86" s="9"/>
    </row>
    <row r="87">
      <c r="A87" s="65"/>
      <c r="B87" s="50"/>
      <c r="C87" s="116"/>
      <c r="D87" s="116"/>
      <c r="E87" s="75"/>
      <c r="F87" s="117"/>
      <c r="G87" s="59"/>
      <c r="H87" s="9"/>
    </row>
    <row r="88">
      <c r="A88" s="65"/>
      <c r="B88" s="50"/>
      <c r="C88" s="116"/>
      <c r="D88" s="116"/>
      <c r="E88" s="75"/>
      <c r="F88" s="117"/>
      <c r="G88" s="59"/>
      <c r="H88" s="9"/>
    </row>
    <row r="89">
      <c r="A89" s="65"/>
      <c r="B89" s="50"/>
      <c r="C89" s="116"/>
      <c r="D89" s="116"/>
      <c r="E89" s="75"/>
      <c r="F89" s="117"/>
      <c r="G89" s="59"/>
      <c r="H89" s="9"/>
    </row>
    <row r="90">
      <c r="A90" s="65"/>
      <c r="B90" s="50"/>
      <c r="C90" s="125"/>
      <c r="D90" s="125"/>
      <c r="E90" s="75"/>
      <c r="F90" s="117"/>
      <c r="G90" s="59"/>
      <c r="H90" s="9"/>
    </row>
    <row r="91">
      <c r="A91" s="65"/>
      <c r="B91" s="50"/>
      <c r="C91" s="116"/>
      <c r="D91" s="116"/>
      <c r="E91" s="75"/>
      <c r="F91" s="117"/>
      <c r="G91" s="59"/>
      <c r="H91" s="9"/>
    </row>
    <row r="92">
      <c r="A92" s="65"/>
      <c r="B92" s="50"/>
      <c r="C92" s="125"/>
      <c r="D92" s="125"/>
      <c r="E92" s="75"/>
      <c r="F92" s="117"/>
      <c r="G92" s="59"/>
      <c r="H92" s="9"/>
    </row>
    <row r="93">
      <c r="A93" s="65"/>
      <c r="B93" s="50"/>
      <c r="C93" s="116"/>
      <c r="D93" s="116"/>
      <c r="E93" s="75"/>
      <c r="F93" s="117"/>
      <c r="G93" s="59"/>
      <c r="H93" s="9"/>
    </row>
    <row r="94">
      <c r="A94" s="65"/>
      <c r="B94" s="50"/>
      <c r="C94" s="125"/>
      <c r="D94" s="125"/>
      <c r="E94" s="75"/>
      <c r="F94" s="117"/>
      <c r="G94" s="59"/>
      <c r="H94" s="9"/>
    </row>
    <row r="95">
      <c r="A95" s="127"/>
      <c r="B95" s="128"/>
      <c r="C95" s="129"/>
      <c r="D95" s="129"/>
      <c r="E95" s="130"/>
      <c r="F95" s="131"/>
      <c r="G95" s="132"/>
      <c r="H95" s="133"/>
      <c r="I95" s="134"/>
      <c r="J95" s="134"/>
      <c r="K95" s="134"/>
      <c r="L95" s="134"/>
      <c r="M95" s="134"/>
      <c r="N95" s="134"/>
      <c r="O95" s="134"/>
      <c r="P95" s="134"/>
      <c r="Q95" s="134"/>
      <c r="R95" s="134"/>
      <c r="S95" s="134"/>
    </row>
    <row r="96">
      <c r="A96" s="65"/>
      <c r="B96" s="50"/>
      <c r="C96" s="125"/>
      <c r="D96" s="125"/>
      <c r="E96" s="75"/>
      <c r="F96" s="117"/>
      <c r="G96" s="59"/>
      <c r="H96" s="9"/>
    </row>
    <row r="97">
      <c r="A97" s="65"/>
      <c r="B97" s="50"/>
      <c r="C97" s="116"/>
      <c r="D97" s="116"/>
      <c r="E97" s="75"/>
      <c r="F97" s="117"/>
      <c r="G97" s="59"/>
      <c r="H97" s="9"/>
    </row>
    <row r="98">
      <c r="A98" s="65"/>
      <c r="B98" s="50"/>
      <c r="C98" s="125"/>
      <c r="D98" s="125"/>
      <c r="E98" s="75"/>
      <c r="F98" s="117"/>
      <c r="G98" s="59"/>
      <c r="H98" s="9"/>
    </row>
    <row r="99">
      <c r="A99" s="65"/>
      <c r="B99" s="50"/>
      <c r="C99" s="116"/>
      <c r="D99" s="116"/>
      <c r="E99" s="75"/>
      <c r="F99" s="117"/>
      <c r="G99" s="59"/>
      <c r="H99" s="9"/>
    </row>
    <row r="100">
      <c r="A100" s="65"/>
      <c r="B100" s="50"/>
      <c r="C100" s="125"/>
      <c r="D100" s="125"/>
      <c r="E100" s="75"/>
      <c r="F100" s="117"/>
      <c r="G100" s="59"/>
      <c r="H100" s="9"/>
    </row>
    <row r="101">
      <c r="A101" s="65"/>
      <c r="B101" s="50"/>
      <c r="C101" s="116"/>
      <c r="D101" s="116"/>
      <c r="E101" s="75"/>
      <c r="F101" s="117"/>
      <c r="G101" s="59"/>
      <c r="H101" s="9"/>
    </row>
    <row r="102">
      <c r="A102" s="65"/>
      <c r="B102" s="50"/>
      <c r="C102" s="125"/>
      <c r="D102" s="125"/>
      <c r="E102" s="75"/>
      <c r="F102" s="117"/>
      <c r="G102" s="59"/>
      <c r="H102" s="9"/>
    </row>
    <row r="103">
      <c r="A103" s="65"/>
      <c r="B103" s="50"/>
      <c r="C103" s="116"/>
      <c r="D103" s="116"/>
      <c r="E103" s="75"/>
      <c r="F103" s="117"/>
      <c r="G103" s="59"/>
      <c r="H103" s="9"/>
    </row>
    <row r="104">
      <c r="A104" s="127"/>
      <c r="B104" s="128"/>
      <c r="C104" s="129"/>
      <c r="D104" s="129"/>
      <c r="E104" s="130"/>
      <c r="F104" s="131"/>
      <c r="G104" s="132"/>
      <c r="H104" s="133"/>
      <c r="I104" s="134"/>
      <c r="J104" s="134"/>
      <c r="K104" s="134"/>
      <c r="L104" s="134"/>
      <c r="M104" s="134"/>
      <c r="N104" s="134"/>
      <c r="O104" s="134"/>
      <c r="P104" s="134"/>
      <c r="Q104" s="134"/>
      <c r="R104" s="134"/>
      <c r="S104" s="134"/>
    </row>
    <row r="105">
      <c r="A105" s="65"/>
      <c r="B105" s="50"/>
      <c r="C105" s="116"/>
      <c r="D105" s="116"/>
      <c r="E105" s="75"/>
      <c r="F105" s="117"/>
      <c r="G105" s="59"/>
      <c r="H105" s="9"/>
    </row>
    <row r="106">
      <c r="A106" s="65"/>
      <c r="B106" s="50"/>
      <c r="C106" s="116"/>
      <c r="D106" s="116"/>
      <c r="E106" s="75"/>
      <c r="F106" s="117"/>
      <c r="G106" s="59"/>
      <c r="H106" s="9"/>
    </row>
    <row r="107">
      <c r="A107" s="65"/>
      <c r="B107" s="50"/>
      <c r="C107" s="116"/>
      <c r="D107" s="116"/>
      <c r="E107" s="75"/>
      <c r="F107" s="117"/>
      <c r="G107" s="59"/>
      <c r="H107" s="9"/>
    </row>
    <row r="108">
      <c r="A108" s="65"/>
      <c r="B108" s="50"/>
      <c r="C108" s="125"/>
      <c r="D108" s="125"/>
      <c r="E108" s="75"/>
      <c r="F108" s="117"/>
      <c r="G108" s="59"/>
      <c r="H108" s="9"/>
    </row>
    <row r="109">
      <c r="A109" s="65"/>
      <c r="B109" s="50"/>
      <c r="C109" s="116"/>
      <c r="D109" s="116"/>
      <c r="E109" s="75"/>
      <c r="F109" s="117"/>
      <c r="G109" s="59"/>
      <c r="H109" s="9"/>
    </row>
    <row r="110">
      <c r="A110" s="65"/>
      <c r="B110" s="50"/>
      <c r="C110" s="125"/>
      <c r="D110" s="125"/>
      <c r="E110" s="75"/>
      <c r="F110" s="117"/>
      <c r="G110" s="59"/>
      <c r="H110" s="9"/>
    </row>
    <row r="111">
      <c r="A111" s="65"/>
      <c r="B111" s="50"/>
      <c r="C111" s="116"/>
      <c r="D111" s="116"/>
      <c r="E111" s="75"/>
      <c r="F111" s="117"/>
      <c r="G111" s="59"/>
      <c r="H111" s="9"/>
    </row>
    <row r="112">
      <c r="A112" s="65"/>
      <c r="B112" s="50"/>
      <c r="C112" s="125"/>
      <c r="D112" s="125"/>
      <c r="E112" s="75"/>
      <c r="F112" s="117"/>
      <c r="G112" s="59"/>
      <c r="H112" s="9"/>
    </row>
    <row r="113">
      <c r="A113" s="65"/>
      <c r="B113" s="50"/>
      <c r="C113" s="116"/>
      <c r="D113" s="116"/>
      <c r="E113" s="75"/>
      <c r="F113" s="117"/>
      <c r="G113" s="59"/>
      <c r="H113" s="9"/>
    </row>
    <row r="114">
      <c r="A114" s="65"/>
      <c r="B114" s="50"/>
      <c r="C114" s="125"/>
      <c r="D114" s="125"/>
      <c r="E114" s="75"/>
      <c r="F114" s="117"/>
      <c r="G114" s="59"/>
      <c r="H114" s="9"/>
    </row>
    <row r="115">
      <c r="A115" s="65"/>
      <c r="B115" s="50"/>
      <c r="C115" s="116"/>
      <c r="D115" s="116"/>
      <c r="E115" s="75"/>
      <c r="F115" s="117"/>
      <c r="G115" s="59"/>
      <c r="H115" s="9"/>
    </row>
    <row r="116">
      <c r="A116" s="65"/>
      <c r="B116" s="50"/>
      <c r="C116" s="125"/>
      <c r="D116" s="125"/>
      <c r="E116" s="75"/>
      <c r="F116" s="117"/>
      <c r="G116" s="59"/>
      <c r="H116" s="9"/>
    </row>
    <row r="117">
      <c r="A117" s="65"/>
      <c r="B117" s="50"/>
      <c r="C117" s="116"/>
      <c r="D117" s="116"/>
      <c r="E117" s="75"/>
      <c r="F117" s="117"/>
      <c r="G117" s="59"/>
      <c r="H117" s="9"/>
    </row>
    <row r="118">
      <c r="A118" s="65"/>
      <c r="B118" s="50"/>
      <c r="C118" s="125"/>
      <c r="D118" s="125"/>
      <c r="E118" s="75"/>
      <c r="F118" s="117"/>
      <c r="G118" s="59"/>
      <c r="H118" s="9"/>
    </row>
    <row r="119">
      <c r="A119" s="65"/>
      <c r="B119" s="50"/>
      <c r="C119" s="116"/>
      <c r="D119" s="116"/>
      <c r="E119" s="75"/>
      <c r="F119" s="117"/>
      <c r="G119" s="59"/>
      <c r="H119" s="9"/>
    </row>
    <row r="120">
      <c r="A120" s="65"/>
      <c r="B120" s="50"/>
      <c r="C120" s="125"/>
      <c r="D120" s="125"/>
      <c r="E120" s="75"/>
      <c r="F120" s="117"/>
      <c r="G120" s="59"/>
      <c r="H120" s="9"/>
    </row>
    <row r="121">
      <c r="A121" s="65"/>
      <c r="B121" s="50"/>
      <c r="C121" s="116"/>
      <c r="D121" s="116"/>
      <c r="E121" s="75"/>
      <c r="F121" s="117"/>
      <c r="G121" s="59"/>
      <c r="H121" s="9"/>
    </row>
    <row r="122">
      <c r="A122" s="65"/>
      <c r="B122" s="50"/>
      <c r="C122" s="125"/>
      <c r="D122" s="125"/>
      <c r="E122" s="75"/>
      <c r="F122" s="117"/>
      <c r="G122" s="59"/>
      <c r="H122" s="9"/>
    </row>
    <row r="123">
      <c r="A123" s="65"/>
      <c r="B123" s="50"/>
      <c r="C123" s="116"/>
      <c r="D123" s="116"/>
      <c r="E123" s="75"/>
      <c r="F123" s="117"/>
      <c r="G123" s="59"/>
      <c r="H123" s="9"/>
    </row>
    <row r="124">
      <c r="A124" s="65"/>
      <c r="B124" s="50"/>
      <c r="C124" s="125"/>
      <c r="D124" s="125"/>
      <c r="E124" s="75"/>
      <c r="F124" s="117"/>
      <c r="G124" s="59"/>
      <c r="H124" s="9"/>
    </row>
    <row r="125">
      <c r="A125" s="65"/>
      <c r="B125" s="50"/>
      <c r="C125" s="116"/>
      <c r="D125" s="116"/>
      <c r="E125" s="75"/>
      <c r="F125" s="117"/>
      <c r="G125" s="59"/>
      <c r="H125" s="9"/>
    </row>
    <row r="126">
      <c r="A126" s="65"/>
      <c r="B126" s="50"/>
      <c r="C126" s="125"/>
      <c r="D126" s="125"/>
      <c r="E126" s="75"/>
      <c r="F126" s="117"/>
      <c r="G126" s="59"/>
      <c r="H126" s="9"/>
    </row>
    <row r="127">
      <c r="A127" s="65"/>
      <c r="B127" s="50"/>
      <c r="C127" s="116"/>
      <c r="D127" s="116"/>
      <c r="E127" s="75"/>
      <c r="F127" s="117"/>
      <c r="G127" s="59"/>
      <c r="H127" s="9"/>
    </row>
    <row r="128">
      <c r="A128" s="65"/>
      <c r="B128" s="50"/>
      <c r="C128" s="125"/>
      <c r="D128" s="125"/>
      <c r="E128" s="75"/>
      <c r="F128" s="117"/>
      <c r="G128" s="59"/>
      <c r="H128" s="9"/>
    </row>
    <row r="129">
      <c r="A129" s="65"/>
      <c r="B129" s="50"/>
      <c r="C129" s="116"/>
      <c r="D129" s="116"/>
      <c r="E129" s="75"/>
      <c r="F129" s="117"/>
      <c r="G129" s="59"/>
      <c r="H129" s="9"/>
    </row>
    <row r="130">
      <c r="A130" s="65"/>
      <c r="B130" s="50"/>
      <c r="C130" s="125"/>
      <c r="D130" s="125"/>
      <c r="E130" s="75"/>
      <c r="F130" s="117"/>
      <c r="G130" s="59"/>
      <c r="H130" s="9"/>
    </row>
    <row r="131">
      <c r="A131" s="65"/>
      <c r="B131" s="50"/>
      <c r="C131" s="116"/>
      <c r="D131" s="116"/>
      <c r="E131" s="75"/>
      <c r="F131" s="117"/>
      <c r="G131" s="59"/>
      <c r="H131" s="9"/>
    </row>
    <row r="132">
      <c r="A132" s="65"/>
      <c r="B132" s="50"/>
      <c r="C132" s="125"/>
      <c r="D132" s="125"/>
      <c r="E132" s="75"/>
      <c r="F132" s="117"/>
      <c r="G132" s="59"/>
      <c r="H132" s="9"/>
    </row>
    <row r="133">
      <c r="A133" s="65"/>
      <c r="B133" s="50"/>
      <c r="C133" s="116"/>
      <c r="D133" s="116"/>
      <c r="E133" s="75"/>
      <c r="F133" s="117"/>
      <c r="G133" s="59"/>
      <c r="H133" s="9"/>
    </row>
    <row r="134">
      <c r="A134" s="65"/>
      <c r="B134" s="50"/>
      <c r="C134" s="125"/>
      <c r="D134" s="125"/>
      <c r="E134" s="75"/>
      <c r="F134" s="117"/>
      <c r="G134" s="59"/>
      <c r="H134" s="9"/>
    </row>
    <row r="135">
      <c r="A135" s="65"/>
      <c r="B135" s="50"/>
      <c r="C135" s="116"/>
      <c r="D135" s="116"/>
      <c r="E135" s="75"/>
      <c r="F135" s="117"/>
      <c r="G135" s="59"/>
      <c r="H135" s="9"/>
    </row>
    <row r="136">
      <c r="A136" s="65"/>
      <c r="B136" s="50"/>
      <c r="C136" s="125"/>
      <c r="D136" s="125"/>
      <c r="E136" s="75"/>
      <c r="F136" s="117"/>
      <c r="G136" s="59"/>
      <c r="H136" s="9"/>
    </row>
    <row r="137">
      <c r="A137" s="65"/>
      <c r="B137" s="50"/>
      <c r="C137" s="116"/>
      <c r="D137" s="116"/>
      <c r="E137" s="75"/>
      <c r="F137" s="117"/>
      <c r="G137" s="59"/>
      <c r="H137" s="9"/>
    </row>
    <row r="138">
      <c r="A138" s="65"/>
      <c r="B138" s="50"/>
      <c r="C138" s="125"/>
      <c r="D138" s="125"/>
      <c r="E138" s="75"/>
      <c r="F138" s="117"/>
      <c r="G138" s="59"/>
      <c r="H138" s="9"/>
    </row>
    <row r="139">
      <c r="A139" s="65"/>
      <c r="B139" s="50"/>
      <c r="C139" s="116"/>
      <c r="D139" s="116"/>
      <c r="E139" s="75"/>
      <c r="F139" s="117"/>
      <c r="G139" s="59"/>
      <c r="H139" s="9"/>
    </row>
    <row r="140">
      <c r="A140" s="65"/>
      <c r="B140" s="50"/>
      <c r="C140" s="125"/>
      <c r="D140" s="125"/>
      <c r="E140" s="75"/>
      <c r="F140" s="117"/>
      <c r="G140" s="59"/>
      <c r="H140" s="9"/>
    </row>
    <row r="141">
      <c r="A141" s="65"/>
      <c r="B141" s="50"/>
      <c r="C141" s="116"/>
      <c r="D141" s="116"/>
      <c r="E141" s="75"/>
      <c r="F141" s="117"/>
      <c r="G141" s="59"/>
      <c r="H141" s="9"/>
    </row>
    <row r="142">
      <c r="A142" s="127"/>
      <c r="B142" s="128"/>
      <c r="C142" s="129"/>
      <c r="D142" s="129"/>
      <c r="E142" s="130"/>
      <c r="F142" s="131"/>
      <c r="G142" s="132"/>
      <c r="H142" s="133"/>
      <c r="I142" s="134"/>
      <c r="J142" s="134"/>
      <c r="K142" s="134"/>
      <c r="L142" s="134"/>
      <c r="M142" s="134"/>
      <c r="N142" s="134"/>
      <c r="O142" s="134"/>
      <c r="P142" s="134"/>
      <c r="Q142" s="134"/>
      <c r="R142" s="134"/>
      <c r="S142" s="134"/>
    </row>
    <row r="143">
      <c r="A143" s="65"/>
      <c r="B143" s="50"/>
      <c r="C143" s="116"/>
      <c r="D143" s="116"/>
      <c r="E143" s="75"/>
      <c r="F143" s="117"/>
      <c r="G143" s="59"/>
      <c r="H143" s="9"/>
    </row>
    <row r="144">
      <c r="A144" s="65"/>
      <c r="B144" s="50"/>
      <c r="C144" s="125"/>
      <c r="D144" s="125"/>
      <c r="E144" s="75"/>
      <c r="F144" s="117"/>
      <c r="G144" s="59"/>
      <c r="H144" s="9"/>
    </row>
    <row r="145">
      <c r="A145" s="65"/>
      <c r="B145" s="50"/>
      <c r="C145" s="116"/>
      <c r="D145" s="116"/>
      <c r="E145" s="75"/>
      <c r="F145" s="117"/>
      <c r="G145" s="59"/>
      <c r="H145" s="9"/>
    </row>
    <row r="146">
      <c r="A146" s="65"/>
      <c r="B146" s="50"/>
      <c r="C146" s="125"/>
      <c r="D146" s="125"/>
      <c r="E146" s="75"/>
      <c r="F146" s="117"/>
      <c r="G146" s="59"/>
      <c r="H146" s="9"/>
    </row>
    <row r="147">
      <c r="A147" s="65"/>
      <c r="B147" s="50"/>
      <c r="C147" s="116"/>
      <c r="D147" s="116"/>
      <c r="E147" s="75"/>
      <c r="F147" s="117"/>
      <c r="G147" s="59"/>
      <c r="H147" s="9"/>
    </row>
    <row r="148">
      <c r="A148" s="65"/>
      <c r="B148" s="50"/>
      <c r="C148" s="116"/>
      <c r="D148" s="116"/>
      <c r="E148" s="75"/>
      <c r="F148" s="117"/>
      <c r="G148" s="59"/>
      <c r="H148" s="9"/>
    </row>
    <row r="149">
      <c r="A149" s="65"/>
      <c r="B149" s="50"/>
      <c r="C149" s="116"/>
      <c r="D149" s="116"/>
      <c r="E149" s="75"/>
      <c r="F149" s="117"/>
      <c r="G149" s="59"/>
      <c r="H149" s="9"/>
    </row>
    <row r="150">
      <c r="A150" s="65"/>
      <c r="B150" s="50"/>
      <c r="C150" s="125"/>
      <c r="D150" s="125"/>
      <c r="E150" s="75"/>
      <c r="F150" s="117"/>
      <c r="G150" s="59"/>
      <c r="H150" s="9"/>
    </row>
    <row r="151">
      <c r="A151" s="65"/>
      <c r="B151" s="50"/>
      <c r="C151" s="116"/>
      <c r="D151" s="116"/>
      <c r="E151" s="75"/>
      <c r="F151" s="117"/>
      <c r="G151" s="59"/>
      <c r="H151" s="9"/>
    </row>
    <row r="152">
      <c r="A152" s="65"/>
      <c r="B152" s="50"/>
      <c r="C152" s="125"/>
      <c r="D152" s="125"/>
      <c r="E152" s="75"/>
      <c r="F152" s="117"/>
      <c r="G152" s="59"/>
      <c r="H152" s="9"/>
    </row>
    <row r="153">
      <c r="A153" s="65"/>
      <c r="B153" s="50"/>
      <c r="C153" s="116"/>
      <c r="D153" s="116"/>
      <c r="E153" s="75"/>
      <c r="F153" s="117"/>
      <c r="G153" s="59"/>
      <c r="H153" s="9"/>
    </row>
    <row r="154">
      <c r="A154" s="65"/>
      <c r="B154" s="50"/>
      <c r="C154" s="125"/>
      <c r="D154" s="125"/>
      <c r="E154" s="75"/>
      <c r="F154" s="117"/>
      <c r="G154" s="59"/>
      <c r="H154" s="9"/>
    </row>
    <row r="155">
      <c r="A155" s="65"/>
      <c r="B155" s="50"/>
      <c r="C155" s="116"/>
      <c r="D155" s="116"/>
      <c r="E155" s="75"/>
      <c r="F155" s="117"/>
      <c r="G155" s="59"/>
      <c r="H155" s="9"/>
    </row>
    <row r="156">
      <c r="A156" s="65"/>
      <c r="B156" s="50"/>
      <c r="C156" s="125"/>
      <c r="D156" s="125"/>
      <c r="E156" s="75"/>
      <c r="F156" s="117"/>
      <c r="G156" s="59"/>
      <c r="H156" s="9"/>
    </row>
    <row r="157">
      <c r="A157" s="65"/>
      <c r="B157" s="50"/>
      <c r="C157" s="116"/>
      <c r="D157" s="116"/>
      <c r="E157" s="75"/>
      <c r="F157" s="117"/>
      <c r="G157" s="59"/>
      <c r="H157" s="9"/>
    </row>
    <row r="158">
      <c r="A158" s="65"/>
      <c r="B158" s="50"/>
      <c r="C158" s="125"/>
      <c r="D158" s="125"/>
      <c r="E158" s="75"/>
      <c r="F158" s="117"/>
      <c r="G158" s="59"/>
      <c r="H158" s="9"/>
    </row>
    <row r="159">
      <c r="A159" s="65"/>
      <c r="B159" s="50"/>
      <c r="C159" s="116"/>
      <c r="D159" s="116"/>
      <c r="E159" s="75"/>
      <c r="F159" s="117"/>
      <c r="G159" s="59"/>
      <c r="H159" s="9"/>
    </row>
    <row r="160">
      <c r="A160" s="65"/>
      <c r="B160" s="50"/>
      <c r="C160" s="125"/>
      <c r="D160" s="125"/>
      <c r="E160" s="75"/>
      <c r="F160" s="117"/>
      <c r="G160" s="59"/>
      <c r="H160" s="9"/>
    </row>
    <row r="161">
      <c r="A161" s="65"/>
      <c r="B161" s="50"/>
      <c r="C161" s="116"/>
      <c r="D161" s="116"/>
      <c r="E161" s="75"/>
      <c r="F161" s="117"/>
      <c r="G161" s="59"/>
      <c r="H161" s="9"/>
    </row>
    <row r="162">
      <c r="A162" s="65"/>
      <c r="B162" s="50"/>
      <c r="C162" s="125"/>
      <c r="D162" s="125"/>
      <c r="E162" s="75"/>
      <c r="F162" s="117"/>
      <c r="G162" s="59"/>
      <c r="H162" s="9"/>
    </row>
    <row r="163">
      <c r="A163" s="65"/>
      <c r="B163" s="50"/>
      <c r="C163" s="116"/>
      <c r="D163" s="116"/>
      <c r="E163" s="75"/>
      <c r="F163" s="117"/>
      <c r="G163" s="59"/>
      <c r="H163" s="9"/>
    </row>
    <row r="164">
      <c r="A164" s="65"/>
      <c r="B164" s="50"/>
      <c r="C164" s="125"/>
      <c r="D164" s="125"/>
      <c r="E164" s="75"/>
      <c r="F164" s="117"/>
      <c r="G164" s="59"/>
      <c r="H164" s="9"/>
    </row>
    <row r="165">
      <c r="A165" s="65"/>
      <c r="B165" s="50"/>
      <c r="C165" s="116"/>
      <c r="D165" s="116"/>
      <c r="E165" s="75"/>
      <c r="F165" s="117"/>
      <c r="G165" s="59"/>
      <c r="H165" s="9"/>
    </row>
    <row r="166">
      <c r="A166" s="65"/>
      <c r="B166" s="50"/>
      <c r="C166" s="125"/>
      <c r="D166" s="125"/>
      <c r="E166" s="75"/>
      <c r="F166" s="117"/>
      <c r="G166" s="59"/>
      <c r="H166" s="9"/>
    </row>
    <row r="167">
      <c r="A167" s="127"/>
      <c r="B167" s="128"/>
      <c r="C167" s="129"/>
      <c r="D167" s="129"/>
      <c r="E167" s="130"/>
      <c r="F167" s="131"/>
      <c r="G167" s="59"/>
      <c r="H167" s="133"/>
    </row>
    <row r="168">
      <c r="A168" s="65"/>
      <c r="B168" s="50"/>
      <c r="C168" s="125"/>
      <c r="D168" s="125"/>
      <c r="E168" s="75"/>
      <c r="F168" s="117"/>
      <c r="G168" s="59"/>
      <c r="H168" s="9"/>
    </row>
    <row r="169">
      <c r="A169" s="65"/>
      <c r="B169" s="50"/>
      <c r="C169" s="116"/>
      <c r="D169" s="116"/>
      <c r="E169" s="75"/>
      <c r="F169" s="117"/>
      <c r="G169" s="59"/>
      <c r="H169" s="9"/>
    </row>
    <row r="170">
      <c r="A170" s="65"/>
      <c r="B170" s="50"/>
      <c r="C170" s="125"/>
      <c r="D170" s="125"/>
      <c r="E170" s="75"/>
      <c r="F170" s="117"/>
      <c r="G170" s="59"/>
      <c r="H170" s="9"/>
    </row>
    <row r="171">
      <c r="A171" s="65"/>
      <c r="B171" s="50"/>
      <c r="C171" s="116"/>
      <c r="D171" s="116"/>
      <c r="E171" s="75"/>
      <c r="F171" s="117"/>
      <c r="G171" s="59"/>
      <c r="H171" s="9"/>
    </row>
    <row r="172">
      <c r="A172" s="65"/>
      <c r="B172" s="50"/>
      <c r="C172" s="125"/>
      <c r="D172" s="125"/>
      <c r="E172" s="75"/>
      <c r="F172" s="117"/>
      <c r="G172" s="59"/>
      <c r="H172" s="9"/>
    </row>
    <row r="173">
      <c r="A173" s="65"/>
      <c r="B173" s="50"/>
      <c r="C173" s="116"/>
      <c r="D173" s="116"/>
      <c r="E173" s="75"/>
      <c r="F173" s="117"/>
      <c r="G173" s="59"/>
      <c r="H173" s="9"/>
    </row>
    <row r="174">
      <c r="A174" s="65"/>
      <c r="B174" s="50"/>
      <c r="C174" s="125"/>
      <c r="D174" s="125"/>
      <c r="E174" s="75"/>
      <c r="F174" s="117"/>
      <c r="G174" s="59"/>
      <c r="H174" s="9"/>
    </row>
    <row r="175">
      <c r="A175" s="65"/>
      <c r="B175" s="50"/>
      <c r="C175" s="116"/>
      <c r="D175" s="116"/>
      <c r="E175" s="75"/>
      <c r="F175" s="117"/>
      <c r="G175" s="59"/>
      <c r="H175" s="9"/>
    </row>
    <row r="176">
      <c r="A176" s="65"/>
      <c r="B176" s="50"/>
      <c r="C176" s="125"/>
      <c r="D176" s="125"/>
      <c r="E176" s="75"/>
      <c r="F176" s="117"/>
      <c r="G176" s="59"/>
      <c r="H176" s="9"/>
    </row>
    <row r="177">
      <c r="A177" s="65"/>
      <c r="B177" s="50"/>
      <c r="C177" s="116"/>
      <c r="D177" s="116"/>
      <c r="E177" s="75"/>
      <c r="F177" s="117"/>
      <c r="G177" s="59"/>
      <c r="H177" s="9"/>
    </row>
    <row r="178">
      <c r="A178" s="65"/>
      <c r="B178" s="50"/>
      <c r="C178" s="125"/>
      <c r="D178" s="125"/>
      <c r="E178" s="75"/>
      <c r="F178" s="117"/>
      <c r="G178" s="59"/>
      <c r="H178" s="9"/>
    </row>
    <row r="179">
      <c r="A179" s="65"/>
      <c r="B179" s="50"/>
      <c r="C179" s="116"/>
      <c r="D179" s="116"/>
      <c r="E179" s="75"/>
      <c r="F179" s="117"/>
      <c r="G179" s="59"/>
      <c r="H179" s="9"/>
    </row>
    <row r="180">
      <c r="A180" s="65"/>
      <c r="B180" s="50"/>
      <c r="C180" s="125"/>
      <c r="D180" s="125"/>
      <c r="E180" s="75"/>
      <c r="F180" s="117"/>
      <c r="G180" s="59"/>
      <c r="H180" s="9"/>
    </row>
    <row r="181">
      <c r="A181" s="65"/>
      <c r="B181" s="50"/>
      <c r="C181" s="116"/>
      <c r="D181" s="116"/>
      <c r="E181" s="75"/>
      <c r="F181" s="117"/>
      <c r="G181" s="59"/>
      <c r="H181" s="9"/>
    </row>
    <row r="182">
      <c r="A182" s="65"/>
      <c r="B182" s="50"/>
      <c r="C182" s="125"/>
      <c r="D182" s="125"/>
      <c r="E182" s="75"/>
      <c r="F182" s="117"/>
      <c r="G182" s="59"/>
      <c r="H182" s="9"/>
    </row>
    <row r="183">
      <c r="A183" s="65"/>
      <c r="B183" s="50"/>
      <c r="C183" s="116"/>
      <c r="D183" s="116"/>
      <c r="E183" s="75"/>
      <c r="F183" s="117"/>
      <c r="G183" s="59"/>
      <c r="H183" s="9"/>
    </row>
    <row r="184">
      <c r="A184" s="65"/>
      <c r="B184" s="50"/>
      <c r="C184" s="125"/>
      <c r="D184" s="125"/>
      <c r="E184" s="75"/>
      <c r="F184" s="117"/>
      <c r="G184" s="59"/>
      <c r="H184" s="9"/>
    </row>
    <row r="185">
      <c r="A185" s="65"/>
      <c r="B185" s="50"/>
      <c r="C185" s="116"/>
      <c r="D185" s="116"/>
      <c r="E185" s="75"/>
      <c r="F185" s="117"/>
      <c r="G185" s="59"/>
      <c r="H185" s="9"/>
    </row>
    <row r="186">
      <c r="A186" s="65"/>
      <c r="B186" s="50"/>
      <c r="C186" s="125"/>
      <c r="D186" s="125"/>
      <c r="E186" s="75"/>
      <c r="F186" s="117"/>
      <c r="G186" s="59"/>
      <c r="H186" s="9"/>
    </row>
    <row r="187">
      <c r="A187" s="65"/>
      <c r="B187" s="50"/>
      <c r="C187" s="116"/>
      <c r="D187" s="116"/>
      <c r="E187" s="75"/>
      <c r="F187" s="117"/>
      <c r="G187" s="59"/>
      <c r="H187" s="9"/>
    </row>
    <row r="188">
      <c r="A188" s="65"/>
      <c r="B188" s="50"/>
      <c r="C188" s="125"/>
      <c r="D188" s="125"/>
      <c r="E188" s="75"/>
      <c r="F188" s="117"/>
      <c r="G188" s="59"/>
      <c r="H188" s="9"/>
    </row>
    <row r="189">
      <c r="A189" s="65"/>
      <c r="B189" s="50"/>
      <c r="C189" s="116"/>
      <c r="D189" s="116"/>
      <c r="E189" s="75"/>
      <c r="F189" s="117"/>
      <c r="G189" s="59"/>
      <c r="H189" s="9"/>
    </row>
    <row r="190">
      <c r="A190" s="65"/>
      <c r="B190" s="50"/>
      <c r="C190" s="125"/>
      <c r="D190" s="125"/>
      <c r="E190" s="75"/>
      <c r="F190" s="117"/>
      <c r="G190" s="59"/>
      <c r="H190" s="9"/>
    </row>
    <row r="191">
      <c r="A191" s="65"/>
      <c r="B191" s="50"/>
      <c r="C191" s="116"/>
      <c r="D191" s="116"/>
      <c r="E191" s="75"/>
      <c r="F191" s="117"/>
      <c r="G191" s="59"/>
      <c r="H191" s="9"/>
    </row>
    <row r="192">
      <c r="A192" s="65"/>
      <c r="B192" s="50"/>
      <c r="C192" s="125"/>
      <c r="D192" s="125"/>
      <c r="E192" s="75"/>
      <c r="F192" s="117"/>
      <c r="G192" s="59"/>
      <c r="H192" s="9"/>
    </row>
    <row r="193">
      <c r="A193" s="65"/>
      <c r="B193" s="50"/>
      <c r="C193" s="116"/>
      <c r="D193" s="116"/>
      <c r="E193" s="75"/>
      <c r="F193" s="117"/>
      <c r="G193" s="59"/>
      <c r="H193" s="9"/>
    </row>
    <row r="194">
      <c r="A194" s="65"/>
      <c r="B194" s="50"/>
      <c r="C194" s="125"/>
      <c r="D194" s="125"/>
      <c r="E194" s="75"/>
      <c r="F194" s="117"/>
      <c r="G194" s="59"/>
      <c r="H194" s="9"/>
    </row>
    <row r="195">
      <c r="A195" s="65"/>
      <c r="B195" s="50"/>
      <c r="C195" s="116"/>
      <c r="D195" s="116"/>
      <c r="E195" s="75"/>
      <c r="F195" s="117"/>
      <c r="G195" s="59"/>
      <c r="H195" s="9"/>
    </row>
    <row r="196">
      <c r="A196" s="65"/>
      <c r="B196" s="50"/>
      <c r="C196" s="125"/>
      <c r="D196" s="125"/>
      <c r="E196" s="75"/>
      <c r="F196" s="117"/>
      <c r="G196" s="59"/>
      <c r="H196" s="9"/>
    </row>
    <row r="197">
      <c r="A197" s="65"/>
      <c r="B197" s="50"/>
      <c r="C197" s="116"/>
      <c r="D197" s="116"/>
      <c r="E197" s="75"/>
      <c r="F197" s="117"/>
      <c r="G197" s="59"/>
      <c r="H197" s="9"/>
    </row>
    <row r="198">
      <c r="A198" s="65"/>
      <c r="B198" s="50"/>
      <c r="C198" s="125"/>
      <c r="D198" s="125"/>
      <c r="E198" s="75"/>
      <c r="F198" s="117"/>
      <c r="G198" s="59"/>
      <c r="H198" s="9"/>
    </row>
    <row r="199">
      <c r="A199" s="65"/>
      <c r="B199" s="50"/>
      <c r="C199" s="116"/>
      <c r="D199" s="116"/>
      <c r="E199" s="75"/>
      <c r="F199" s="117"/>
      <c r="G199" s="59"/>
      <c r="H199" s="9"/>
    </row>
    <row r="200">
      <c r="A200" s="65"/>
      <c r="B200" s="50"/>
      <c r="C200" s="125"/>
      <c r="D200" s="125"/>
      <c r="E200" s="75"/>
      <c r="F200" s="117"/>
      <c r="G200" s="59"/>
      <c r="H200" s="9"/>
    </row>
    <row r="201">
      <c r="A201" s="65"/>
      <c r="B201" s="50"/>
      <c r="C201" s="116"/>
      <c r="D201" s="116"/>
      <c r="E201" s="75"/>
      <c r="F201" s="117"/>
      <c r="G201" s="59"/>
      <c r="H201" s="9"/>
    </row>
    <row r="202">
      <c r="A202" s="65"/>
      <c r="B202" s="50"/>
      <c r="C202" s="125"/>
      <c r="D202" s="125"/>
      <c r="E202" s="75"/>
      <c r="F202" s="117"/>
      <c r="G202" s="59"/>
      <c r="H202" s="9"/>
    </row>
    <row r="203">
      <c r="A203" s="127"/>
      <c r="B203" s="128"/>
      <c r="C203" s="129"/>
      <c r="D203" s="129"/>
      <c r="E203" s="130"/>
      <c r="F203" s="131"/>
      <c r="G203" s="132"/>
      <c r="H203" s="133"/>
      <c r="I203" s="134"/>
      <c r="J203" s="134"/>
      <c r="K203" s="134"/>
      <c r="L203" s="134"/>
      <c r="M203" s="134"/>
      <c r="N203" s="134"/>
      <c r="O203" s="134"/>
      <c r="P203" s="134"/>
      <c r="Q203" s="134"/>
      <c r="R203" s="134"/>
      <c r="S203" s="134"/>
    </row>
    <row r="204">
      <c r="A204" s="65"/>
      <c r="B204" s="50"/>
      <c r="C204" s="125"/>
      <c r="D204" s="125"/>
      <c r="E204" s="75"/>
      <c r="F204" s="117"/>
      <c r="G204" s="59"/>
      <c r="H204" s="9"/>
    </row>
    <row r="205">
      <c r="A205" s="65"/>
      <c r="B205" s="50"/>
      <c r="C205" s="116"/>
      <c r="D205" s="116"/>
      <c r="E205" s="75"/>
      <c r="F205" s="117"/>
      <c r="G205" s="59"/>
      <c r="H205" s="9"/>
    </row>
    <row r="206">
      <c r="A206" s="65"/>
      <c r="B206" s="50"/>
      <c r="C206" s="125"/>
      <c r="D206" s="125"/>
      <c r="E206" s="75"/>
      <c r="F206" s="117"/>
      <c r="G206" s="59"/>
      <c r="H206" s="9"/>
    </row>
    <row r="207">
      <c r="A207" s="65"/>
      <c r="B207" s="50"/>
      <c r="C207" s="116"/>
      <c r="D207" s="116"/>
      <c r="E207" s="75"/>
      <c r="F207" s="117"/>
      <c r="G207" s="59"/>
      <c r="H207" s="9"/>
    </row>
    <row r="208">
      <c r="A208" s="65"/>
      <c r="B208" s="50"/>
      <c r="C208" s="125"/>
      <c r="D208" s="125"/>
      <c r="E208" s="75"/>
      <c r="F208" s="117"/>
      <c r="G208" s="59"/>
      <c r="H208" s="9"/>
    </row>
    <row r="209">
      <c r="A209" s="9"/>
      <c r="B209" s="9"/>
      <c r="C209" s="9"/>
      <c r="D209" s="9"/>
      <c r="E209" s="9"/>
      <c r="F209" s="9"/>
      <c r="G209" s="59"/>
      <c r="H209" s="9"/>
    </row>
    <row r="210">
      <c r="A210" s="9"/>
      <c r="B210" s="9"/>
      <c r="C210" s="9"/>
      <c r="D210" s="9"/>
      <c r="E210" s="9"/>
      <c r="F210" s="9"/>
      <c r="G210" s="59"/>
      <c r="H210" s="9"/>
    </row>
    <row r="211">
      <c r="A211" s="9"/>
      <c r="B211" s="9"/>
      <c r="C211" s="9"/>
      <c r="D211" s="9"/>
      <c r="E211" s="9"/>
      <c r="F211" s="9"/>
      <c r="G211" s="59"/>
      <c r="H211" s="9"/>
    </row>
    <row r="212">
      <c r="A212" s="9"/>
      <c r="B212" s="9"/>
      <c r="C212" s="9"/>
      <c r="D212" s="9"/>
      <c r="E212" s="9"/>
      <c r="F212" s="9"/>
      <c r="G212" s="59"/>
      <c r="H212" s="9"/>
    </row>
    <row r="213">
      <c r="A213" s="9"/>
      <c r="B213" s="9"/>
      <c r="C213" s="9"/>
      <c r="D213" s="9"/>
      <c r="E213" s="9"/>
      <c r="F213" s="9"/>
      <c r="G213" s="59"/>
      <c r="H213" s="9"/>
    </row>
    <row r="214">
      <c r="A214" s="9"/>
      <c r="B214" s="9"/>
      <c r="C214" s="9"/>
      <c r="D214" s="9"/>
      <c r="E214" s="9"/>
      <c r="F214" s="9"/>
      <c r="G214" s="59"/>
      <c r="H214" s="9"/>
    </row>
    <row r="215">
      <c r="A215" s="9"/>
      <c r="B215" s="9"/>
      <c r="C215" s="9"/>
      <c r="D215" s="9"/>
      <c r="E215" s="9"/>
      <c r="F215" s="9"/>
      <c r="G215" s="59"/>
      <c r="H215" s="9"/>
    </row>
    <row r="216">
      <c r="A216" s="9"/>
      <c r="B216" s="9"/>
      <c r="C216" s="9"/>
      <c r="D216" s="9"/>
      <c r="E216" s="9"/>
      <c r="F216" s="9"/>
      <c r="G216" s="59"/>
      <c r="H216" s="9"/>
    </row>
    <row r="217">
      <c r="A217" s="9"/>
      <c r="B217" s="9"/>
      <c r="C217" s="9"/>
      <c r="D217" s="9"/>
      <c r="E217" s="9"/>
      <c r="F217" s="9"/>
      <c r="G217" s="59"/>
      <c r="H217" s="9"/>
    </row>
    <row r="218">
      <c r="A218" s="9"/>
      <c r="B218" s="9"/>
      <c r="C218" s="9"/>
      <c r="D218" s="9"/>
      <c r="E218" s="9"/>
      <c r="F218" s="9"/>
      <c r="G218" s="59"/>
      <c r="H218" s="9"/>
    </row>
    <row r="219">
      <c r="A219" s="9"/>
      <c r="B219" s="9"/>
      <c r="C219" s="9"/>
      <c r="D219" s="9"/>
      <c r="E219" s="9"/>
      <c r="F219" s="9"/>
      <c r="G219" s="59"/>
      <c r="H219" s="9"/>
    </row>
    <row r="220">
      <c r="A220" s="9"/>
      <c r="B220" s="9"/>
      <c r="C220" s="9"/>
      <c r="D220" s="9"/>
      <c r="E220" s="9"/>
      <c r="F220" s="9"/>
      <c r="G220" s="59"/>
      <c r="H220" s="9"/>
    </row>
    <row r="221">
      <c r="A221" s="9"/>
      <c r="B221" s="9"/>
      <c r="C221" s="9"/>
      <c r="D221" s="9"/>
      <c r="E221" s="9"/>
      <c r="F221" s="9"/>
      <c r="G221" s="59"/>
      <c r="H221" s="9"/>
    </row>
    <row r="222">
      <c r="A222" s="9"/>
      <c r="B222" s="9"/>
      <c r="C222" s="9"/>
      <c r="D222" s="9"/>
      <c r="E222" s="9"/>
      <c r="F222" s="9"/>
      <c r="G222" s="59"/>
      <c r="H222" s="9"/>
    </row>
    <row r="223">
      <c r="A223" s="9"/>
      <c r="B223" s="9"/>
      <c r="C223" s="9"/>
      <c r="D223" s="9"/>
      <c r="E223" s="9"/>
      <c r="F223" s="9"/>
      <c r="G223" s="59"/>
      <c r="H223" s="9"/>
    </row>
    <row r="224">
      <c r="A224" s="9"/>
      <c r="B224" s="9"/>
      <c r="C224" s="9"/>
      <c r="D224" s="9"/>
      <c r="E224" s="9"/>
      <c r="F224" s="9"/>
      <c r="G224" s="59"/>
      <c r="H224" s="9"/>
    </row>
    <row r="225">
      <c r="A225" s="9"/>
      <c r="B225" s="9"/>
      <c r="C225" s="9"/>
      <c r="D225" s="9"/>
      <c r="E225" s="9"/>
      <c r="F225" s="9"/>
      <c r="G225" s="59"/>
      <c r="H225" s="9"/>
    </row>
    <row r="226">
      <c r="A226" s="9"/>
      <c r="B226" s="9"/>
      <c r="C226" s="9"/>
      <c r="D226" s="9"/>
      <c r="E226" s="9"/>
      <c r="F226" s="9"/>
      <c r="G226" s="59"/>
      <c r="H226" s="9"/>
    </row>
    <row r="227">
      <c r="A227" s="9"/>
      <c r="B227" s="9"/>
      <c r="C227" s="9"/>
      <c r="D227" s="9"/>
      <c r="E227" s="9"/>
      <c r="F227" s="9"/>
      <c r="G227" s="59"/>
      <c r="H227" s="9"/>
    </row>
    <row r="228">
      <c r="A228" s="9"/>
      <c r="B228" s="9"/>
      <c r="C228" s="9"/>
      <c r="D228" s="9"/>
      <c r="E228" s="9"/>
      <c r="F228" s="9"/>
      <c r="G228" s="59"/>
      <c r="H228" s="9"/>
    </row>
    <row r="229">
      <c r="A229" s="9"/>
      <c r="B229" s="9"/>
      <c r="C229" s="9"/>
      <c r="D229" s="9"/>
      <c r="E229" s="9"/>
      <c r="F229" s="9"/>
      <c r="G229" s="59"/>
      <c r="H229" s="9"/>
    </row>
    <row r="230">
      <c r="A230" s="9"/>
      <c r="B230" s="9"/>
      <c r="C230" s="9"/>
      <c r="D230" s="9"/>
      <c r="E230" s="9"/>
      <c r="F230" s="9"/>
      <c r="G230" s="59"/>
      <c r="H230" s="9"/>
    </row>
    <row r="231">
      <c r="A231" s="9"/>
      <c r="B231" s="9"/>
      <c r="C231" s="9"/>
      <c r="D231" s="9"/>
      <c r="E231" s="9"/>
      <c r="F231" s="9"/>
      <c r="G231" s="59"/>
      <c r="H231" s="9"/>
    </row>
    <row r="232">
      <c r="A232" s="9"/>
      <c r="B232" s="9"/>
      <c r="C232" s="9"/>
      <c r="D232" s="9"/>
      <c r="E232" s="9"/>
      <c r="F232" s="9"/>
      <c r="G232" s="59"/>
      <c r="H232" s="9"/>
    </row>
    <row r="233">
      <c r="A233" s="9"/>
      <c r="B233" s="9"/>
      <c r="C233" s="9"/>
      <c r="D233" s="9"/>
      <c r="E233" s="9"/>
      <c r="F233" s="9"/>
      <c r="G233" s="59"/>
      <c r="H233" s="9"/>
    </row>
    <row r="234">
      <c r="A234" s="9"/>
      <c r="B234" s="9"/>
      <c r="C234" s="9"/>
      <c r="D234" s="9"/>
      <c r="E234" s="9"/>
      <c r="F234" s="9"/>
      <c r="G234" s="59"/>
      <c r="H234" s="9"/>
    </row>
    <row r="235">
      <c r="A235" s="9"/>
      <c r="B235" s="9"/>
      <c r="C235" s="9"/>
      <c r="D235" s="9"/>
      <c r="E235" s="9"/>
      <c r="F235" s="9"/>
      <c r="G235" s="59"/>
      <c r="H235" s="9"/>
    </row>
    <row r="236">
      <c r="A236" s="9"/>
      <c r="B236" s="9"/>
      <c r="C236" s="9"/>
      <c r="D236" s="9"/>
      <c r="E236" s="9"/>
      <c r="F236" s="9"/>
      <c r="G236" s="59"/>
      <c r="H236" s="9"/>
    </row>
    <row r="237">
      <c r="A237" s="9"/>
      <c r="B237" s="9"/>
      <c r="C237" s="9"/>
      <c r="D237" s="9"/>
      <c r="E237" s="9"/>
      <c r="F237" s="9"/>
      <c r="G237" s="59"/>
      <c r="H237" s="9"/>
    </row>
    <row r="238">
      <c r="A238" s="9"/>
      <c r="B238" s="9"/>
      <c r="C238" s="9"/>
      <c r="D238" s="9"/>
      <c r="E238" s="9"/>
      <c r="F238" s="9"/>
      <c r="G238" s="59"/>
      <c r="H238" s="9"/>
    </row>
    <row r="239">
      <c r="A239" s="9"/>
      <c r="B239" s="9"/>
      <c r="C239" s="9"/>
      <c r="D239" s="9"/>
      <c r="E239" s="9"/>
      <c r="F239" s="9"/>
      <c r="G239" s="59"/>
      <c r="H239" s="9"/>
    </row>
    <row r="240">
      <c r="A240" s="9"/>
      <c r="B240" s="9"/>
      <c r="C240" s="9"/>
      <c r="D240" s="9"/>
      <c r="E240" s="9"/>
      <c r="F240" s="9"/>
      <c r="G240" s="59"/>
      <c r="H240" s="9"/>
    </row>
    <row r="241">
      <c r="A241" s="9"/>
      <c r="B241" s="9"/>
      <c r="C241" s="9"/>
      <c r="D241" s="9"/>
      <c r="E241" s="9"/>
      <c r="F241" s="9"/>
      <c r="G241" s="59"/>
      <c r="H241" s="9"/>
    </row>
    <row r="242">
      <c r="A242" s="9"/>
      <c r="B242" s="9"/>
      <c r="C242" s="9"/>
      <c r="D242" s="9"/>
      <c r="E242" s="9"/>
      <c r="F242" s="9"/>
      <c r="G242" s="59"/>
      <c r="H242" s="9"/>
    </row>
    <row r="243">
      <c r="A243" s="9"/>
      <c r="B243" s="9"/>
      <c r="C243" s="9"/>
      <c r="D243" s="9"/>
      <c r="E243" s="9"/>
      <c r="F243" s="9"/>
      <c r="G243" s="59"/>
      <c r="H243" s="9"/>
    </row>
    <row r="244">
      <c r="A244" s="9"/>
      <c r="B244" s="9"/>
      <c r="C244" s="9"/>
      <c r="D244" s="9"/>
      <c r="E244" s="9"/>
      <c r="F244" s="9"/>
      <c r="G244" s="59"/>
      <c r="H244" s="9"/>
    </row>
    <row r="245">
      <c r="A245" s="9"/>
      <c r="B245" s="9"/>
      <c r="C245" s="9"/>
      <c r="D245" s="9"/>
      <c r="E245" s="9"/>
      <c r="F245" s="9"/>
      <c r="G245" s="59"/>
      <c r="H245" s="9"/>
    </row>
    <row r="246">
      <c r="A246" s="9"/>
      <c r="B246" s="9"/>
      <c r="C246" s="9"/>
      <c r="D246" s="9"/>
      <c r="E246" s="9"/>
      <c r="F246" s="9"/>
      <c r="G246" s="59"/>
      <c r="H246" s="9"/>
    </row>
    <row r="247">
      <c r="A247" s="9"/>
      <c r="B247" s="9"/>
      <c r="C247" s="9"/>
      <c r="D247" s="9"/>
      <c r="E247" s="9"/>
      <c r="F247" s="9"/>
      <c r="G247" s="59"/>
      <c r="H247" s="9"/>
    </row>
    <row r="248">
      <c r="A248" s="9"/>
      <c r="B248" s="9"/>
      <c r="C248" s="9"/>
      <c r="D248" s="9"/>
      <c r="E248" s="9"/>
      <c r="F248" s="9"/>
      <c r="G248" s="59"/>
      <c r="H248" s="9"/>
    </row>
    <row r="249">
      <c r="A249" s="9"/>
      <c r="B249" s="9"/>
      <c r="C249" s="9"/>
      <c r="D249" s="9"/>
      <c r="E249" s="9"/>
      <c r="F249" s="9"/>
      <c r="G249" s="59"/>
      <c r="H249" s="9"/>
    </row>
    <row r="250">
      <c r="A250" s="9"/>
      <c r="B250" s="9"/>
      <c r="C250" s="9"/>
      <c r="D250" s="9"/>
      <c r="E250" s="9"/>
      <c r="F250" s="9"/>
      <c r="G250" s="59"/>
      <c r="H250" s="9"/>
    </row>
    <row r="251">
      <c r="A251" s="9"/>
      <c r="B251" s="9"/>
      <c r="C251" s="9"/>
      <c r="D251" s="9"/>
      <c r="E251" s="9"/>
      <c r="F251" s="9"/>
      <c r="G251" s="59"/>
      <c r="H251" s="9"/>
    </row>
    <row r="252">
      <c r="A252" s="9"/>
      <c r="B252" s="9"/>
      <c r="C252" s="9"/>
      <c r="D252" s="9"/>
      <c r="E252" s="9"/>
      <c r="F252" s="9"/>
      <c r="G252" s="59"/>
      <c r="H252" s="9"/>
    </row>
    <row r="253">
      <c r="A253" s="9"/>
      <c r="B253" s="9"/>
      <c r="C253" s="9"/>
      <c r="D253" s="9"/>
      <c r="E253" s="9"/>
      <c r="F253" s="9"/>
      <c r="G253" s="59"/>
      <c r="H253" s="9"/>
    </row>
    <row r="254">
      <c r="A254" s="9"/>
      <c r="B254" s="9"/>
      <c r="C254" s="9"/>
      <c r="D254" s="9"/>
      <c r="E254" s="9"/>
      <c r="F254" s="9"/>
      <c r="G254" s="59"/>
      <c r="H254" s="9"/>
    </row>
    <row r="255">
      <c r="A255" s="9"/>
      <c r="B255" s="9"/>
      <c r="C255" s="9"/>
      <c r="D255" s="9"/>
      <c r="E255" s="9"/>
      <c r="F255" s="9"/>
      <c r="G255" s="59"/>
      <c r="H255" s="9"/>
    </row>
    <row r="256">
      <c r="A256" s="9"/>
      <c r="B256" s="9"/>
      <c r="C256" s="9"/>
      <c r="D256" s="9"/>
      <c r="E256" s="9"/>
      <c r="F256" s="9"/>
      <c r="G256" s="59"/>
      <c r="H256" s="9"/>
    </row>
    <row r="257">
      <c r="A257" s="9"/>
      <c r="B257" s="9"/>
      <c r="C257" s="9"/>
      <c r="D257" s="9"/>
      <c r="E257" s="9"/>
      <c r="F257" s="9"/>
      <c r="G257" s="59"/>
      <c r="H257" s="9"/>
    </row>
    <row r="258">
      <c r="A258" s="9"/>
      <c r="B258" s="9"/>
      <c r="C258" s="9"/>
      <c r="D258" s="9"/>
      <c r="E258" s="9"/>
      <c r="F258" s="9"/>
      <c r="G258" s="59"/>
      <c r="H258" s="9"/>
    </row>
    <row r="259">
      <c r="A259" s="9"/>
      <c r="B259" s="9"/>
      <c r="C259" s="9"/>
      <c r="D259" s="9"/>
      <c r="E259" s="9"/>
      <c r="F259" s="9"/>
      <c r="G259" s="59"/>
      <c r="H259" s="9"/>
    </row>
    <row r="260">
      <c r="A260" s="9"/>
      <c r="B260" s="9"/>
      <c r="C260" s="9"/>
      <c r="D260" s="9"/>
      <c r="E260" s="9"/>
      <c r="F260" s="9"/>
      <c r="G260" s="59"/>
      <c r="H260" s="9"/>
    </row>
    <row r="261">
      <c r="A261" s="9"/>
      <c r="B261" s="9"/>
      <c r="C261" s="9"/>
      <c r="D261" s="9"/>
      <c r="E261" s="9"/>
      <c r="F261" s="9"/>
      <c r="G261" s="59"/>
      <c r="H261" s="9"/>
    </row>
    <row r="262">
      <c r="A262" s="9"/>
      <c r="B262" s="9"/>
      <c r="C262" s="9"/>
      <c r="D262" s="9"/>
      <c r="E262" s="9"/>
      <c r="F262" s="9"/>
      <c r="G262" s="59"/>
      <c r="H262" s="9"/>
    </row>
    <row r="263">
      <c r="A263" s="9"/>
      <c r="B263" s="9"/>
      <c r="C263" s="9"/>
      <c r="D263" s="9"/>
      <c r="E263" s="9"/>
      <c r="F263" s="9"/>
      <c r="G263" s="59"/>
      <c r="H263" s="9"/>
    </row>
    <row r="264">
      <c r="A264" s="9"/>
      <c r="B264" s="9"/>
      <c r="C264" s="9"/>
      <c r="D264" s="9"/>
      <c r="E264" s="9"/>
      <c r="F264" s="9"/>
      <c r="G264" s="59"/>
      <c r="H264" s="9"/>
    </row>
    <row r="265">
      <c r="A265" s="9"/>
      <c r="B265" s="9"/>
      <c r="C265" s="9"/>
      <c r="D265" s="9"/>
      <c r="E265" s="9"/>
      <c r="F265" s="9"/>
      <c r="G265" s="59"/>
      <c r="H265" s="9"/>
    </row>
    <row r="266">
      <c r="A266" s="9"/>
      <c r="B266" s="9"/>
      <c r="C266" s="9"/>
      <c r="D266" s="9"/>
      <c r="E266" s="9"/>
      <c r="F266" s="9"/>
      <c r="G266" s="59"/>
      <c r="H266" s="9"/>
    </row>
    <row r="267">
      <c r="A267" s="9"/>
      <c r="B267" s="9"/>
      <c r="C267" s="9"/>
      <c r="D267" s="9"/>
      <c r="E267" s="9"/>
      <c r="F267" s="9"/>
      <c r="G267" s="59"/>
      <c r="H267" s="9"/>
    </row>
    <row r="268">
      <c r="A268" s="9"/>
      <c r="B268" s="9"/>
      <c r="C268" s="9"/>
      <c r="D268" s="9"/>
      <c r="E268" s="9"/>
      <c r="F268" s="9"/>
      <c r="G268" s="59"/>
      <c r="H268" s="9"/>
    </row>
    <row r="269">
      <c r="A269" s="9"/>
      <c r="B269" s="9"/>
      <c r="C269" s="9"/>
      <c r="D269" s="9"/>
      <c r="E269" s="9"/>
      <c r="F269" s="9"/>
      <c r="G269" s="59"/>
      <c r="H269" s="9"/>
    </row>
    <row r="270">
      <c r="A270" s="9"/>
      <c r="B270" s="9"/>
      <c r="C270" s="9"/>
      <c r="D270" s="9"/>
      <c r="E270" s="9"/>
      <c r="F270" s="9"/>
      <c r="G270" s="59"/>
      <c r="H270" s="9"/>
    </row>
    <row r="271">
      <c r="A271" s="9"/>
      <c r="B271" s="9"/>
      <c r="C271" s="9"/>
      <c r="D271" s="9"/>
      <c r="E271" s="9"/>
      <c r="F271" s="9"/>
      <c r="G271" s="59"/>
      <c r="H271" s="9"/>
    </row>
    <row r="272">
      <c r="A272" s="9"/>
      <c r="B272" s="9"/>
      <c r="C272" s="9"/>
      <c r="D272" s="9"/>
      <c r="E272" s="9"/>
      <c r="F272" s="9"/>
      <c r="G272" s="59"/>
      <c r="H272" s="9"/>
    </row>
    <row r="273">
      <c r="A273" s="9"/>
      <c r="B273" s="9"/>
      <c r="C273" s="9"/>
      <c r="D273" s="9"/>
      <c r="E273" s="9"/>
      <c r="F273" s="9"/>
      <c r="G273" s="59"/>
      <c r="H273" s="9"/>
    </row>
    <row r="274">
      <c r="A274" s="9"/>
      <c r="B274" s="9"/>
      <c r="C274" s="9"/>
      <c r="D274" s="9"/>
      <c r="E274" s="9"/>
      <c r="F274" s="9"/>
      <c r="G274" s="59"/>
      <c r="H274" s="9"/>
    </row>
    <row r="275">
      <c r="A275" s="9"/>
      <c r="B275" s="9"/>
      <c r="C275" s="9"/>
      <c r="D275" s="9"/>
      <c r="E275" s="9"/>
      <c r="F275" s="9"/>
      <c r="G275" s="59"/>
      <c r="H275" s="9"/>
    </row>
    <row r="276">
      <c r="A276" s="9"/>
      <c r="B276" s="9"/>
      <c r="C276" s="9"/>
      <c r="D276" s="9"/>
      <c r="E276" s="9"/>
      <c r="F276" s="9"/>
      <c r="G276" s="59"/>
      <c r="H276" s="9"/>
    </row>
    <row r="277">
      <c r="A277" s="9"/>
      <c r="B277" s="9"/>
      <c r="C277" s="9"/>
      <c r="D277" s="9"/>
      <c r="E277" s="9"/>
      <c r="F277" s="9"/>
      <c r="G277" s="59"/>
      <c r="H277" s="9"/>
    </row>
    <row r="278">
      <c r="A278" s="9"/>
      <c r="B278" s="9"/>
      <c r="C278" s="9"/>
      <c r="D278" s="9"/>
      <c r="E278" s="9"/>
      <c r="F278" s="9"/>
      <c r="G278" s="59"/>
      <c r="H278" s="9"/>
    </row>
    <row r="279">
      <c r="A279" s="9"/>
      <c r="B279" s="9"/>
      <c r="C279" s="9"/>
      <c r="D279" s="9"/>
      <c r="E279" s="9"/>
      <c r="F279" s="9"/>
      <c r="G279" s="59"/>
      <c r="H279" s="9"/>
    </row>
    <row r="280">
      <c r="A280" s="9"/>
      <c r="B280" s="9"/>
      <c r="C280" s="9"/>
      <c r="D280" s="9"/>
      <c r="E280" s="9"/>
      <c r="F280" s="9"/>
      <c r="G280" s="59"/>
      <c r="H280" s="9"/>
    </row>
    <row r="281">
      <c r="A281" s="9"/>
      <c r="B281" s="9"/>
      <c r="C281" s="9"/>
      <c r="D281" s="9"/>
      <c r="E281" s="9"/>
      <c r="F281" s="9"/>
      <c r="G281" s="59"/>
      <c r="H281" s="9"/>
    </row>
    <row r="282">
      <c r="A282" s="9"/>
      <c r="B282" s="9"/>
      <c r="C282" s="9"/>
      <c r="D282" s="9"/>
      <c r="E282" s="9"/>
      <c r="F282" s="9"/>
      <c r="G282" s="59"/>
      <c r="H282" s="9"/>
    </row>
    <row r="283">
      <c r="A283" s="9"/>
      <c r="B283" s="9"/>
      <c r="C283" s="9"/>
      <c r="D283" s="9"/>
      <c r="E283" s="9"/>
      <c r="F283" s="9"/>
      <c r="G283" s="59"/>
      <c r="H283" s="9"/>
    </row>
    <row r="284">
      <c r="A284" s="9"/>
      <c r="B284" s="9"/>
      <c r="C284" s="9"/>
      <c r="D284" s="9"/>
      <c r="E284" s="9"/>
      <c r="F284" s="9"/>
      <c r="G284" s="59"/>
      <c r="H284" s="9"/>
    </row>
    <row r="285">
      <c r="A285" s="9"/>
      <c r="B285" s="9"/>
      <c r="C285" s="9"/>
      <c r="D285" s="9"/>
      <c r="E285" s="9"/>
      <c r="F285" s="9"/>
      <c r="G285" s="59"/>
      <c r="H285" s="9"/>
    </row>
    <row r="286">
      <c r="A286" s="9"/>
      <c r="B286" s="9"/>
      <c r="C286" s="9"/>
      <c r="D286" s="9"/>
      <c r="E286" s="9"/>
      <c r="F286" s="9"/>
      <c r="G286" s="59"/>
      <c r="H286" s="9"/>
    </row>
    <row r="287">
      <c r="A287" s="9"/>
      <c r="B287" s="9"/>
      <c r="C287" s="9"/>
      <c r="D287" s="9"/>
      <c r="E287" s="9"/>
      <c r="F287" s="9"/>
      <c r="G287" s="59"/>
      <c r="H287" s="9"/>
    </row>
    <row r="288">
      <c r="A288" s="9"/>
      <c r="B288" s="9"/>
      <c r="C288" s="9"/>
      <c r="D288" s="9"/>
      <c r="E288" s="9"/>
      <c r="F288" s="9"/>
      <c r="G288" s="59"/>
      <c r="H288" s="9"/>
    </row>
    <row r="289">
      <c r="A289" s="9"/>
      <c r="B289" s="9"/>
      <c r="C289" s="9"/>
      <c r="D289" s="9"/>
      <c r="E289" s="9"/>
      <c r="F289" s="9"/>
      <c r="G289" s="59"/>
      <c r="H289" s="9"/>
    </row>
    <row r="290">
      <c r="A290" s="9"/>
      <c r="B290" s="9"/>
      <c r="C290" s="9"/>
      <c r="D290" s="9"/>
      <c r="E290" s="9"/>
      <c r="F290" s="9"/>
      <c r="G290" s="59"/>
      <c r="H290" s="9"/>
    </row>
    <row r="291">
      <c r="A291" s="9"/>
      <c r="B291" s="9"/>
      <c r="C291" s="9"/>
      <c r="D291" s="9"/>
      <c r="E291" s="9"/>
      <c r="F291" s="9"/>
      <c r="G291" s="59"/>
      <c r="H291" s="9"/>
    </row>
    <row r="292">
      <c r="A292" s="9"/>
      <c r="B292" s="9"/>
      <c r="C292" s="9"/>
      <c r="D292" s="9"/>
      <c r="E292" s="9"/>
      <c r="F292" s="9"/>
      <c r="G292" s="59"/>
      <c r="H292" s="9"/>
    </row>
    <row r="293">
      <c r="A293" s="9"/>
      <c r="B293" s="9"/>
      <c r="C293" s="9"/>
      <c r="D293" s="9"/>
      <c r="E293" s="9"/>
      <c r="F293" s="9"/>
      <c r="G293" s="59"/>
      <c r="H293" s="9"/>
    </row>
    <row r="294">
      <c r="A294" s="9"/>
      <c r="B294" s="9"/>
      <c r="C294" s="9"/>
      <c r="D294" s="9"/>
      <c r="E294" s="9"/>
      <c r="F294" s="9"/>
      <c r="G294" s="59"/>
      <c r="H294" s="9"/>
    </row>
    <row r="295">
      <c r="A295" s="9"/>
      <c r="B295" s="9"/>
      <c r="C295" s="9"/>
      <c r="D295" s="9"/>
      <c r="E295" s="9"/>
      <c r="F295" s="9"/>
      <c r="G295" s="59"/>
      <c r="H295" s="9"/>
    </row>
    <row r="296">
      <c r="A296" s="9"/>
      <c r="B296" s="9"/>
      <c r="C296" s="9"/>
      <c r="D296" s="9"/>
      <c r="E296" s="9"/>
      <c r="F296" s="9"/>
      <c r="G296" s="59"/>
      <c r="H296" s="9"/>
    </row>
    <row r="297">
      <c r="A297" s="9"/>
      <c r="B297" s="9"/>
      <c r="C297" s="9"/>
      <c r="D297" s="9"/>
      <c r="E297" s="9"/>
      <c r="F297" s="9"/>
      <c r="G297" s="59"/>
      <c r="H297" s="9"/>
    </row>
    <row r="298">
      <c r="A298" s="9"/>
      <c r="B298" s="9"/>
      <c r="C298" s="9"/>
      <c r="D298" s="9"/>
      <c r="E298" s="9"/>
      <c r="F298" s="9"/>
      <c r="G298" s="59"/>
      <c r="H298" s="9"/>
    </row>
    <row r="299">
      <c r="A299" s="9"/>
      <c r="B299" s="9"/>
      <c r="C299" s="9"/>
      <c r="D299" s="9"/>
      <c r="E299" s="9"/>
      <c r="F299" s="9"/>
      <c r="G299" s="59"/>
      <c r="H299" s="9"/>
    </row>
    <row r="300">
      <c r="A300" s="9"/>
      <c r="B300" s="9"/>
      <c r="C300" s="9"/>
      <c r="D300" s="9"/>
      <c r="E300" s="9"/>
      <c r="F300" s="9"/>
      <c r="G300" s="59"/>
      <c r="H300" s="9"/>
    </row>
    <row r="301">
      <c r="A301" s="9"/>
      <c r="B301" s="9"/>
      <c r="C301" s="9"/>
      <c r="D301" s="9"/>
      <c r="E301" s="9"/>
      <c r="F301" s="9"/>
      <c r="G301" s="59"/>
      <c r="H301" s="9"/>
    </row>
    <row r="302">
      <c r="A302" s="9"/>
      <c r="B302" s="9"/>
      <c r="C302" s="9"/>
      <c r="D302" s="9"/>
      <c r="E302" s="9"/>
      <c r="F302" s="9"/>
      <c r="G302" s="59"/>
      <c r="H302" s="9"/>
    </row>
    <row r="303">
      <c r="A303" s="9"/>
      <c r="B303" s="9"/>
      <c r="C303" s="9"/>
      <c r="D303" s="9"/>
      <c r="E303" s="9"/>
      <c r="F303" s="9"/>
      <c r="G303" s="59"/>
      <c r="H303" s="9"/>
    </row>
    <row r="304">
      <c r="A304" s="9"/>
      <c r="B304" s="9"/>
      <c r="C304" s="9"/>
      <c r="D304" s="9"/>
      <c r="E304" s="9"/>
      <c r="F304" s="9"/>
      <c r="G304" s="59"/>
      <c r="H304" s="9"/>
    </row>
    <row r="305">
      <c r="A305" s="9"/>
      <c r="B305" s="9"/>
      <c r="C305" s="9"/>
      <c r="D305" s="9"/>
      <c r="E305" s="9"/>
      <c r="F305" s="9"/>
      <c r="G305" s="59"/>
      <c r="H305" s="9"/>
    </row>
    <row r="306">
      <c r="A306" s="9"/>
      <c r="B306" s="9"/>
      <c r="C306" s="9"/>
      <c r="D306" s="9"/>
      <c r="E306" s="9"/>
      <c r="F306" s="9"/>
      <c r="G306" s="59"/>
      <c r="H306" s="9"/>
    </row>
    <row r="307">
      <c r="A307" s="9"/>
      <c r="B307" s="9"/>
      <c r="C307" s="9"/>
      <c r="D307" s="9"/>
      <c r="E307" s="9"/>
      <c r="F307" s="9"/>
      <c r="G307" s="59"/>
      <c r="H307" s="9"/>
    </row>
    <row r="308">
      <c r="A308" s="9"/>
      <c r="B308" s="9"/>
      <c r="C308" s="9"/>
      <c r="D308" s="9"/>
      <c r="E308" s="9"/>
      <c r="F308" s="9"/>
      <c r="G308" s="59"/>
      <c r="H308" s="9"/>
    </row>
    <row r="309">
      <c r="A309" s="9"/>
      <c r="B309" s="9"/>
      <c r="C309" s="9"/>
      <c r="D309" s="9"/>
      <c r="E309" s="9"/>
      <c r="F309" s="9"/>
      <c r="G309" s="59"/>
      <c r="H309" s="9"/>
    </row>
    <row r="310">
      <c r="A310" s="9"/>
      <c r="B310" s="9"/>
      <c r="C310" s="9"/>
      <c r="D310" s="9"/>
      <c r="E310" s="9"/>
      <c r="F310" s="9"/>
      <c r="G310" s="59"/>
      <c r="H310" s="9"/>
    </row>
    <row r="311">
      <c r="A311" s="9"/>
      <c r="B311" s="9"/>
      <c r="C311" s="9"/>
      <c r="D311" s="9"/>
      <c r="E311" s="9"/>
      <c r="F311" s="9"/>
      <c r="G311" s="59"/>
      <c r="H311" s="9"/>
    </row>
    <row r="312">
      <c r="A312" s="9"/>
      <c r="B312" s="9"/>
      <c r="C312" s="9"/>
      <c r="D312" s="9"/>
      <c r="E312" s="9"/>
      <c r="F312" s="9"/>
      <c r="G312" s="59"/>
      <c r="H312" s="9"/>
    </row>
    <row r="313">
      <c r="A313" s="9"/>
      <c r="B313" s="9"/>
      <c r="C313" s="9"/>
      <c r="D313" s="9"/>
      <c r="E313" s="9"/>
      <c r="F313" s="9"/>
      <c r="G313" s="59"/>
      <c r="H313" s="9"/>
    </row>
    <row r="314">
      <c r="A314" s="9"/>
      <c r="B314" s="9"/>
      <c r="C314" s="9"/>
      <c r="D314" s="9"/>
      <c r="E314" s="9"/>
      <c r="F314" s="9"/>
      <c r="G314" s="59"/>
      <c r="H314" s="9"/>
    </row>
    <row r="315">
      <c r="A315" s="9"/>
      <c r="B315" s="9"/>
      <c r="C315" s="9"/>
      <c r="D315" s="9"/>
      <c r="E315" s="9"/>
      <c r="F315" s="9"/>
      <c r="G315" s="59"/>
      <c r="H315" s="9"/>
    </row>
    <row r="316">
      <c r="A316" s="9"/>
      <c r="B316" s="9"/>
      <c r="C316" s="9"/>
      <c r="D316" s="9"/>
      <c r="E316" s="9"/>
      <c r="F316" s="9"/>
      <c r="G316" s="59"/>
      <c r="H316" s="9"/>
    </row>
    <row r="317">
      <c r="A317" s="9"/>
      <c r="B317" s="9"/>
      <c r="C317" s="9"/>
      <c r="D317" s="9"/>
      <c r="E317" s="9"/>
      <c r="F317" s="9"/>
      <c r="G317" s="59"/>
      <c r="H317" s="9"/>
    </row>
    <row r="318">
      <c r="A318" s="9"/>
      <c r="B318" s="9"/>
      <c r="C318" s="9"/>
      <c r="D318" s="9"/>
      <c r="E318" s="9"/>
      <c r="F318" s="9"/>
      <c r="G318" s="59"/>
      <c r="H318" s="9"/>
    </row>
    <row r="319">
      <c r="A319" s="9"/>
      <c r="B319" s="9"/>
      <c r="C319" s="9"/>
      <c r="D319" s="9"/>
      <c r="E319" s="9"/>
      <c r="F319" s="9"/>
      <c r="G319" s="59"/>
      <c r="H319" s="9"/>
    </row>
    <row r="320">
      <c r="A320" s="9"/>
      <c r="B320" s="9"/>
      <c r="C320" s="9"/>
      <c r="D320" s="9"/>
      <c r="E320" s="9"/>
      <c r="F320" s="9"/>
      <c r="G320" s="59"/>
      <c r="H320" s="9"/>
    </row>
    <row r="321">
      <c r="A321" s="9"/>
      <c r="B321" s="9"/>
      <c r="C321" s="9"/>
      <c r="D321" s="9"/>
      <c r="E321" s="9"/>
      <c r="F321" s="9"/>
      <c r="G321" s="59"/>
      <c r="H321" s="9"/>
    </row>
    <row r="322">
      <c r="A322" s="9"/>
      <c r="B322" s="9"/>
      <c r="C322" s="9"/>
      <c r="D322" s="9"/>
      <c r="E322" s="9"/>
      <c r="F322" s="9"/>
      <c r="G322" s="59"/>
      <c r="H322" s="9"/>
    </row>
    <row r="323">
      <c r="A323" s="9"/>
      <c r="B323" s="9"/>
      <c r="C323" s="9"/>
      <c r="D323" s="9"/>
      <c r="E323" s="9"/>
      <c r="F323" s="9"/>
      <c r="G323" s="59"/>
      <c r="H323" s="9"/>
    </row>
    <row r="324">
      <c r="A324" s="9"/>
      <c r="B324" s="9"/>
      <c r="C324" s="9"/>
      <c r="D324" s="9"/>
      <c r="E324" s="9"/>
      <c r="F324" s="9"/>
      <c r="G324" s="59"/>
      <c r="H324" s="9"/>
    </row>
    <row r="325">
      <c r="A325" s="9"/>
      <c r="B325" s="9"/>
      <c r="C325" s="9"/>
      <c r="D325" s="9"/>
      <c r="E325" s="9"/>
      <c r="F325" s="9"/>
      <c r="G325" s="59"/>
      <c r="H325" s="9"/>
    </row>
    <row r="326">
      <c r="A326" s="9"/>
      <c r="B326" s="9"/>
      <c r="C326" s="9"/>
      <c r="D326" s="9"/>
      <c r="E326" s="9"/>
      <c r="F326" s="9"/>
      <c r="G326" s="59"/>
      <c r="H326" s="9"/>
    </row>
    <row r="327">
      <c r="A327" s="9"/>
      <c r="B327" s="9"/>
      <c r="C327" s="9"/>
      <c r="D327" s="9"/>
      <c r="E327" s="9"/>
      <c r="F327" s="9"/>
      <c r="G327" s="59"/>
      <c r="H327" s="9"/>
    </row>
    <row r="328">
      <c r="A328" s="9"/>
      <c r="B328" s="9"/>
      <c r="C328" s="9"/>
      <c r="D328" s="9"/>
      <c r="E328" s="9"/>
      <c r="F328" s="9"/>
      <c r="G328" s="59"/>
      <c r="H328" s="9"/>
    </row>
    <row r="329">
      <c r="A329" s="9"/>
      <c r="B329" s="9"/>
      <c r="C329" s="9"/>
      <c r="D329" s="9"/>
      <c r="E329" s="9"/>
      <c r="F329" s="9"/>
      <c r="G329" s="59"/>
      <c r="H329" s="9"/>
    </row>
    <row r="330">
      <c r="A330" s="9"/>
      <c r="B330" s="9"/>
      <c r="C330" s="9"/>
      <c r="D330" s="9"/>
      <c r="E330" s="9"/>
      <c r="F330" s="9"/>
      <c r="G330" s="59"/>
      <c r="H330" s="9"/>
    </row>
    <row r="331">
      <c r="A331" s="9"/>
      <c r="B331" s="9"/>
      <c r="C331" s="9"/>
      <c r="D331" s="9"/>
      <c r="E331" s="9"/>
      <c r="F331" s="9"/>
      <c r="G331" s="59"/>
      <c r="H331" s="9"/>
    </row>
    <row r="332">
      <c r="A332" s="9"/>
      <c r="B332" s="9"/>
      <c r="C332" s="9"/>
      <c r="D332" s="9"/>
      <c r="E332" s="9"/>
      <c r="F332" s="9"/>
      <c r="G332" s="59"/>
      <c r="H332" s="9"/>
    </row>
    <row r="333">
      <c r="A333" s="9"/>
      <c r="B333" s="9"/>
      <c r="C333" s="9"/>
      <c r="D333" s="9"/>
      <c r="E333" s="9"/>
      <c r="F333" s="9"/>
      <c r="G333" s="59"/>
      <c r="H333" s="9"/>
    </row>
    <row r="334">
      <c r="A334" s="9"/>
      <c r="B334" s="9"/>
      <c r="C334" s="9"/>
      <c r="D334" s="9"/>
      <c r="E334" s="9"/>
      <c r="F334" s="9"/>
      <c r="G334" s="59"/>
      <c r="H334" s="9"/>
    </row>
    <row r="335">
      <c r="A335" s="9"/>
      <c r="B335" s="9"/>
      <c r="C335" s="9"/>
      <c r="D335" s="9"/>
      <c r="E335" s="9"/>
      <c r="F335" s="9"/>
      <c r="G335" s="59"/>
      <c r="H335" s="9"/>
    </row>
    <row r="336">
      <c r="A336" s="9"/>
      <c r="B336" s="9"/>
      <c r="C336" s="9"/>
      <c r="D336" s="9"/>
      <c r="E336" s="9"/>
      <c r="F336" s="9"/>
      <c r="G336" s="59"/>
      <c r="H336" s="9"/>
    </row>
    <row r="337">
      <c r="A337" s="9"/>
      <c r="B337" s="9"/>
      <c r="C337" s="9"/>
      <c r="D337" s="9"/>
      <c r="E337" s="9"/>
      <c r="F337" s="9"/>
      <c r="G337" s="59"/>
      <c r="H337" s="9"/>
    </row>
    <row r="338">
      <c r="A338" s="9"/>
      <c r="B338" s="9"/>
      <c r="C338" s="9"/>
      <c r="D338" s="9"/>
      <c r="E338" s="9"/>
      <c r="F338" s="9"/>
      <c r="G338" s="59"/>
      <c r="H338" s="9"/>
    </row>
    <row r="339">
      <c r="A339" s="9"/>
      <c r="B339" s="9"/>
      <c r="C339" s="9"/>
      <c r="D339" s="9"/>
      <c r="E339" s="9"/>
      <c r="F339" s="9"/>
      <c r="G339" s="59"/>
      <c r="H339" s="9"/>
    </row>
    <row r="340">
      <c r="A340" s="9"/>
      <c r="B340" s="9"/>
      <c r="C340" s="9"/>
      <c r="D340" s="9"/>
      <c r="E340" s="9"/>
      <c r="F340" s="9"/>
      <c r="G340" s="59"/>
      <c r="H340" s="9"/>
    </row>
    <row r="341">
      <c r="A341" s="9"/>
      <c r="B341" s="9"/>
      <c r="C341" s="9"/>
      <c r="D341" s="9"/>
      <c r="E341" s="9"/>
      <c r="F341" s="9"/>
      <c r="G341" s="59"/>
      <c r="H341" s="9"/>
    </row>
    <row r="342">
      <c r="A342" s="9"/>
      <c r="B342" s="9"/>
      <c r="C342" s="9"/>
      <c r="D342" s="9"/>
      <c r="E342" s="9"/>
      <c r="F342" s="9"/>
      <c r="G342" s="59"/>
      <c r="H342" s="9"/>
    </row>
    <row r="343">
      <c r="A343" s="9"/>
      <c r="B343" s="9"/>
      <c r="C343" s="9"/>
      <c r="D343" s="9"/>
      <c r="E343" s="9"/>
      <c r="F343" s="9"/>
      <c r="G343" s="59"/>
      <c r="H343" s="9"/>
    </row>
    <row r="344">
      <c r="A344" s="9"/>
      <c r="B344" s="9"/>
      <c r="C344" s="9"/>
      <c r="D344" s="9"/>
      <c r="E344" s="9"/>
      <c r="F344" s="9"/>
      <c r="G344" s="59"/>
      <c r="H344" s="9"/>
    </row>
    <row r="345">
      <c r="A345" s="9"/>
      <c r="B345" s="9"/>
      <c r="C345" s="9"/>
      <c r="D345" s="9"/>
      <c r="E345" s="9"/>
      <c r="F345" s="9"/>
      <c r="G345" s="59"/>
      <c r="H345" s="9"/>
    </row>
    <row r="346">
      <c r="A346" s="9"/>
      <c r="B346" s="9"/>
      <c r="C346" s="9"/>
      <c r="D346" s="9"/>
      <c r="E346" s="9"/>
      <c r="F346" s="9"/>
      <c r="G346" s="59"/>
      <c r="H346" s="9"/>
    </row>
    <row r="347">
      <c r="A347" s="9"/>
      <c r="B347" s="9"/>
      <c r="C347" s="9"/>
      <c r="D347" s="9"/>
      <c r="E347" s="9"/>
      <c r="F347" s="9"/>
      <c r="G347" s="59"/>
      <c r="H347" s="9"/>
    </row>
    <row r="348">
      <c r="A348" s="9"/>
      <c r="B348" s="9"/>
      <c r="C348" s="9"/>
      <c r="D348" s="9"/>
      <c r="E348" s="9"/>
      <c r="F348" s="9"/>
      <c r="G348" s="59"/>
      <c r="H348" s="9"/>
    </row>
    <row r="349">
      <c r="A349" s="9"/>
      <c r="B349" s="9"/>
      <c r="C349" s="9"/>
      <c r="D349" s="9"/>
      <c r="E349" s="9"/>
      <c r="F349" s="9"/>
      <c r="G349" s="59"/>
      <c r="H349" s="9"/>
    </row>
    <row r="350">
      <c r="A350" s="9"/>
      <c r="B350" s="9"/>
      <c r="C350" s="9"/>
      <c r="D350" s="9"/>
      <c r="E350" s="9"/>
      <c r="F350" s="9"/>
      <c r="G350" s="59"/>
      <c r="H350" s="9"/>
    </row>
    <row r="351">
      <c r="A351" s="9"/>
      <c r="B351" s="9"/>
      <c r="C351" s="9"/>
      <c r="D351" s="9"/>
      <c r="E351" s="9"/>
      <c r="F351" s="9"/>
      <c r="G351" s="59"/>
      <c r="H351" s="9"/>
    </row>
    <row r="352">
      <c r="A352" s="9"/>
      <c r="B352" s="9"/>
      <c r="C352" s="9"/>
      <c r="D352" s="9"/>
      <c r="E352" s="9"/>
      <c r="F352" s="9"/>
      <c r="G352" s="59"/>
      <c r="H352" s="9"/>
    </row>
    <row r="353">
      <c r="A353" s="9"/>
      <c r="B353" s="9"/>
      <c r="C353" s="9"/>
      <c r="D353" s="9"/>
      <c r="E353" s="9"/>
      <c r="F353" s="9"/>
      <c r="G353" s="59"/>
      <c r="H353" s="9"/>
    </row>
    <row r="354">
      <c r="A354" s="9"/>
      <c r="B354" s="9"/>
      <c r="C354" s="9"/>
      <c r="D354" s="9"/>
      <c r="E354" s="9"/>
      <c r="F354" s="9"/>
      <c r="G354" s="59"/>
      <c r="H354" s="9"/>
    </row>
    <row r="355">
      <c r="A355" s="9"/>
      <c r="B355" s="9"/>
      <c r="C355" s="9"/>
      <c r="D355" s="9"/>
      <c r="E355" s="9"/>
      <c r="F355" s="9"/>
      <c r="G355" s="59"/>
      <c r="H355" s="9"/>
    </row>
    <row r="356">
      <c r="A356" s="9"/>
      <c r="B356" s="9"/>
      <c r="C356" s="9"/>
      <c r="D356" s="9"/>
      <c r="E356" s="9"/>
      <c r="F356" s="9"/>
      <c r="G356" s="59"/>
      <c r="H356" s="9"/>
    </row>
    <row r="357">
      <c r="A357" s="9"/>
      <c r="B357" s="9"/>
      <c r="C357" s="9"/>
      <c r="D357" s="9"/>
      <c r="E357" s="9"/>
      <c r="F357" s="9"/>
      <c r="G357" s="59"/>
      <c r="H357" s="9"/>
    </row>
    <row r="358">
      <c r="A358" s="9"/>
      <c r="B358" s="9"/>
      <c r="C358" s="9"/>
      <c r="D358" s="9"/>
      <c r="E358" s="9"/>
      <c r="F358" s="9"/>
      <c r="G358" s="59"/>
      <c r="H358" s="9"/>
    </row>
    <row r="359">
      <c r="A359" s="9"/>
      <c r="B359" s="9"/>
      <c r="C359" s="9"/>
      <c r="D359" s="9"/>
      <c r="E359" s="9"/>
      <c r="F359" s="9"/>
      <c r="G359" s="59"/>
      <c r="H359" s="9"/>
    </row>
    <row r="360">
      <c r="A360" s="9"/>
      <c r="B360" s="9"/>
      <c r="C360" s="9"/>
      <c r="D360" s="9"/>
      <c r="E360" s="9"/>
      <c r="F360" s="9"/>
      <c r="G360" s="59"/>
      <c r="H360" s="9"/>
    </row>
    <row r="361">
      <c r="A361" s="9"/>
      <c r="B361" s="9"/>
      <c r="C361" s="9"/>
      <c r="D361" s="9"/>
      <c r="E361" s="9"/>
      <c r="F361" s="9"/>
      <c r="G361" s="59"/>
      <c r="H361" s="9"/>
    </row>
    <row r="362">
      <c r="A362" s="9"/>
      <c r="B362" s="9"/>
      <c r="C362" s="9"/>
      <c r="D362" s="9"/>
      <c r="E362" s="9"/>
      <c r="F362" s="9"/>
      <c r="G362" s="59"/>
      <c r="H362" s="9"/>
    </row>
    <row r="363">
      <c r="A363" s="9"/>
      <c r="B363" s="9"/>
      <c r="C363" s="9"/>
      <c r="D363" s="9"/>
      <c r="E363" s="9"/>
      <c r="F363" s="9"/>
      <c r="G363" s="59"/>
      <c r="H363" s="9"/>
    </row>
    <row r="364">
      <c r="A364" s="9"/>
      <c r="B364" s="9"/>
      <c r="C364" s="9"/>
      <c r="D364" s="9"/>
      <c r="E364" s="9"/>
      <c r="F364" s="9"/>
      <c r="G364" s="59"/>
      <c r="H364" s="9"/>
    </row>
    <row r="365">
      <c r="A365" s="9"/>
      <c r="B365" s="9"/>
      <c r="C365" s="9"/>
      <c r="D365" s="9"/>
      <c r="E365" s="9"/>
      <c r="F365" s="9"/>
      <c r="G365" s="59"/>
      <c r="H365" s="9"/>
    </row>
    <row r="366">
      <c r="A366" s="9"/>
      <c r="B366" s="9"/>
      <c r="C366" s="9"/>
      <c r="D366" s="9"/>
      <c r="E366" s="9"/>
      <c r="F366" s="9"/>
      <c r="G366" s="59"/>
      <c r="H366" s="9"/>
    </row>
    <row r="367">
      <c r="A367" s="9"/>
      <c r="B367" s="9"/>
      <c r="C367" s="9"/>
      <c r="D367" s="9"/>
      <c r="E367" s="9"/>
      <c r="F367" s="9"/>
      <c r="G367" s="59"/>
      <c r="H367" s="9"/>
    </row>
    <row r="368">
      <c r="A368" s="9"/>
      <c r="B368" s="9"/>
      <c r="C368" s="9"/>
      <c r="D368" s="9"/>
      <c r="E368" s="9"/>
      <c r="F368" s="9"/>
      <c r="G368" s="59"/>
      <c r="H368" s="9"/>
    </row>
    <row r="369">
      <c r="A369" s="9"/>
      <c r="B369" s="9"/>
      <c r="C369" s="9"/>
      <c r="D369" s="9"/>
      <c r="E369" s="9"/>
      <c r="F369" s="9"/>
      <c r="G369" s="59"/>
      <c r="H369" s="9"/>
    </row>
    <row r="370">
      <c r="A370" s="9"/>
      <c r="B370" s="9"/>
      <c r="C370" s="9"/>
      <c r="D370" s="9"/>
      <c r="E370" s="9"/>
      <c r="F370" s="9"/>
      <c r="G370" s="59"/>
      <c r="H370" s="9"/>
    </row>
    <row r="371">
      <c r="A371" s="9"/>
      <c r="B371" s="9"/>
      <c r="C371" s="9"/>
      <c r="D371" s="9"/>
      <c r="E371" s="9"/>
      <c r="F371" s="9"/>
      <c r="G371" s="59"/>
      <c r="H371" s="9"/>
    </row>
    <row r="372">
      <c r="A372" s="9"/>
      <c r="B372" s="9"/>
      <c r="C372" s="9"/>
      <c r="D372" s="9"/>
      <c r="E372" s="9"/>
      <c r="F372" s="9"/>
      <c r="G372" s="59"/>
      <c r="H372" s="9"/>
    </row>
    <row r="373">
      <c r="A373" s="9"/>
      <c r="B373" s="9"/>
      <c r="C373" s="9"/>
      <c r="D373" s="9"/>
      <c r="E373" s="9"/>
      <c r="F373" s="9"/>
      <c r="G373" s="59"/>
      <c r="H373" s="9"/>
    </row>
    <row r="374">
      <c r="A374" s="9"/>
      <c r="B374" s="9"/>
      <c r="C374" s="9"/>
      <c r="D374" s="9"/>
      <c r="E374" s="9"/>
      <c r="F374" s="9"/>
      <c r="G374" s="59"/>
      <c r="H374" s="9"/>
    </row>
    <row r="375">
      <c r="A375" s="9"/>
      <c r="B375" s="9"/>
      <c r="C375" s="9"/>
      <c r="D375" s="9"/>
      <c r="E375" s="9"/>
      <c r="F375" s="9"/>
      <c r="G375" s="59"/>
      <c r="H375" s="9"/>
    </row>
    <row r="376">
      <c r="A376" s="9"/>
      <c r="B376" s="9"/>
      <c r="C376" s="9"/>
      <c r="D376" s="9"/>
      <c r="E376" s="9"/>
      <c r="F376" s="9"/>
      <c r="G376" s="59"/>
      <c r="H376" s="9"/>
    </row>
    <row r="377">
      <c r="A377" s="9"/>
      <c r="B377" s="9"/>
      <c r="C377" s="9"/>
      <c r="D377" s="9"/>
      <c r="E377" s="9"/>
      <c r="F377" s="9"/>
      <c r="G377" s="59"/>
      <c r="H377" s="9"/>
    </row>
    <row r="378">
      <c r="A378" s="9"/>
      <c r="B378" s="9"/>
      <c r="C378" s="9"/>
      <c r="D378" s="9"/>
      <c r="E378" s="9"/>
      <c r="F378" s="9"/>
      <c r="G378" s="59"/>
      <c r="H378" s="9"/>
    </row>
    <row r="379">
      <c r="A379" s="9"/>
      <c r="B379" s="9"/>
      <c r="C379" s="9"/>
      <c r="D379" s="9"/>
      <c r="E379" s="9"/>
      <c r="F379" s="9"/>
      <c r="G379" s="59"/>
      <c r="H379" s="9"/>
    </row>
    <row r="380">
      <c r="A380" s="9"/>
      <c r="B380" s="9"/>
      <c r="C380" s="9"/>
      <c r="D380" s="9"/>
      <c r="E380" s="9"/>
      <c r="F380" s="9"/>
      <c r="G380" s="59"/>
      <c r="H380" s="9"/>
    </row>
    <row r="381">
      <c r="A381" s="9"/>
      <c r="B381" s="9"/>
      <c r="C381" s="9"/>
      <c r="D381" s="9"/>
      <c r="E381" s="9"/>
      <c r="F381" s="9"/>
      <c r="G381" s="59"/>
      <c r="H381" s="9"/>
    </row>
    <row r="382">
      <c r="A382" s="9"/>
      <c r="B382" s="9"/>
      <c r="C382" s="9"/>
      <c r="D382" s="9"/>
      <c r="E382" s="9"/>
      <c r="F382" s="9"/>
      <c r="G382" s="59"/>
      <c r="H382" s="9"/>
    </row>
    <row r="383">
      <c r="A383" s="9"/>
      <c r="B383" s="9"/>
      <c r="C383" s="9"/>
      <c r="D383" s="9"/>
      <c r="E383" s="9"/>
      <c r="F383" s="9"/>
      <c r="G383" s="59"/>
      <c r="H383" s="9"/>
    </row>
    <row r="384">
      <c r="A384" s="9"/>
      <c r="B384" s="9"/>
      <c r="C384" s="9"/>
      <c r="D384" s="9"/>
      <c r="E384" s="9"/>
      <c r="F384" s="9"/>
      <c r="G384" s="59"/>
      <c r="H384" s="9"/>
    </row>
    <row r="385">
      <c r="A385" s="9"/>
      <c r="B385" s="9"/>
      <c r="C385" s="9"/>
      <c r="D385" s="9"/>
      <c r="E385" s="9"/>
      <c r="F385" s="9"/>
      <c r="G385" s="59"/>
      <c r="H385" s="9"/>
    </row>
    <row r="386">
      <c r="A386" s="9"/>
      <c r="B386" s="9"/>
      <c r="C386" s="9"/>
      <c r="D386" s="9"/>
      <c r="E386" s="9"/>
      <c r="F386" s="9"/>
      <c r="G386" s="59"/>
      <c r="H386" s="9"/>
    </row>
    <row r="387">
      <c r="A387" s="9"/>
      <c r="B387" s="9"/>
      <c r="C387" s="9"/>
      <c r="D387" s="9"/>
      <c r="E387" s="9"/>
      <c r="F387" s="9"/>
      <c r="G387" s="59"/>
      <c r="H387" s="9"/>
    </row>
    <row r="388">
      <c r="A388" s="9"/>
      <c r="B388" s="9"/>
      <c r="C388" s="9"/>
      <c r="D388" s="9"/>
      <c r="E388" s="9"/>
      <c r="F388" s="9"/>
      <c r="G388" s="59"/>
      <c r="H388" s="9"/>
    </row>
    <row r="389">
      <c r="A389" s="9"/>
      <c r="B389" s="9"/>
      <c r="C389" s="9"/>
      <c r="D389" s="9"/>
      <c r="E389" s="9"/>
      <c r="F389" s="9"/>
      <c r="G389" s="59"/>
      <c r="H389" s="9"/>
    </row>
    <row r="390">
      <c r="A390" s="9"/>
      <c r="B390" s="9"/>
      <c r="C390" s="9"/>
      <c r="D390" s="9"/>
      <c r="E390" s="9"/>
      <c r="F390" s="9"/>
      <c r="G390" s="59"/>
      <c r="H390" s="9"/>
    </row>
    <row r="391">
      <c r="A391" s="9"/>
      <c r="B391" s="9"/>
      <c r="C391" s="9"/>
      <c r="D391" s="9"/>
      <c r="E391" s="9"/>
      <c r="F391" s="9"/>
      <c r="G391" s="59"/>
      <c r="H391" s="9"/>
    </row>
    <row r="392">
      <c r="A392" s="9"/>
      <c r="B392" s="9"/>
      <c r="C392" s="9"/>
      <c r="D392" s="9"/>
      <c r="E392" s="9"/>
      <c r="F392" s="9"/>
      <c r="G392" s="59"/>
      <c r="H392" s="9"/>
    </row>
    <row r="393">
      <c r="A393" s="9"/>
      <c r="B393" s="9"/>
      <c r="C393" s="9"/>
      <c r="D393" s="9"/>
      <c r="E393" s="9"/>
      <c r="F393" s="9"/>
      <c r="G393" s="59"/>
      <c r="H393" s="9"/>
    </row>
    <row r="394">
      <c r="A394" s="9"/>
      <c r="B394" s="9"/>
      <c r="C394" s="9"/>
      <c r="D394" s="9"/>
      <c r="E394" s="9"/>
      <c r="F394" s="9"/>
      <c r="G394" s="59"/>
      <c r="H394" s="9"/>
    </row>
    <row r="395">
      <c r="A395" s="9"/>
      <c r="B395" s="9"/>
      <c r="C395" s="9"/>
      <c r="D395" s="9"/>
      <c r="E395" s="9"/>
      <c r="F395" s="9"/>
      <c r="G395" s="59"/>
      <c r="H395" s="9"/>
    </row>
    <row r="396">
      <c r="A396" s="9"/>
      <c r="B396" s="9"/>
      <c r="C396" s="9"/>
      <c r="D396" s="9"/>
      <c r="E396" s="9"/>
      <c r="F396" s="9"/>
      <c r="G396" s="59"/>
      <c r="H396" s="9"/>
    </row>
    <row r="397">
      <c r="A397" s="9"/>
      <c r="B397" s="9"/>
      <c r="C397" s="9"/>
      <c r="D397" s="9"/>
      <c r="E397" s="9"/>
      <c r="F397" s="9"/>
      <c r="G397" s="59"/>
      <c r="H397" s="9"/>
    </row>
    <row r="398">
      <c r="A398" s="9"/>
      <c r="B398" s="9"/>
      <c r="C398" s="9"/>
      <c r="D398" s="9"/>
      <c r="E398" s="9"/>
      <c r="F398" s="9"/>
      <c r="G398" s="59"/>
      <c r="H398" s="9"/>
    </row>
    <row r="399">
      <c r="A399" s="9"/>
      <c r="B399" s="9"/>
      <c r="C399" s="9"/>
      <c r="D399" s="9"/>
      <c r="E399" s="9"/>
      <c r="F399" s="9"/>
      <c r="G399" s="59"/>
      <c r="H399" s="9"/>
    </row>
    <row r="400">
      <c r="A400" s="9"/>
      <c r="B400" s="9"/>
      <c r="C400" s="9"/>
      <c r="D400" s="9"/>
      <c r="E400" s="9"/>
      <c r="F400" s="9"/>
      <c r="G400" s="59"/>
      <c r="H400" s="9"/>
    </row>
    <row r="401">
      <c r="A401" s="9"/>
      <c r="B401" s="9"/>
      <c r="C401" s="9"/>
      <c r="D401" s="9"/>
      <c r="E401" s="9"/>
      <c r="F401" s="9"/>
      <c r="G401" s="59"/>
      <c r="H401" s="9"/>
    </row>
    <row r="402">
      <c r="A402" s="9"/>
      <c r="B402" s="9"/>
      <c r="C402" s="9"/>
      <c r="D402" s="9"/>
      <c r="E402" s="9"/>
      <c r="F402" s="9"/>
      <c r="G402" s="59"/>
      <c r="H402" s="9"/>
    </row>
    <row r="403">
      <c r="A403" s="9"/>
      <c r="B403" s="9"/>
      <c r="C403" s="9"/>
      <c r="D403" s="9"/>
      <c r="E403" s="9"/>
      <c r="F403" s="9"/>
      <c r="G403" s="59"/>
      <c r="H403" s="9"/>
    </row>
    <row r="404">
      <c r="A404" s="9"/>
      <c r="B404" s="9"/>
      <c r="C404" s="9"/>
      <c r="D404" s="9"/>
      <c r="E404" s="9"/>
      <c r="F404" s="9"/>
      <c r="G404" s="59"/>
      <c r="H404" s="9"/>
    </row>
    <row r="405">
      <c r="A405" s="9"/>
      <c r="B405" s="9"/>
      <c r="C405" s="9"/>
      <c r="D405" s="9"/>
      <c r="E405" s="9"/>
      <c r="F405" s="9"/>
      <c r="G405" s="59"/>
      <c r="H405" s="9"/>
    </row>
    <row r="406">
      <c r="A406" s="9"/>
      <c r="B406" s="9"/>
      <c r="C406" s="9"/>
      <c r="D406" s="9"/>
      <c r="E406" s="9"/>
      <c r="F406" s="9"/>
      <c r="G406" s="59"/>
      <c r="H406" s="9"/>
    </row>
    <row r="407">
      <c r="A407" s="9"/>
      <c r="B407" s="9"/>
      <c r="C407" s="9"/>
      <c r="D407" s="9"/>
      <c r="E407" s="9"/>
      <c r="F407" s="9"/>
      <c r="G407" s="59"/>
      <c r="H407" s="9"/>
    </row>
    <row r="408">
      <c r="A408" s="9"/>
      <c r="B408" s="9"/>
      <c r="C408" s="9"/>
      <c r="D408" s="9"/>
      <c r="E408" s="9"/>
      <c r="F408" s="9"/>
      <c r="G408" s="59"/>
      <c r="H408" s="9"/>
    </row>
    <row r="409">
      <c r="A409" s="9"/>
      <c r="B409" s="9"/>
      <c r="C409" s="9"/>
      <c r="D409" s="9"/>
      <c r="E409" s="9"/>
      <c r="F409" s="9"/>
      <c r="G409" s="59"/>
      <c r="H409" s="9"/>
    </row>
    <row r="410">
      <c r="A410" s="9"/>
      <c r="B410" s="9"/>
      <c r="C410" s="9"/>
      <c r="D410" s="9"/>
      <c r="E410" s="9"/>
      <c r="F410" s="9"/>
      <c r="G410" s="59"/>
      <c r="H410" s="9"/>
    </row>
    <row r="411">
      <c r="A411" s="9"/>
      <c r="B411" s="9"/>
      <c r="C411" s="9"/>
      <c r="D411" s="9"/>
      <c r="E411" s="9"/>
      <c r="F411" s="9"/>
      <c r="G411" s="59"/>
      <c r="H411" s="9"/>
    </row>
    <row r="412">
      <c r="A412" s="9"/>
      <c r="B412" s="9"/>
      <c r="C412" s="9"/>
      <c r="D412" s="9"/>
      <c r="E412" s="9"/>
      <c r="F412" s="9"/>
      <c r="G412" s="59"/>
      <c r="H412" s="9"/>
    </row>
    <row r="413">
      <c r="A413" s="9"/>
      <c r="B413" s="9"/>
      <c r="C413" s="9"/>
      <c r="D413" s="9"/>
      <c r="E413" s="9"/>
      <c r="F413" s="9"/>
      <c r="G413" s="59"/>
      <c r="H413" s="9"/>
    </row>
    <row r="414">
      <c r="A414" s="9"/>
      <c r="B414" s="9"/>
      <c r="C414" s="9"/>
      <c r="D414" s="9"/>
      <c r="E414" s="9"/>
      <c r="F414" s="9"/>
      <c r="G414" s="59"/>
      <c r="H414" s="9"/>
    </row>
    <row r="415">
      <c r="A415" s="9"/>
      <c r="B415" s="9"/>
      <c r="C415" s="9"/>
      <c r="D415" s="9"/>
      <c r="E415" s="9"/>
      <c r="F415" s="9"/>
      <c r="G415" s="59"/>
      <c r="H415" s="9"/>
    </row>
    <row r="416">
      <c r="A416" s="9"/>
      <c r="B416" s="9"/>
      <c r="C416" s="9"/>
      <c r="D416" s="9"/>
      <c r="E416" s="9"/>
      <c r="F416" s="9"/>
      <c r="G416" s="59"/>
      <c r="H416" s="9"/>
    </row>
    <row r="417">
      <c r="A417" s="9"/>
      <c r="B417" s="9"/>
      <c r="C417" s="9"/>
      <c r="D417" s="9"/>
      <c r="E417" s="9"/>
      <c r="F417" s="9"/>
      <c r="G417" s="59"/>
      <c r="H417" s="9"/>
    </row>
    <row r="418">
      <c r="A418" s="9"/>
      <c r="B418" s="9"/>
      <c r="C418" s="9"/>
      <c r="D418" s="9"/>
      <c r="E418" s="9"/>
      <c r="F418" s="9"/>
      <c r="G418" s="59"/>
      <c r="H418" s="9"/>
    </row>
    <row r="419">
      <c r="A419" s="9"/>
      <c r="B419" s="9"/>
      <c r="C419" s="9"/>
      <c r="D419" s="9"/>
      <c r="E419" s="9"/>
      <c r="F419" s="9"/>
      <c r="G419" s="59"/>
      <c r="H419" s="9"/>
    </row>
    <row r="420">
      <c r="A420" s="9"/>
      <c r="B420" s="9"/>
      <c r="C420" s="9"/>
      <c r="D420" s="9"/>
      <c r="E420" s="9"/>
      <c r="F420" s="9"/>
      <c r="G420" s="59"/>
      <c r="H420" s="9"/>
    </row>
    <row r="421">
      <c r="A421" s="9"/>
      <c r="B421" s="9"/>
      <c r="C421" s="9"/>
      <c r="D421" s="9"/>
      <c r="E421" s="9"/>
      <c r="F421" s="9"/>
      <c r="G421" s="59"/>
      <c r="H421" s="9"/>
    </row>
    <row r="422">
      <c r="A422" s="9"/>
      <c r="B422" s="9"/>
      <c r="C422" s="9"/>
      <c r="D422" s="9"/>
      <c r="E422" s="9"/>
      <c r="F422" s="9"/>
      <c r="G422" s="59"/>
      <c r="H422" s="9"/>
    </row>
    <row r="423">
      <c r="A423" s="9"/>
      <c r="B423" s="9"/>
      <c r="C423" s="9"/>
      <c r="D423" s="9"/>
      <c r="E423" s="9"/>
      <c r="F423" s="9"/>
      <c r="G423" s="59"/>
      <c r="H423" s="9"/>
    </row>
    <row r="424">
      <c r="A424" s="9"/>
      <c r="B424" s="9"/>
      <c r="C424" s="9"/>
      <c r="D424" s="9"/>
      <c r="E424" s="9"/>
      <c r="F424" s="9"/>
      <c r="G424" s="59"/>
      <c r="H424" s="9"/>
    </row>
    <row r="425">
      <c r="A425" s="9"/>
      <c r="B425" s="9"/>
      <c r="C425" s="9"/>
      <c r="D425" s="9"/>
      <c r="E425" s="9"/>
      <c r="F425" s="9"/>
      <c r="G425" s="59"/>
      <c r="H425" s="9"/>
    </row>
    <row r="426">
      <c r="A426" s="9"/>
      <c r="B426" s="9"/>
      <c r="C426" s="9"/>
      <c r="D426" s="9"/>
      <c r="E426" s="9"/>
      <c r="F426" s="9"/>
      <c r="G426" s="59"/>
      <c r="H426" s="9"/>
    </row>
    <row r="427">
      <c r="A427" s="9"/>
      <c r="B427" s="9"/>
      <c r="C427" s="9"/>
      <c r="D427" s="9"/>
      <c r="E427" s="9"/>
      <c r="F427" s="9"/>
      <c r="G427" s="59"/>
      <c r="H427" s="9"/>
    </row>
    <row r="428">
      <c r="A428" s="9"/>
      <c r="B428" s="9"/>
      <c r="C428" s="9"/>
      <c r="D428" s="9"/>
      <c r="E428" s="9"/>
      <c r="F428" s="9"/>
      <c r="G428" s="59"/>
      <c r="H428" s="9"/>
    </row>
    <row r="429">
      <c r="A429" s="9"/>
      <c r="B429" s="9"/>
      <c r="C429" s="9"/>
      <c r="D429" s="9"/>
      <c r="E429" s="9"/>
      <c r="F429" s="9"/>
      <c r="G429" s="59"/>
      <c r="H429" s="9"/>
    </row>
    <row r="430">
      <c r="A430" s="9"/>
      <c r="B430" s="9"/>
      <c r="C430" s="9"/>
      <c r="D430" s="9"/>
      <c r="E430" s="9"/>
      <c r="F430" s="9"/>
      <c r="G430" s="59"/>
      <c r="H430" s="9"/>
    </row>
    <row r="431">
      <c r="A431" s="9"/>
      <c r="B431" s="9"/>
      <c r="C431" s="9"/>
      <c r="D431" s="9"/>
      <c r="E431" s="9"/>
      <c r="F431" s="9"/>
      <c r="G431" s="59"/>
      <c r="H431" s="9"/>
    </row>
    <row r="432">
      <c r="A432" s="9"/>
      <c r="B432" s="9"/>
      <c r="C432" s="9"/>
      <c r="D432" s="9"/>
      <c r="E432" s="9"/>
      <c r="F432" s="9"/>
      <c r="G432" s="59"/>
      <c r="H432" s="9"/>
    </row>
    <row r="433">
      <c r="A433" s="9"/>
      <c r="B433" s="9"/>
      <c r="C433" s="9"/>
      <c r="D433" s="9"/>
      <c r="E433" s="9"/>
      <c r="F433" s="9"/>
      <c r="G433" s="59"/>
      <c r="H433" s="9"/>
    </row>
    <row r="434">
      <c r="A434" s="9"/>
      <c r="B434" s="9"/>
      <c r="C434" s="9"/>
      <c r="D434" s="9"/>
      <c r="E434" s="9"/>
      <c r="F434" s="9"/>
      <c r="G434" s="59"/>
      <c r="H434" s="9"/>
    </row>
    <row r="435">
      <c r="A435" s="9"/>
      <c r="B435" s="9"/>
      <c r="C435" s="9"/>
      <c r="D435" s="9"/>
      <c r="E435" s="9"/>
      <c r="F435" s="9"/>
      <c r="G435" s="59"/>
      <c r="H435" s="9"/>
    </row>
    <row r="436">
      <c r="A436" s="9"/>
      <c r="B436" s="9"/>
      <c r="C436" s="9"/>
      <c r="D436" s="9"/>
      <c r="E436" s="9"/>
      <c r="F436" s="9"/>
      <c r="G436" s="59"/>
      <c r="H436" s="9"/>
    </row>
    <row r="437">
      <c r="A437" s="9"/>
      <c r="B437" s="9"/>
      <c r="C437" s="9"/>
      <c r="D437" s="9"/>
      <c r="E437" s="9"/>
      <c r="F437" s="9"/>
      <c r="G437" s="59"/>
      <c r="H437" s="9"/>
    </row>
    <row r="438">
      <c r="A438" s="9"/>
      <c r="B438" s="9"/>
      <c r="C438" s="9"/>
      <c r="D438" s="9"/>
      <c r="E438" s="9"/>
      <c r="F438" s="9"/>
      <c r="G438" s="59"/>
      <c r="H438" s="9"/>
    </row>
    <row r="439">
      <c r="A439" s="9"/>
      <c r="B439" s="9"/>
      <c r="C439" s="9"/>
      <c r="D439" s="9"/>
      <c r="E439" s="9"/>
      <c r="F439" s="9"/>
      <c r="G439" s="59"/>
      <c r="H439" s="9"/>
    </row>
    <row r="440">
      <c r="A440" s="9"/>
      <c r="B440" s="9"/>
      <c r="C440" s="9"/>
      <c r="D440" s="9"/>
      <c r="E440" s="9"/>
      <c r="F440" s="9"/>
      <c r="G440" s="59"/>
      <c r="H440" s="9"/>
    </row>
    <row r="441">
      <c r="A441" s="9"/>
      <c r="B441" s="9"/>
      <c r="C441" s="9"/>
      <c r="D441" s="9"/>
      <c r="E441" s="9"/>
      <c r="F441" s="9"/>
      <c r="G441" s="59"/>
      <c r="H441" s="9"/>
    </row>
    <row r="442">
      <c r="A442" s="9"/>
      <c r="B442" s="9"/>
      <c r="C442" s="9"/>
      <c r="D442" s="9"/>
      <c r="E442" s="9"/>
      <c r="F442" s="9"/>
      <c r="G442" s="59"/>
      <c r="H442" s="9"/>
    </row>
    <row r="443">
      <c r="A443" s="9"/>
      <c r="B443" s="9"/>
      <c r="C443" s="9"/>
      <c r="D443" s="9"/>
      <c r="E443" s="9"/>
      <c r="F443" s="9"/>
      <c r="G443" s="59"/>
      <c r="H443" s="9"/>
    </row>
    <row r="444">
      <c r="A444" s="9"/>
      <c r="B444" s="9"/>
      <c r="C444" s="9"/>
      <c r="D444" s="9"/>
      <c r="E444" s="9"/>
      <c r="F444" s="9"/>
      <c r="G444" s="59"/>
      <c r="H444" s="9"/>
    </row>
    <row r="445">
      <c r="A445" s="9"/>
      <c r="B445" s="9"/>
      <c r="C445" s="9"/>
      <c r="D445" s="9"/>
      <c r="E445" s="9"/>
      <c r="F445" s="9"/>
      <c r="G445" s="59"/>
      <c r="H445" s="9"/>
    </row>
    <row r="446">
      <c r="A446" s="9"/>
      <c r="B446" s="9"/>
      <c r="C446" s="9"/>
      <c r="D446" s="9"/>
      <c r="E446" s="9"/>
      <c r="F446" s="9"/>
      <c r="G446" s="59"/>
      <c r="H446" s="9"/>
    </row>
    <row r="447">
      <c r="A447" s="9"/>
      <c r="B447" s="9"/>
      <c r="C447" s="9"/>
      <c r="D447" s="9"/>
      <c r="E447" s="9"/>
      <c r="F447" s="9"/>
      <c r="G447" s="59"/>
      <c r="H447" s="9"/>
    </row>
    <row r="448">
      <c r="A448" s="9"/>
      <c r="B448" s="9"/>
      <c r="C448" s="9"/>
      <c r="D448" s="9"/>
      <c r="E448" s="9"/>
      <c r="F448" s="9"/>
      <c r="G448" s="59"/>
      <c r="H448" s="9"/>
    </row>
    <row r="449">
      <c r="A449" s="9"/>
      <c r="B449" s="9"/>
      <c r="C449" s="9"/>
      <c r="D449" s="9"/>
      <c r="E449" s="9"/>
      <c r="F449" s="9"/>
      <c r="G449" s="59"/>
      <c r="H449" s="9"/>
    </row>
    <row r="450">
      <c r="A450" s="9"/>
      <c r="B450" s="9"/>
      <c r="C450" s="9"/>
      <c r="D450" s="9"/>
      <c r="E450" s="9"/>
      <c r="F450" s="9"/>
      <c r="G450" s="59"/>
      <c r="H450" s="9"/>
    </row>
    <row r="451">
      <c r="A451" s="9"/>
      <c r="B451" s="9"/>
      <c r="C451" s="9"/>
      <c r="D451" s="9"/>
      <c r="E451" s="9"/>
      <c r="F451" s="9"/>
      <c r="G451" s="59"/>
      <c r="H451" s="9"/>
    </row>
    <row r="452">
      <c r="A452" s="9"/>
      <c r="B452" s="9"/>
      <c r="C452" s="9"/>
      <c r="D452" s="9"/>
      <c r="E452" s="9"/>
      <c r="F452" s="9"/>
      <c r="G452" s="59"/>
      <c r="H452" s="9"/>
    </row>
    <row r="453">
      <c r="A453" s="9"/>
      <c r="B453" s="9"/>
      <c r="C453" s="9"/>
      <c r="D453" s="9"/>
      <c r="E453" s="9"/>
      <c r="F453" s="9"/>
      <c r="G453" s="59"/>
      <c r="H453" s="9"/>
    </row>
    <row r="454">
      <c r="A454" s="9"/>
      <c r="B454" s="9"/>
      <c r="C454" s="9"/>
      <c r="D454" s="9"/>
      <c r="E454" s="9"/>
      <c r="F454" s="9"/>
      <c r="G454" s="59"/>
      <c r="H454" s="9"/>
    </row>
    <row r="455">
      <c r="A455" s="9"/>
      <c r="B455" s="9"/>
      <c r="C455" s="9"/>
      <c r="D455" s="9"/>
      <c r="E455" s="9"/>
      <c r="F455" s="9"/>
      <c r="G455" s="59"/>
      <c r="H455" s="9"/>
    </row>
    <row r="456">
      <c r="A456" s="9"/>
      <c r="B456" s="9"/>
      <c r="C456" s="9"/>
      <c r="D456" s="9"/>
      <c r="E456" s="9"/>
      <c r="F456" s="9"/>
      <c r="G456" s="59"/>
      <c r="H456" s="9"/>
    </row>
    <row r="457">
      <c r="A457" s="9"/>
      <c r="B457" s="9"/>
      <c r="C457" s="9"/>
      <c r="D457" s="9"/>
      <c r="E457" s="9"/>
      <c r="F457" s="9"/>
      <c r="G457" s="59"/>
      <c r="H457" s="9"/>
    </row>
    <row r="458">
      <c r="A458" s="9"/>
      <c r="B458" s="9"/>
      <c r="C458" s="9"/>
      <c r="D458" s="9"/>
      <c r="E458" s="9"/>
      <c r="F458" s="9"/>
      <c r="G458" s="59"/>
      <c r="H458" s="9"/>
    </row>
    <row r="459">
      <c r="A459" s="9"/>
      <c r="B459" s="9"/>
      <c r="C459" s="9"/>
      <c r="D459" s="9"/>
      <c r="E459" s="9"/>
      <c r="F459" s="9"/>
      <c r="G459" s="59"/>
      <c r="H459" s="9"/>
    </row>
    <row r="460">
      <c r="A460" s="9"/>
      <c r="B460" s="9"/>
      <c r="C460" s="9"/>
      <c r="D460" s="9"/>
      <c r="E460" s="9"/>
      <c r="F460" s="9"/>
      <c r="G460" s="59"/>
      <c r="H460" s="9"/>
    </row>
    <row r="461">
      <c r="A461" s="9"/>
      <c r="B461" s="9"/>
      <c r="C461" s="9"/>
      <c r="D461" s="9"/>
      <c r="E461" s="9"/>
      <c r="F461" s="9"/>
      <c r="G461" s="59"/>
      <c r="H461" s="9"/>
    </row>
    <row r="462">
      <c r="A462" s="9"/>
      <c r="B462" s="9"/>
      <c r="C462" s="9"/>
      <c r="D462" s="9"/>
      <c r="E462" s="9"/>
      <c r="F462" s="9"/>
      <c r="G462" s="59"/>
      <c r="H462" s="9"/>
    </row>
    <row r="463">
      <c r="A463" s="9"/>
      <c r="B463" s="9"/>
      <c r="C463" s="9"/>
      <c r="D463" s="9"/>
      <c r="E463" s="9"/>
      <c r="F463" s="9"/>
      <c r="G463" s="59"/>
      <c r="H463" s="9"/>
    </row>
    <row r="464">
      <c r="A464" s="9"/>
      <c r="B464" s="9"/>
      <c r="C464" s="9"/>
      <c r="D464" s="9"/>
      <c r="E464" s="9"/>
      <c r="F464" s="9"/>
      <c r="G464" s="59"/>
      <c r="H464" s="9"/>
    </row>
    <row r="465">
      <c r="A465" s="9"/>
      <c r="B465" s="9"/>
      <c r="C465" s="9"/>
      <c r="D465" s="9"/>
      <c r="E465" s="9"/>
      <c r="F465" s="9"/>
      <c r="G465" s="59"/>
      <c r="H465" s="9"/>
    </row>
    <row r="466">
      <c r="A466" s="9"/>
      <c r="B466" s="9"/>
      <c r="C466" s="9"/>
      <c r="D466" s="9"/>
      <c r="E466" s="9"/>
      <c r="F466" s="9"/>
      <c r="G466" s="59"/>
      <c r="H466" s="9"/>
    </row>
    <row r="467">
      <c r="A467" s="9"/>
      <c r="B467" s="9"/>
      <c r="C467" s="9"/>
      <c r="D467" s="9"/>
      <c r="E467" s="9"/>
      <c r="F467" s="9"/>
      <c r="G467" s="59"/>
      <c r="H467" s="9"/>
    </row>
    <row r="468">
      <c r="A468" s="9"/>
      <c r="B468" s="9"/>
      <c r="C468" s="9"/>
      <c r="D468" s="9"/>
      <c r="E468" s="9"/>
      <c r="F468" s="9"/>
      <c r="G468" s="59"/>
      <c r="H468" s="9"/>
    </row>
    <row r="469">
      <c r="A469" s="9"/>
      <c r="B469" s="9"/>
      <c r="C469" s="9"/>
      <c r="D469" s="9"/>
      <c r="E469" s="9"/>
      <c r="F469" s="9"/>
      <c r="G469" s="59"/>
      <c r="H469" s="9"/>
    </row>
    <row r="470">
      <c r="A470" s="9"/>
      <c r="B470" s="9"/>
      <c r="C470" s="9"/>
      <c r="D470" s="9"/>
      <c r="E470" s="9"/>
      <c r="F470" s="9"/>
      <c r="G470" s="59"/>
      <c r="H470" s="9"/>
    </row>
    <row r="471">
      <c r="A471" s="9"/>
      <c r="B471" s="9"/>
      <c r="C471" s="9"/>
      <c r="D471" s="9"/>
      <c r="E471" s="9"/>
      <c r="F471" s="9"/>
      <c r="G471" s="59"/>
      <c r="H471" s="9"/>
    </row>
    <row r="472">
      <c r="A472" s="9"/>
      <c r="B472" s="9"/>
      <c r="C472" s="9"/>
      <c r="D472" s="9"/>
      <c r="E472" s="9"/>
      <c r="F472" s="9"/>
      <c r="G472" s="59"/>
      <c r="H472" s="9"/>
    </row>
    <row r="473">
      <c r="A473" s="9"/>
      <c r="B473" s="9"/>
      <c r="C473" s="9"/>
      <c r="D473" s="9"/>
      <c r="E473" s="9"/>
      <c r="F473" s="9"/>
      <c r="G473" s="59"/>
      <c r="H473" s="9"/>
    </row>
    <row r="474">
      <c r="A474" s="9"/>
      <c r="B474" s="9"/>
      <c r="C474" s="9"/>
      <c r="D474" s="9"/>
      <c r="E474" s="9"/>
      <c r="F474" s="9"/>
      <c r="G474" s="59"/>
      <c r="H474" s="9"/>
    </row>
    <row r="475">
      <c r="A475" s="9"/>
      <c r="B475" s="9"/>
      <c r="C475" s="9"/>
      <c r="D475" s="9"/>
      <c r="E475" s="9"/>
      <c r="F475" s="9"/>
      <c r="G475" s="59"/>
      <c r="H475" s="9"/>
    </row>
    <row r="476">
      <c r="A476" s="9"/>
      <c r="B476" s="9"/>
      <c r="C476" s="9"/>
      <c r="D476" s="9"/>
      <c r="E476" s="9"/>
      <c r="F476" s="9"/>
      <c r="G476" s="59"/>
      <c r="H476" s="9"/>
    </row>
    <row r="477">
      <c r="A477" s="9"/>
      <c r="B477" s="9"/>
      <c r="C477" s="9"/>
      <c r="D477" s="9"/>
      <c r="E477" s="9"/>
      <c r="F477" s="9"/>
      <c r="G477" s="59"/>
      <c r="H477" s="9"/>
    </row>
    <row r="478">
      <c r="A478" s="9"/>
      <c r="B478" s="9"/>
      <c r="C478" s="9"/>
      <c r="D478" s="9"/>
      <c r="E478" s="9"/>
      <c r="F478" s="9"/>
      <c r="G478" s="59"/>
      <c r="H478" s="9"/>
    </row>
    <row r="479">
      <c r="A479" s="9"/>
      <c r="B479" s="9"/>
      <c r="C479" s="9"/>
      <c r="D479" s="9"/>
      <c r="E479" s="9"/>
      <c r="F479" s="9"/>
      <c r="G479" s="59"/>
      <c r="H479" s="9"/>
    </row>
    <row r="480">
      <c r="A480" s="9"/>
      <c r="B480" s="9"/>
      <c r="C480" s="9"/>
      <c r="D480" s="9"/>
      <c r="E480" s="9"/>
      <c r="F480" s="9"/>
      <c r="G480" s="59"/>
      <c r="H480" s="9"/>
    </row>
    <row r="481">
      <c r="A481" s="9"/>
      <c r="B481" s="9"/>
      <c r="C481" s="9"/>
      <c r="D481" s="9"/>
      <c r="E481" s="9"/>
      <c r="F481" s="9"/>
      <c r="G481" s="59"/>
      <c r="H481" s="9"/>
    </row>
    <row r="482">
      <c r="A482" s="9"/>
      <c r="B482" s="9"/>
      <c r="C482" s="9"/>
      <c r="D482" s="9"/>
      <c r="E482" s="9"/>
      <c r="F482" s="9"/>
      <c r="G482" s="59"/>
      <c r="H482" s="9"/>
    </row>
    <row r="483">
      <c r="A483" s="9"/>
      <c r="B483" s="9"/>
      <c r="C483" s="9"/>
      <c r="D483" s="9"/>
      <c r="E483" s="9"/>
      <c r="F483" s="9"/>
      <c r="G483" s="59"/>
      <c r="H483" s="9"/>
    </row>
    <row r="484">
      <c r="A484" s="9"/>
      <c r="B484" s="9"/>
      <c r="C484" s="9"/>
      <c r="D484" s="9"/>
      <c r="E484" s="9"/>
      <c r="F484" s="9"/>
      <c r="G484" s="59"/>
      <c r="H484" s="9"/>
    </row>
    <row r="485">
      <c r="A485" s="9"/>
      <c r="B485" s="9"/>
      <c r="C485" s="9"/>
      <c r="D485" s="9"/>
      <c r="E485" s="9"/>
      <c r="F485" s="9"/>
      <c r="G485" s="59"/>
      <c r="H485" s="9"/>
    </row>
    <row r="486">
      <c r="A486" s="9"/>
      <c r="B486" s="9"/>
      <c r="C486" s="9"/>
      <c r="D486" s="9"/>
      <c r="E486" s="9"/>
      <c r="F486" s="9"/>
      <c r="G486" s="59"/>
      <c r="H486" s="9"/>
    </row>
    <row r="487">
      <c r="A487" s="9"/>
      <c r="B487" s="9"/>
      <c r="C487" s="9"/>
      <c r="D487" s="9"/>
      <c r="E487" s="9"/>
      <c r="F487" s="9"/>
      <c r="G487" s="59"/>
      <c r="H487" s="9"/>
    </row>
    <row r="488">
      <c r="A488" s="9"/>
      <c r="B488" s="9"/>
      <c r="C488" s="9"/>
      <c r="D488" s="9"/>
      <c r="E488" s="9"/>
      <c r="F488" s="9"/>
      <c r="G488" s="59"/>
      <c r="H488" s="9"/>
    </row>
    <row r="489">
      <c r="A489" s="9"/>
      <c r="B489" s="9"/>
      <c r="C489" s="9"/>
      <c r="D489" s="9"/>
      <c r="E489" s="9"/>
      <c r="F489" s="9"/>
      <c r="G489" s="59"/>
      <c r="H489" s="9"/>
    </row>
    <row r="490">
      <c r="A490" s="9"/>
      <c r="B490" s="9"/>
      <c r="C490" s="9"/>
      <c r="D490" s="9"/>
      <c r="E490" s="9"/>
      <c r="F490" s="9"/>
      <c r="G490" s="59"/>
      <c r="H490" s="9"/>
    </row>
    <row r="491">
      <c r="A491" s="9"/>
      <c r="B491" s="9"/>
      <c r="C491" s="9"/>
      <c r="D491" s="9"/>
      <c r="E491" s="9"/>
      <c r="F491" s="9"/>
      <c r="G491" s="59"/>
      <c r="H491" s="9"/>
    </row>
    <row r="492">
      <c r="A492" s="9"/>
      <c r="B492" s="9"/>
      <c r="C492" s="9"/>
      <c r="D492" s="9"/>
      <c r="E492" s="9"/>
      <c r="F492" s="9"/>
      <c r="G492" s="59"/>
      <c r="H492" s="9"/>
    </row>
    <row r="493">
      <c r="A493" s="9"/>
      <c r="B493" s="9"/>
      <c r="C493" s="9"/>
      <c r="D493" s="9"/>
      <c r="E493" s="9"/>
      <c r="F493" s="9"/>
      <c r="G493" s="59"/>
      <c r="H493" s="9"/>
    </row>
    <row r="494">
      <c r="A494" s="9"/>
      <c r="B494" s="9"/>
      <c r="C494" s="9"/>
      <c r="D494" s="9"/>
      <c r="E494" s="9"/>
      <c r="F494" s="9"/>
      <c r="G494" s="59"/>
      <c r="H494" s="9"/>
    </row>
    <row r="495">
      <c r="A495" s="9"/>
      <c r="B495" s="9"/>
      <c r="C495" s="9"/>
      <c r="D495" s="9"/>
      <c r="E495" s="9"/>
      <c r="F495" s="9"/>
      <c r="G495" s="59"/>
      <c r="H495" s="9"/>
    </row>
    <row r="496">
      <c r="A496" s="9"/>
      <c r="B496" s="9"/>
      <c r="C496" s="9"/>
      <c r="D496" s="9"/>
      <c r="E496" s="9"/>
      <c r="F496" s="9"/>
      <c r="G496" s="59"/>
      <c r="H496" s="9"/>
    </row>
    <row r="497">
      <c r="A497" s="9"/>
      <c r="B497" s="9"/>
      <c r="C497" s="9"/>
      <c r="D497" s="9"/>
      <c r="E497" s="9"/>
      <c r="F497" s="9"/>
      <c r="G497" s="59"/>
      <c r="H497" s="9"/>
    </row>
    <row r="498">
      <c r="A498" s="9"/>
      <c r="B498" s="9"/>
      <c r="C498" s="9"/>
      <c r="D498" s="9"/>
      <c r="E498" s="9"/>
      <c r="F498" s="9"/>
      <c r="G498" s="59"/>
      <c r="H498" s="9"/>
    </row>
    <row r="499">
      <c r="A499" s="9"/>
      <c r="B499" s="9"/>
      <c r="C499" s="9"/>
      <c r="D499" s="9"/>
      <c r="E499" s="9"/>
      <c r="F499" s="9"/>
      <c r="G499" s="59"/>
      <c r="H499" s="9"/>
    </row>
    <row r="500">
      <c r="A500" s="9"/>
      <c r="B500" s="9"/>
      <c r="C500" s="9"/>
      <c r="D500" s="9"/>
      <c r="E500" s="9"/>
      <c r="F500" s="9"/>
      <c r="G500" s="59"/>
      <c r="H500" s="9"/>
    </row>
    <row r="501">
      <c r="A501" s="9"/>
      <c r="B501" s="9"/>
      <c r="C501" s="9"/>
      <c r="D501" s="9"/>
      <c r="E501" s="9"/>
      <c r="F501" s="9"/>
      <c r="G501" s="59"/>
      <c r="H501" s="9"/>
    </row>
    <row r="502">
      <c r="A502" s="9"/>
      <c r="B502" s="9"/>
      <c r="C502" s="9"/>
      <c r="D502" s="9"/>
      <c r="E502" s="9"/>
      <c r="F502" s="9"/>
      <c r="G502" s="59"/>
      <c r="H502" s="9"/>
    </row>
    <row r="503">
      <c r="A503" s="9"/>
      <c r="B503" s="9"/>
      <c r="C503" s="9"/>
      <c r="D503" s="9"/>
      <c r="E503" s="9"/>
      <c r="F503" s="9"/>
      <c r="G503" s="59"/>
      <c r="H503" s="9"/>
    </row>
    <row r="504">
      <c r="A504" s="9"/>
      <c r="B504" s="9"/>
      <c r="C504" s="9"/>
      <c r="D504" s="9"/>
      <c r="E504" s="9"/>
      <c r="F504" s="9"/>
      <c r="G504" s="59"/>
      <c r="H504" s="9"/>
    </row>
    <row r="505">
      <c r="A505" s="9"/>
      <c r="B505" s="9"/>
      <c r="C505" s="9"/>
      <c r="D505" s="9"/>
      <c r="E505" s="9"/>
      <c r="F505" s="9"/>
      <c r="G505" s="59"/>
      <c r="H505" s="9"/>
    </row>
    <row r="506">
      <c r="A506" s="9"/>
      <c r="B506" s="9"/>
      <c r="C506" s="9"/>
      <c r="D506" s="9"/>
      <c r="E506" s="9"/>
      <c r="F506" s="9"/>
      <c r="G506" s="59"/>
      <c r="H506" s="9"/>
    </row>
    <row r="507">
      <c r="A507" s="9"/>
      <c r="B507" s="9"/>
      <c r="C507" s="9"/>
      <c r="D507" s="9"/>
      <c r="E507" s="9"/>
      <c r="F507" s="9"/>
      <c r="G507" s="59"/>
      <c r="H507" s="9"/>
    </row>
    <row r="508">
      <c r="A508" s="9"/>
      <c r="B508" s="9"/>
      <c r="C508" s="9"/>
      <c r="D508" s="9"/>
      <c r="E508" s="9"/>
      <c r="F508" s="9"/>
      <c r="G508" s="59"/>
      <c r="H508" s="9"/>
    </row>
    <row r="509">
      <c r="A509" s="9"/>
      <c r="B509" s="9"/>
      <c r="C509" s="9"/>
      <c r="D509" s="9"/>
      <c r="E509" s="9"/>
      <c r="F509" s="9"/>
      <c r="G509" s="59"/>
      <c r="H509" s="9"/>
    </row>
    <row r="510">
      <c r="A510" s="9"/>
      <c r="B510" s="9"/>
      <c r="C510" s="9"/>
      <c r="D510" s="9"/>
      <c r="E510" s="9"/>
      <c r="F510" s="9"/>
      <c r="G510" s="59"/>
      <c r="H510" s="9"/>
    </row>
    <row r="511">
      <c r="A511" s="9"/>
      <c r="B511" s="9"/>
      <c r="C511" s="9"/>
      <c r="D511" s="9"/>
      <c r="E511" s="9"/>
      <c r="F511" s="9"/>
      <c r="G511" s="59"/>
      <c r="H511" s="9"/>
    </row>
    <row r="512">
      <c r="A512" s="9"/>
      <c r="B512" s="9"/>
      <c r="C512" s="9"/>
      <c r="D512" s="9"/>
      <c r="E512" s="9"/>
      <c r="F512" s="9"/>
      <c r="G512" s="59"/>
      <c r="H512" s="9"/>
    </row>
    <row r="513">
      <c r="A513" s="9"/>
      <c r="B513" s="9"/>
      <c r="C513" s="9"/>
      <c r="D513" s="9"/>
      <c r="E513" s="9"/>
      <c r="F513" s="9"/>
      <c r="G513" s="59"/>
      <c r="H513" s="9"/>
    </row>
    <row r="514">
      <c r="A514" s="9"/>
      <c r="B514" s="9"/>
      <c r="C514" s="9"/>
      <c r="D514" s="9"/>
      <c r="E514" s="9"/>
      <c r="F514" s="9"/>
      <c r="G514" s="59"/>
      <c r="H514" s="9"/>
    </row>
    <row r="515">
      <c r="A515" s="9"/>
      <c r="B515" s="9"/>
      <c r="C515" s="9"/>
      <c r="D515" s="9"/>
      <c r="E515" s="9"/>
      <c r="F515" s="9"/>
      <c r="G515" s="59"/>
      <c r="H515" s="9"/>
    </row>
    <row r="516">
      <c r="A516" s="9"/>
      <c r="B516" s="9"/>
      <c r="C516" s="9"/>
      <c r="D516" s="9"/>
      <c r="E516" s="9"/>
      <c r="F516" s="9"/>
      <c r="G516" s="59"/>
      <c r="H516" s="9"/>
    </row>
    <row r="517">
      <c r="A517" s="9"/>
      <c r="B517" s="9"/>
      <c r="C517" s="9"/>
      <c r="D517" s="9"/>
      <c r="E517" s="9"/>
      <c r="F517" s="9"/>
      <c r="G517" s="59"/>
      <c r="H517" s="9"/>
    </row>
    <row r="518">
      <c r="A518" s="9"/>
      <c r="B518" s="9"/>
      <c r="C518" s="9"/>
      <c r="D518" s="9"/>
      <c r="E518" s="9"/>
      <c r="F518" s="9"/>
      <c r="G518" s="59"/>
      <c r="H518" s="9"/>
    </row>
    <row r="519">
      <c r="A519" s="9"/>
      <c r="B519" s="9"/>
      <c r="C519" s="9"/>
      <c r="D519" s="9"/>
      <c r="E519" s="9"/>
      <c r="F519" s="9"/>
      <c r="G519" s="59"/>
      <c r="H519" s="9"/>
    </row>
    <row r="520">
      <c r="A520" s="9"/>
      <c r="B520" s="9"/>
      <c r="C520" s="9"/>
      <c r="D520" s="9"/>
      <c r="E520" s="9"/>
      <c r="F520" s="9"/>
      <c r="G520" s="59"/>
      <c r="H520" s="9"/>
    </row>
    <row r="521">
      <c r="A521" s="9"/>
      <c r="B521" s="9"/>
      <c r="C521" s="9"/>
      <c r="D521" s="9"/>
      <c r="E521" s="9"/>
      <c r="F521" s="9"/>
      <c r="G521" s="59"/>
      <c r="H521" s="9"/>
    </row>
    <row r="522">
      <c r="A522" s="9"/>
      <c r="B522" s="9"/>
      <c r="C522" s="9"/>
      <c r="D522" s="9"/>
      <c r="E522" s="9"/>
      <c r="F522" s="9"/>
      <c r="G522" s="59"/>
      <c r="H522" s="9"/>
    </row>
    <row r="523">
      <c r="A523" s="9"/>
      <c r="B523" s="9"/>
      <c r="C523" s="9"/>
      <c r="D523" s="9"/>
      <c r="E523" s="9"/>
      <c r="F523" s="9"/>
      <c r="G523" s="59"/>
      <c r="H523" s="9"/>
    </row>
    <row r="524">
      <c r="A524" s="9"/>
      <c r="B524" s="9"/>
      <c r="C524" s="9"/>
      <c r="D524" s="9"/>
      <c r="E524" s="9"/>
      <c r="F524" s="9"/>
      <c r="G524" s="59"/>
      <c r="H524" s="9"/>
    </row>
    <row r="525">
      <c r="A525" s="9"/>
      <c r="B525" s="9"/>
      <c r="C525" s="9"/>
      <c r="D525" s="9"/>
      <c r="E525" s="9"/>
      <c r="F525" s="9"/>
      <c r="G525" s="59"/>
      <c r="H525" s="9"/>
    </row>
    <row r="526">
      <c r="A526" s="9"/>
      <c r="B526" s="9"/>
      <c r="C526" s="9"/>
      <c r="D526" s="9"/>
      <c r="E526" s="9"/>
      <c r="F526" s="9"/>
      <c r="G526" s="59"/>
      <c r="H526" s="9"/>
    </row>
    <row r="527">
      <c r="A527" s="9"/>
      <c r="B527" s="9"/>
      <c r="C527" s="9"/>
      <c r="D527" s="9"/>
      <c r="E527" s="9"/>
      <c r="F527" s="9"/>
      <c r="G527" s="59"/>
      <c r="H527" s="9"/>
    </row>
    <row r="528">
      <c r="A528" s="9"/>
      <c r="B528" s="9"/>
      <c r="C528" s="9"/>
      <c r="D528" s="9"/>
      <c r="E528" s="9"/>
      <c r="F528" s="9"/>
      <c r="G528" s="59"/>
      <c r="H528" s="9"/>
    </row>
    <row r="529">
      <c r="A529" s="9"/>
      <c r="B529" s="9"/>
      <c r="C529" s="9"/>
      <c r="D529" s="9"/>
      <c r="E529" s="9"/>
      <c r="F529" s="9"/>
      <c r="G529" s="59"/>
      <c r="H529" s="9"/>
    </row>
    <row r="530">
      <c r="A530" s="9"/>
      <c r="B530" s="9"/>
      <c r="C530" s="9"/>
      <c r="D530" s="9"/>
      <c r="E530" s="9"/>
      <c r="F530" s="9"/>
      <c r="G530" s="59"/>
      <c r="H530" s="9"/>
    </row>
    <row r="531">
      <c r="A531" s="9"/>
      <c r="B531" s="9"/>
      <c r="C531" s="9"/>
      <c r="D531" s="9"/>
      <c r="E531" s="9"/>
      <c r="F531" s="9"/>
      <c r="G531" s="59"/>
      <c r="H531" s="9"/>
    </row>
    <row r="532">
      <c r="A532" s="9"/>
      <c r="B532" s="9"/>
      <c r="C532" s="9"/>
      <c r="D532" s="9"/>
      <c r="E532" s="9"/>
      <c r="F532" s="9"/>
      <c r="G532" s="59"/>
      <c r="H532" s="9"/>
    </row>
    <row r="533">
      <c r="A533" s="9"/>
      <c r="B533" s="9"/>
      <c r="C533" s="9"/>
      <c r="D533" s="9"/>
      <c r="E533" s="9"/>
      <c r="F533" s="9"/>
      <c r="G533" s="59"/>
      <c r="H533" s="9"/>
    </row>
    <row r="534">
      <c r="A534" s="9"/>
      <c r="B534" s="9"/>
      <c r="C534" s="9"/>
      <c r="D534" s="9"/>
      <c r="E534" s="9"/>
      <c r="F534" s="9"/>
      <c r="G534" s="59"/>
      <c r="H534" s="9"/>
    </row>
    <row r="535">
      <c r="A535" s="9"/>
      <c r="B535" s="9"/>
      <c r="C535" s="9"/>
      <c r="D535" s="9"/>
      <c r="E535" s="9"/>
      <c r="F535" s="9"/>
      <c r="G535" s="59"/>
      <c r="H535" s="9"/>
    </row>
    <row r="536">
      <c r="A536" s="9"/>
      <c r="B536" s="9"/>
      <c r="C536" s="9"/>
      <c r="D536" s="9"/>
      <c r="E536" s="9"/>
      <c r="F536" s="9"/>
      <c r="G536" s="59"/>
      <c r="H536" s="9"/>
    </row>
    <row r="537">
      <c r="A537" s="9"/>
      <c r="B537" s="9"/>
      <c r="C537" s="9"/>
      <c r="D537" s="9"/>
      <c r="E537" s="9"/>
      <c r="F537" s="9"/>
      <c r="G537" s="59"/>
      <c r="H537" s="9"/>
    </row>
    <row r="538">
      <c r="A538" s="9"/>
      <c r="B538" s="9"/>
      <c r="C538" s="9"/>
      <c r="D538" s="9"/>
      <c r="E538" s="9"/>
      <c r="F538" s="9"/>
      <c r="G538" s="59"/>
      <c r="H538" s="9"/>
    </row>
    <row r="539">
      <c r="A539" s="9"/>
      <c r="B539" s="9"/>
      <c r="C539" s="9"/>
      <c r="D539" s="9"/>
      <c r="E539" s="9"/>
      <c r="F539" s="9"/>
      <c r="G539" s="59"/>
      <c r="H539" s="9"/>
    </row>
    <row r="540">
      <c r="A540" s="9"/>
      <c r="B540" s="9"/>
      <c r="C540" s="9"/>
      <c r="D540" s="9"/>
      <c r="E540" s="9"/>
      <c r="F540" s="9"/>
      <c r="G540" s="59"/>
      <c r="H540" s="9"/>
    </row>
    <row r="541">
      <c r="A541" s="9"/>
      <c r="B541" s="9"/>
      <c r="C541" s="9"/>
      <c r="D541" s="9"/>
      <c r="E541" s="9"/>
      <c r="F541" s="9"/>
      <c r="G541" s="59"/>
      <c r="H541" s="9"/>
    </row>
    <row r="542">
      <c r="A542" s="9"/>
      <c r="B542" s="9"/>
      <c r="C542" s="9"/>
      <c r="D542" s="9"/>
      <c r="E542" s="9"/>
      <c r="F542" s="9"/>
      <c r="G542" s="59"/>
      <c r="H542" s="9"/>
    </row>
    <row r="543">
      <c r="A543" s="9"/>
      <c r="B543" s="9"/>
      <c r="C543" s="9"/>
      <c r="D543" s="9"/>
      <c r="E543" s="9"/>
      <c r="F543" s="9"/>
      <c r="G543" s="59"/>
      <c r="H543" s="9"/>
    </row>
    <row r="544">
      <c r="A544" s="9"/>
      <c r="B544" s="9"/>
      <c r="C544" s="9"/>
      <c r="D544" s="9"/>
      <c r="E544" s="9"/>
      <c r="F544" s="9"/>
      <c r="G544" s="59"/>
      <c r="H544" s="9"/>
    </row>
    <row r="545">
      <c r="A545" s="9"/>
      <c r="B545" s="9"/>
      <c r="C545" s="9"/>
      <c r="D545" s="9"/>
      <c r="E545" s="9"/>
      <c r="F545" s="9"/>
      <c r="G545" s="59"/>
      <c r="H545" s="9"/>
    </row>
    <row r="546">
      <c r="A546" s="9"/>
      <c r="B546" s="9"/>
      <c r="C546" s="9"/>
      <c r="D546" s="9"/>
      <c r="E546" s="9"/>
      <c r="F546" s="9"/>
      <c r="G546" s="59"/>
      <c r="H546" s="9"/>
    </row>
    <row r="547">
      <c r="A547" s="9"/>
      <c r="B547" s="9"/>
      <c r="C547" s="9"/>
      <c r="D547" s="9"/>
      <c r="E547" s="9"/>
      <c r="F547" s="9"/>
      <c r="G547" s="59"/>
      <c r="H547" s="9"/>
    </row>
    <row r="548">
      <c r="A548" s="9"/>
      <c r="B548" s="9"/>
      <c r="C548" s="9"/>
      <c r="D548" s="9"/>
      <c r="E548" s="9"/>
      <c r="F548" s="9"/>
      <c r="G548" s="59"/>
      <c r="H548" s="9"/>
    </row>
    <row r="549">
      <c r="A549" s="9"/>
      <c r="B549" s="9"/>
      <c r="C549" s="9"/>
      <c r="D549" s="9"/>
      <c r="E549" s="9"/>
      <c r="F549" s="9"/>
      <c r="G549" s="59"/>
      <c r="H549" s="9"/>
    </row>
    <row r="550">
      <c r="A550" s="9"/>
      <c r="B550" s="9"/>
      <c r="C550" s="9"/>
      <c r="D550" s="9"/>
      <c r="E550" s="9"/>
      <c r="F550" s="9"/>
      <c r="G550" s="59"/>
      <c r="H550" s="9"/>
    </row>
    <row r="551">
      <c r="A551" s="9"/>
      <c r="B551" s="9"/>
      <c r="C551" s="9"/>
      <c r="D551" s="9"/>
      <c r="E551" s="9"/>
      <c r="F551" s="9"/>
      <c r="G551" s="59"/>
      <c r="H551" s="9"/>
    </row>
    <row r="552">
      <c r="A552" s="9"/>
      <c r="B552" s="9"/>
      <c r="C552" s="9"/>
      <c r="D552" s="9"/>
      <c r="E552" s="9"/>
      <c r="F552" s="9"/>
      <c r="G552" s="59"/>
      <c r="H552" s="9"/>
    </row>
    <row r="553">
      <c r="A553" s="9"/>
      <c r="B553" s="9"/>
      <c r="C553" s="9"/>
      <c r="D553" s="9"/>
      <c r="E553" s="9"/>
      <c r="F553" s="9"/>
      <c r="G553" s="59"/>
      <c r="H553" s="9"/>
    </row>
    <row r="554">
      <c r="A554" s="9"/>
      <c r="B554" s="9"/>
      <c r="C554" s="9"/>
      <c r="D554" s="9"/>
      <c r="E554" s="9"/>
      <c r="F554" s="9"/>
      <c r="G554" s="59"/>
      <c r="H554" s="9"/>
    </row>
    <row r="555">
      <c r="A555" s="9"/>
      <c r="B555" s="9"/>
      <c r="C555" s="9"/>
      <c r="D555" s="9"/>
      <c r="E555" s="9"/>
      <c r="F555" s="9"/>
      <c r="G555" s="59"/>
      <c r="H555" s="9"/>
    </row>
    <row r="556">
      <c r="A556" s="9"/>
      <c r="B556" s="9"/>
      <c r="C556" s="9"/>
      <c r="D556" s="9"/>
      <c r="E556" s="9"/>
      <c r="F556" s="9"/>
      <c r="G556" s="59"/>
      <c r="H556" s="9"/>
    </row>
    <row r="557">
      <c r="A557" s="9"/>
      <c r="B557" s="9"/>
      <c r="C557" s="9"/>
      <c r="D557" s="9"/>
      <c r="E557" s="9"/>
      <c r="F557" s="9"/>
      <c r="G557" s="59"/>
      <c r="H557" s="9"/>
    </row>
    <row r="558">
      <c r="A558" s="9"/>
      <c r="B558" s="9"/>
      <c r="C558" s="9"/>
      <c r="D558" s="9"/>
      <c r="E558" s="9"/>
      <c r="F558" s="9"/>
      <c r="G558" s="59"/>
      <c r="H558" s="9"/>
    </row>
    <row r="559">
      <c r="A559" s="9"/>
      <c r="B559" s="9"/>
      <c r="C559" s="9"/>
      <c r="D559" s="9"/>
      <c r="E559" s="9"/>
      <c r="F559" s="9"/>
      <c r="G559" s="59"/>
      <c r="H559" s="9"/>
    </row>
    <row r="560">
      <c r="A560" s="9"/>
      <c r="B560" s="9"/>
      <c r="C560" s="9"/>
      <c r="D560" s="9"/>
      <c r="E560" s="9"/>
      <c r="F560" s="9"/>
      <c r="G560" s="59"/>
      <c r="H560" s="9"/>
    </row>
    <row r="561">
      <c r="A561" s="9"/>
      <c r="B561" s="9"/>
      <c r="C561" s="9"/>
      <c r="D561" s="9"/>
      <c r="E561" s="9"/>
      <c r="F561" s="9"/>
      <c r="G561" s="59"/>
      <c r="H561" s="9"/>
    </row>
    <row r="562">
      <c r="A562" s="9"/>
      <c r="B562" s="9"/>
      <c r="C562" s="9"/>
      <c r="D562" s="9"/>
      <c r="E562" s="9"/>
      <c r="F562" s="9"/>
      <c r="G562" s="59"/>
      <c r="H562" s="9"/>
    </row>
    <row r="563">
      <c r="A563" s="9"/>
      <c r="B563" s="9"/>
      <c r="C563" s="9"/>
      <c r="D563" s="9"/>
      <c r="E563" s="9"/>
      <c r="F563" s="9"/>
      <c r="G563" s="59"/>
      <c r="H563" s="9"/>
    </row>
    <row r="564">
      <c r="A564" s="9"/>
      <c r="B564" s="9"/>
      <c r="C564" s="9"/>
      <c r="D564" s="9"/>
      <c r="E564" s="9"/>
      <c r="F564" s="9"/>
      <c r="G564" s="59"/>
      <c r="H564" s="9"/>
    </row>
    <row r="565">
      <c r="A565" s="9"/>
      <c r="B565" s="9"/>
      <c r="C565" s="9"/>
      <c r="D565" s="9"/>
      <c r="E565" s="9"/>
      <c r="F565" s="9"/>
      <c r="G565" s="59"/>
      <c r="H565" s="9"/>
    </row>
    <row r="566">
      <c r="A566" s="9"/>
      <c r="B566" s="9"/>
      <c r="C566" s="9"/>
      <c r="D566" s="9"/>
      <c r="E566" s="9"/>
      <c r="F566" s="9"/>
      <c r="G566" s="59"/>
      <c r="H566" s="9"/>
    </row>
    <row r="567">
      <c r="A567" s="9"/>
      <c r="B567" s="9"/>
      <c r="C567" s="9"/>
      <c r="D567" s="9"/>
      <c r="E567" s="9"/>
      <c r="F567" s="9"/>
      <c r="G567" s="59"/>
      <c r="H567" s="9"/>
    </row>
    <row r="568">
      <c r="A568" s="9"/>
      <c r="B568" s="9"/>
      <c r="C568" s="9"/>
      <c r="D568" s="9"/>
      <c r="E568" s="9"/>
      <c r="F568" s="9"/>
      <c r="G568" s="59"/>
      <c r="H568" s="9"/>
    </row>
    <row r="569">
      <c r="A569" s="9"/>
      <c r="B569" s="9"/>
      <c r="C569" s="9"/>
      <c r="D569" s="9"/>
      <c r="E569" s="9"/>
      <c r="F569" s="9"/>
      <c r="G569" s="59"/>
      <c r="H569" s="9"/>
    </row>
    <row r="570">
      <c r="A570" s="9"/>
      <c r="B570" s="9"/>
      <c r="C570" s="9"/>
      <c r="D570" s="9"/>
      <c r="E570" s="9"/>
      <c r="F570" s="9"/>
      <c r="G570" s="59"/>
      <c r="H570" s="9"/>
    </row>
    <row r="571">
      <c r="A571" s="9"/>
      <c r="B571" s="9"/>
      <c r="C571" s="9"/>
      <c r="D571" s="9"/>
      <c r="E571" s="9"/>
      <c r="F571" s="9"/>
      <c r="G571" s="59"/>
      <c r="H571" s="9"/>
    </row>
    <row r="572">
      <c r="A572" s="9"/>
      <c r="B572" s="9"/>
      <c r="C572" s="9"/>
      <c r="D572" s="9"/>
      <c r="E572" s="9"/>
      <c r="F572" s="9"/>
      <c r="G572" s="59"/>
      <c r="H572" s="9"/>
    </row>
    <row r="573">
      <c r="A573" s="9"/>
      <c r="B573" s="9"/>
      <c r="C573" s="9"/>
      <c r="D573" s="9"/>
      <c r="E573" s="9"/>
      <c r="F573" s="9"/>
      <c r="G573" s="59"/>
      <c r="H573" s="9"/>
    </row>
    <row r="574">
      <c r="A574" s="9"/>
      <c r="B574" s="9"/>
      <c r="C574" s="9"/>
      <c r="D574" s="9"/>
      <c r="E574" s="9"/>
      <c r="F574" s="9"/>
      <c r="G574" s="59"/>
      <c r="H574" s="9"/>
    </row>
    <row r="575">
      <c r="A575" s="9"/>
      <c r="B575" s="9"/>
      <c r="C575" s="9"/>
      <c r="D575" s="9"/>
      <c r="E575" s="9"/>
      <c r="F575" s="9"/>
      <c r="G575" s="59"/>
      <c r="H575" s="9"/>
    </row>
    <row r="576">
      <c r="A576" s="9"/>
      <c r="B576" s="9"/>
      <c r="C576" s="9"/>
      <c r="D576" s="9"/>
      <c r="E576" s="9"/>
      <c r="F576" s="9"/>
      <c r="G576" s="59"/>
      <c r="H576" s="9"/>
    </row>
    <row r="577">
      <c r="A577" s="9"/>
      <c r="B577" s="9"/>
      <c r="C577" s="9"/>
      <c r="D577" s="9"/>
      <c r="E577" s="9"/>
      <c r="F577" s="9"/>
      <c r="G577" s="59"/>
      <c r="H577" s="9"/>
    </row>
    <row r="578">
      <c r="A578" s="9"/>
      <c r="B578" s="9"/>
      <c r="C578" s="9"/>
      <c r="D578" s="9"/>
      <c r="E578" s="9"/>
      <c r="F578" s="9"/>
      <c r="G578" s="59"/>
      <c r="H578" s="9"/>
    </row>
    <row r="579">
      <c r="A579" s="9"/>
      <c r="B579" s="9"/>
      <c r="C579" s="9"/>
      <c r="D579" s="9"/>
      <c r="E579" s="9"/>
      <c r="F579" s="9"/>
      <c r="G579" s="59"/>
      <c r="H579" s="9"/>
    </row>
    <row r="580">
      <c r="A580" s="9"/>
      <c r="B580" s="9"/>
      <c r="C580" s="9"/>
      <c r="D580" s="9"/>
      <c r="E580" s="9"/>
      <c r="F580" s="9"/>
      <c r="G580" s="59"/>
      <c r="H580" s="9"/>
    </row>
    <row r="581">
      <c r="A581" s="9"/>
      <c r="B581" s="9"/>
      <c r="C581" s="9"/>
      <c r="D581" s="9"/>
      <c r="E581" s="9"/>
      <c r="F581" s="9"/>
      <c r="G581" s="59"/>
      <c r="H581" s="9"/>
    </row>
    <row r="582">
      <c r="A582" s="9"/>
      <c r="B582" s="9"/>
      <c r="C582" s="9"/>
      <c r="D582" s="9"/>
      <c r="E582" s="9"/>
      <c r="F582" s="9"/>
      <c r="G582" s="59"/>
      <c r="H582" s="9"/>
    </row>
    <row r="583">
      <c r="A583" s="9"/>
      <c r="B583" s="9"/>
      <c r="C583" s="9"/>
      <c r="D583" s="9"/>
      <c r="E583" s="9"/>
      <c r="F583" s="9"/>
      <c r="G583" s="59"/>
      <c r="H583" s="9"/>
    </row>
    <row r="584">
      <c r="A584" s="9"/>
      <c r="B584" s="9"/>
      <c r="C584" s="9"/>
      <c r="D584" s="9"/>
      <c r="E584" s="9"/>
      <c r="F584" s="9"/>
      <c r="G584" s="59"/>
      <c r="H584" s="9"/>
    </row>
    <row r="585">
      <c r="A585" s="9"/>
      <c r="B585" s="9"/>
      <c r="C585" s="9"/>
      <c r="D585" s="9"/>
      <c r="E585" s="9"/>
      <c r="F585" s="9"/>
      <c r="G585" s="59"/>
      <c r="H585" s="9"/>
    </row>
    <row r="586">
      <c r="A586" s="9"/>
      <c r="B586" s="9"/>
      <c r="C586" s="9"/>
      <c r="D586" s="9"/>
      <c r="E586" s="9"/>
      <c r="F586" s="9"/>
      <c r="G586" s="59"/>
      <c r="H586" s="9"/>
    </row>
    <row r="587">
      <c r="A587" s="9"/>
      <c r="B587" s="9"/>
      <c r="C587" s="9"/>
      <c r="D587" s="9"/>
      <c r="E587" s="9"/>
      <c r="F587" s="9"/>
      <c r="G587" s="59"/>
      <c r="H587" s="9"/>
    </row>
    <row r="588">
      <c r="A588" s="9"/>
      <c r="B588" s="9"/>
      <c r="C588" s="9"/>
      <c r="D588" s="9"/>
      <c r="E588" s="9"/>
      <c r="F588" s="9"/>
      <c r="G588" s="59"/>
      <c r="H588" s="9"/>
    </row>
    <row r="589">
      <c r="A589" s="9"/>
      <c r="B589" s="9"/>
      <c r="C589" s="9"/>
      <c r="D589" s="9"/>
      <c r="E589" s="9"/>
      <c r="F589" s="9"/>
      <c r="G589" s="59"/>
      <c r="H589" s="9"/>
    </row>
    <row r="590">
      <c r="A590" s="9"/>
      <c r="B590" s="9"/>
      <c r="C590" s="9"/>
      <c r="D590" s="9"/>
      <c r="E590" s="9"/>
      <c r="F590" s="9"/>
      <c r="G590" s="59"/>
      <c r="H590" s="9"/>
    </row>
    <row r="591">
      <c r="A591" s="9"/>
      <c r="B591" s="9"/>
      <c r="C591" s="9"/>
      <c r="D591" s="9"/>
      <c r="E591" s="9"/>
      <c r="F591" s="9"/>
      <c r="G591" s="59"/>
      <c r="H591" s="9"/>
    </row>
    <row r="592">
      <c r="A592" s="9"/>
      <c r="B592" s="9"/>
      <c r="C592" s="9"/>
      <c r="D592" s="9"/>
      <c r="E592" s="9"/>
      <c r="F592" s="9"/>
      <c r="G592" s="59"/>
      <c r="H592" s="9"/>
    </row>
    <row r="593">
      <c r="A593" s="9"/>
      <c r="B593" s="9"/>
      <c r="C593" s="9"/>
      <c r="D593" s="9"/>
      <c r="E593" s="9"/>
      <c r="F593" s="9"/>
      <c r="G593" s="59"/>
      <c r="H593" s="9"/>
    </row>
    <row r="594">
      <c r="A594" s="9"/>
      <c r="B594" s="9"/>
      <c r="C594" s="9"/>
      <c r="D594" s="9"/>
      <c r="E594" s="9"/>
      <c r="F594" s="9"/>
      <c r="G594" s="59"/>
      <c r="H594" s="9"/>
    </row>
    <row r="595">
      <c r="A595" s="9"/>
      <c r="B595" s="9"/>
      <c r="C595" s="9"/>
      <c r="D595" s="9"/>
      <c r="E595" s="9"/>
      <c r="F595" s="9"/>
      <c r="G595" s="59"/>
      <c r="H595" s="9"/>
    </row>
    <row r="596">
      <c r="A596" s="9"/>
      <c r="B596" s="9"/>
      <c r="C596" s="9"/>
      <c r="D596" s="9"/>
      <c r="E596" s="9"/>
      <c r="F596" s="9"/>
      <c r="G596" s="59"/>
      <c r="H596" s="9"/>
    </row>
    <row r="597">
      <c r="A597" s="9"/>
      <c r="B597" s="9"/>
      <c r="C597" s="9"/>
      <c r="D597" s="9"/>
      <c r="E597" s="9"/>
      <c r="F597" s="9"/>
      <c r="G597" s="59"/>
      <c r="H597" s="9"/>
    </row>
    <row r="598">
      <c r="A598" s="9"/>
      <c r="B598" s="9"/>
      <c r="C598" s="9"/>
      <c r="D598" s="9"/>
      <c r="E598" s="9"/>
      <c r="F598" s="9"/>
      <c r="G598" s="59"/>
      <c r="H598" s="9"/>
    </row>
    <row r="599">
      <c r="A599" s="9"/>
      <c r="B599" s="9"/>
      <c r="C599" s="9"/>
      <c r="D599" s="9"/>
      <c r="E599" s="9"/>
      <c r="F599" s="9"/>
      <c r="G599" s="59"/>
      <c r="H599" s="9"/>
    </row>
    <row r="600">
      <c r="A600" s="9"/>
      <c r="B600" s="9"/>
      <c r="C600" s="9"/>
      <c r="D600" s="9"/>
      <c r="E600" s="9"/>
      <c r="F600" s="9"/>
      <c r="G600" s="59"/>
      <c r="H600" s="9"/>
    </row>
    <row r="601">
      <c r="A601" s="9"/>
      <c r="B601" s="9"/>
      <c r="C601" s="9"/>
      <c r="D601" s="9"/>
      <c r="E601" s="9"/>
      <c r="F601" s="9"/>
      <c r="G601" s="59"/>
      <c r="H601" s="9"/>
    </row>
    <row r="602">
      <c r="A602" s="9"/>
      <c r="B602" s="9"/>
      <c r="C602" s="9"/>
      <c r="D602" s="9"/>
      <c r="E602" s="9"/>
      <c r="F602" s="9"/>
      <c r="G602" s="59"/>
      <c r="H602" s="9"/>
    </row>
    <row r="603">
      <c r="A603" s="9"/>
      <c r="B603" s="9"/>
      <c r="C603" s="9"/>
      <c r="D603" s="9"/>
      <c r="E603" s="9"/>
      <c r="F603" s="9"/>
      <c r="G603" s="59"/>
      <c r="H603" s="9"/>
    </row>
    <row r="604">
      <c r="A604" s="9"/>
      <c r="B604" s="9"/>
      <c r="C604" s="9"/>
      <c r="D604" s="9"/>
      <c r="E604" s="9"/>
      <c r="F604" s="9"/>
      <c r="G604" s="59"/>
      <c r="H604" s="9"/>
    </row>
    <row r="605">
      <c r="A605" s="9"/>
      <c r="B605" s="9"/>
      <c r="C605" s="9"/>
      <c r="D605" s="9"/>
      <c r="E605" s="9"/>
      <c r="F605" s="9"/>
      <c r="G605" s="59"/>
      <c r="H605" s="9"/>
    </row>
    <row r="606">
      <c r="A606" s="9"/>
      <c r="B606" s="9"/>
      <c r="C606" s="9"/>
      <c r="D606" s="9"/>
      <c r="E606" s="9"/>
      <c r="F606" s="9"/>
      <c r="G606" s="59"/>
      <c r="H606" s="9"/>
    </row>
    <row r="607">
      <c r="A607" s="9"/>
      <c r="B607" s="9"/>
      <c r="C607" s="9"/>
      <c r="D607" s="9"/>
      <c r="E607" s="9"/>
      <c r="F607" s="9"/>
      <c r="G607" s="59"/>
      <c r="H607" s="9"/>
    </row>
    <row r="608">
      <c r="A608" s="9"/>
      <c r="B608" s="9"/>
      <c r="C608" s="9"/>
      <c r="D608" s="9"/>
      <c r="E608" s="9"/>
      <c r="F608" s="9"/>
      <c r="G608" s="59"/>
      <c r="H608" s="9"/>
    </row>
    <row r="609">
      <c r="A609" s="9"/>
      <c r="B609" s="9"/>
      <c r="C609" s="9"/>
      <c r="D609" s="9"/>
      <c r="E609" s="9"/>
      <c r="F609" s="9"/>
      <c r="G609" s="59"/>
      <c r="H609" s="9"/>
    </row>
    <row r="610">
      <c r="A610" s="9"/>
      <c r="B610" s="9"/>
      <c r="C610" s="9"/>
      <c r="D610" s="9"/>
      <c r="E610" s="9"/>
      <c r="F610" s="9"/>
      <c r="G610" s="59"/>
      <c r="H610" s="9"/>
    </row>
    <row r="611">
      <c r="A611" s="9"/>
      <c r="B611" s="9"/>
      <c r="C611" s="9"/>
      <c r="D611" s="9"/>
      <c r="E611" s="9"/>
      <c r="F611" s="9"/>
      <c r="G611" s="59"/>
      <c r="H611" s="9"/>
    </row>
    <row r="612">
      <c r="A612" s="9"/>
      <c r="B612" s="9"/>
      <c r="C612" s="9"/>
      <c r="D612" s="9"/>
      <c r="E612" s="9"/>
      <c r="F612" s="9"/>
      <c r="G612" s="59"/>
      <c r="H612" s="9"/>
    </row>
    <row r="613">
      <c r="A613" s="9"/>
      <c r="B613" s="9"/>
      <c r="C613" s="9"/>
      <c r="D613" s="9"/>
      <c r="E613" s="9"/>
      <c r="F613" s="9"/>
      <c r="G613" s="59"/>
      <c r="H613" s="9"/>
    </row>
    <row r="614">
      <c r="A614" s="9"/>
      <c r="B614" s="9"/>
      <c r="C614" s="9"/>
      <c r="D614" s="9"/>
      <c r="E614" s="9"/>
      <c r="F614" s="9"/>
      <c r="G614" s="59"/>
      <c r="H614" s="9"/>
    </row>
    <row r="615">
      <c r="A615" s="9"/>
      <c r="B615" s="9"/>
      <c r="C615" s="9"/>
      <c r="D615" s="9"/>
      <c r="E615" s="9"/>
      <c r="F615" s="9"/>
      <c r="G615" s="59"/>
      <c r="H615" s="9"/>
    </row>
    <row r="616">
      <c r="A616" s="9"/>
      <c r="B616" s="9"/>
      <c r="C616" s="9"/>
      <c r="D616" s="9"/>
      <c r="E616" s="9"/>
      <c r="F616" s="9"/>
      <c r="G616" s="59"/>
      <c r="H616" s="9"/>
    </row>
    <row r="617">
      <c r="A617" s="9"/>
      <c r="B617" s="9"/>
      <c r="C617" s="9"/>
      <c r="D617" s="9"/>
      <c r="E617" s="9"/>
      <c r="F617" s="9"/>
      <c r="G617" s="59"/>
      <c r="H617" s="9"/>
    </row>
    <row r="618">
      <c r="A618" s="9"/>
      <c r="B618" s="9"/>
      <c r="C618" s="9"/>
      <c r="D618" s="9"/>
      <c r="E618" s="9"/>
      <c r="F618" s="9"/>
      <c r="G618" s="59"/>
      <c r="H618" s="9"/>
    </row>
    <row r="619">
      <c r="A619" s="9"/>
      <c r="B619" s="9"/>
      <c r="C619" s="9"/>
      <c r="D619" s="9"/>
      <c r="E619" s="9"/>
      <c r="F619" s="9"/>
      <c r="G619" s="59"/>
      <c r="H619" s="9"/>
    </row>
    <row r="620">
      <c r="A620" s="9"/>
      <c r="B620" s="9"/>
      <c r="C620" s="9"/>
      <c r="D620" s="9"/>
      <c r="E620" s="9"/>
      <c r="F620" s="9"/>
      <c r="G620" s="59"/>
      <c r="H620" s="9"/>
    </row>
    <row r="621">
      <c r="A621" s="9"/>
      <c r="B621" s="9"/>
      <c r="C621" s="9"/>
      <c r="D621" s="9"/>
      <c r="E621" s="9"/>
      <c r="F621" s="9"/>
      <c r="G621" s="59"/>
      <c r="H621" s="9"/>
    </row>
    <row r="622">
      <c r="A622" s="9"/>
      <c r="B622" s="9"/>
      <c r="C622" s="9"/>
      <c r="D622" s="9"/>
      <c r="E622" s="9"/>
      <c r="F622" s="9"/>
      <c r="G622" s="59"/>
      <c r="H622" s="9"/>
    </row>
    <row r="623">
      <c r="A623" s="9"/>
      <c r="B623" s="9"/>
      <c r="C623" s="9"/>
      <c r="D623" s="9"/>
      <c r="E623" s="9"/>
      <c r="F623" s="9"/>
      <c r="G623" s="59"/>
      <c r="H623" s="9"/>
    </row>
    <row r="624">
      <c r="A624" s="9"/>
      <c r="B624" s="9"/>
      <c r="C624" s="9"/>
      <c r="D624" s="9"/>
      <c r="E624" s="9"/>
      <c r="F624" s="9"/>
      <c r="G624" s="59"/>
      <c r="H624" s="9"/>
    </row>
    <row r="625">
      <c r="A625" s="9"/>
      <c r="B625" s="9"/>
      <c r="C625" s="9"/>
      <c r="D625" s="9"/>
      <c r="E625" s="9"/>
      <c r="F625" s="9"/>
      <c r="G625" s="59"/>
      <c r="H625" s="9"/>
    </row>
    <row r="626">
      <c r="A626" s="9"/>
      <c r="B626" s="9"/>
      <c r="C626" s="9"/>
      <c r="D626" s="9"/>
      <c r="E626" s="9"/>
      <c r="F626" s="9"/>
      <c r="G626" s="59"/>
      <c r="H626" s="9"/>
    </row>
    <row r="627">
      <c r="A627" s="9"/>
      <c r="B627" s="9"/>
      <c r="C627" s="9"/>
      <c r="D627" s="9"/>
      <c r="E627" s="9"/>
      <c r="F627" s="9"/>
      <c r="G627" s="59"/>
      <c r="H627" s="9"/>
    </row>
    <row r="628">
      <c r="A628" s="9"/>
      <c r="B628" s="9"/>
      <c r="C628" s="9"/>
      <c r="D628" s="9"/>
      <c r="E628" s="9"/>
      <c r="F628" s="9"/>
      <c r="G628" s="59"/>
      <c r="H628" s="9"/>
    </row>
    <row r="629">
      <c r="A629" s="9"/>
      <c r="B629" s="9"/>
      <c r="C629" s="9"/>
      <c r="D629" s="9"/>
      <c r="E629" s="9"/>
      <c r="F629" s="9"/>
      <c r="G629" s="59"/>
      <c r="H629" s="9"/>
    </row>
    <row r="630">
      <c r="A630" s="9"/>
      <c r="B630" s="9"/>
      <c r="C630" s="9"/>
      <c r="D630" s="9"/>
      <c r="E630" s="9"/>
      <c r="F630" s="9"/>
      <c r="G630" s="59"/>
      <c r="H630" s="9"/>
    </row>
    <row r="631">
      <c r="A631" s="9"/>
      <c r="B631" s="9"/>
      <c r="C631" s="9"/>
      <c r="D631" s="9"/>
      <c r="E631" s="9"/>
      <c r="F631" s="9"/>
      <c r="G631" s="59"/>
      <c r="H631" s="9"/>
    </row>
    <row r="632">
      <c r="A632" s="9"/>
      <c r="B632" s="9"/>
      <c r="C632" s="9"/>
      <c r="D632" s="9"/>
      <c r="E632" s="9"/>
      <c r="F632" s="9"/>
      <c r="G632" s="59"/>
      <c r="H632" s="9"/>
    </row>
    <row r="633">
      <c r="A633" s="9"/>
      <c r="B633" s="9"/>
      <c r="C633" s="9"/>
      <c r="D633" s="9"/>
      <c r="E633" s="9"/>
      <c r="F633" s="9"/>
      <c r="G633" s="59"/>
      <c r="H633" s="9"/>
    </row>
    <row r="634">
      <c r="A634" s="9"/>
      <c r="B634" s="9"/>
      <c r="C634" s="9"/>
      <c r="D634" s="9"/>
      <c r="E634" s="9"/>
      <c r="F634" s="9"/>
      <c r="G634" s="59"/>
      <c r="H634" s="9"/>
    </row>
    <row r="635">
      <c r="A635" s="9"/>
      <c r="B635" s="9"/>
      <c r="C635" s="9"/>
      <c r="D635" s="9"/>
      <c r="E635" s="9"/>
      <c r="F635" s="9"/>
      <c r="G635" s="59"/>
      <c r="H635" s="9"/>
    </row>
    <row r="636">
      <c r="A636" s="9"/>
      <c r="B636" s="9"/>
      <c r="C636" s="9"/>
      <c r="D636" s="9"/>
      <c r="E636" s="9"/>
      <c r="F636" s="9"/>
      <c r="G636" s="59"/>
      <c r="H636" s="9"/>
    </row>
    <row r="637">
      <c r="A637" s="9"/>
      <c r="B637" s="9"/>
      <c r="C637" s="9"/>
      <c r="D637" s="9"/>
      <c r="E637" s="9"/>
      <c r="F637" s="9"/>
      <c r="G637" s="59"/>
      <c r="H637" s="9"/>
    </row>
    <row r="638">
      <c r="A638" s="9"/>
      <c r="B638" s="9"/>
      <c r="C638" s="9"/>
      <c r="D638" s="9"/>
      <c r="E638" s="9"/>
      <c r="F638" s="9"/>
      <c r="G638" s="59"/>
      <c r="H638" s="9"/>
    </row>
    <row r="639">
      <c r="A639" s="9"/>
      <c r="B639" s="9"/>
      <c r="C639" s="9"/>
      <c r="D639" s="9"/>
      <c r="E639" s="9"/>
      <c r="F639" s="9"/>
      <c r="G639" s="59"/>
      <c r="H639" s="9"/>
    </row>
    <row r="640">
      <c r="A640" s="9"/>
      <c r="B640" s="9"/>
      <c r="C640" s="9"/>
      <c r="D640" s="9"/>
      <c r="E640" s="9"/>
      <c r="F640" s="9"/>
      <c r="G640" s="59"/>
      <c r="H640" s="9"/>
    </row>
    <row r="641">
      <c r="A641" s="9"/>
      <c r="B641" s="9"/>
      <c r="C641" s="9"/>
      <c r="D641" s="9"/>
      <c r="E641" s="9"/>
      <c r="F641" s="9"/>
      <c r="G641" s="59"/>
      <c r="H641" s="9"/>
    </row>
    <row r="642">
      <c r="A642" s="9"/>
      <c r="B642" s="9"/>
      <c r="C642" s="9"/>
      <c r="D642" s="9"/>
      <c r="E642" s="9"/>
      <c r="F642" s="9"/>
      <c r="G642" s="59"/>
      <c r="H642" s="9"/>
    </row>
    <row r="643">
      <c r="A643" s="9"/>
      <c r="B643" s="9"/>
      <c r="C643" s="9"/>
      <c r="D643" s="9"/>
      <c r="E643" s="9"/>
      <c r="F643" s="9"/>
      <c r="G643" s="59"/>
      <c r="H643" s="9"/>
    </row>
    <row r="644">
      <c r="A644" s="9"/>
      <c r="B644" s="9"/>
      <c r="C644" s="9"/>
      <c r="D644" s="9"/>
      <c r="E644" s="9"/>
      <c r="F644" s="9"/>
      <c r="G644" s="59"/>
      <c r="H644" s="9"/>
    </row>
    <row r="645">
      <c r="A645" s="9"/>
      <c r="B645" s="9"/>
      <c r="C645" s="9"/>
      <c r="D645" s="9"/>
      <c r="E645" s="9"/>
      <c r="F645" s="9"/>
      <c r="G645" s="59"/>
      <c r="H645" s="9"/>
    </row>
    <row r="646">
      <c r="A646" s="9"/>
      <c r="B646" s="9"/>
      <c r="C646" s="9"/>
      <c r="D646" s="9"/>
      <c r="E646" s="9"/>
      <c r="F646" s="9"/>
      <c r="G646" s="59"/>
      <c r="H646" s="9"/>
    </row>
    <row r="647">
      <c r="A647" s="9"/>
      <c r="B647" s="9"/>
      <c r="C647" s="9"/>
      <c r="D647" s="9"/>
      <c r="E647" s="9"/>
      <c r="F647" s="9"/>
      <c r="G647" s="59"/>
      <c r="H647" s="9"/>
    </row>
    <row r="648">
      <c r="A648" s="9"/>
      <c r="B648" s="9"/>
      <c r="C648" s="9"/>
      <c r="D648" s="9"/>
      <c r="E648" s="9"/>
      <c r="F648" s="9"/>
      <c r="G648" s="59"/>
      <c r="H648" s="9"/>
    </row>
    <row r="649">
      <c r="A649" s="9"/>
      <c r="B649" s="9"/>
      <c r="C649" s="9"/>
      <c r="D649" s="9"/>
      <c r="E649" s="9"/>
      <c r="F649" s="9"/>
      <c r="G649" s="59"/>
      <c r="H649" s="9"/>
    </row>
    <row r="650">
      <c r="A650" s="9"/>
      <c r="B650" s="9"/>
      <c r="C650" s="9"/>
      <c r="D650" s="9"/>
      <c r="E650" s="9"/>
      <c r="F650" s="9"/>
      <c r="G650" s="59"/>
      <c r="H650" s="9"/>
    </row>
    <row r="651">
      <c r="A651" s="9"/>
      <c r="B651" s="9"/>
      <c r="C651" s="9"/>
      <c r="D651" s="9"/>
      <c r="E651" s="9"/>
      <c r="F651" s="9"/>
      <c r="G651" s="59"/>
      <c r="H651" s="9"/>
    </row>
    <row r="652">
      <c r="A652" s="9"/>
      <c r="B652" s="9"/>
      <c r="C652" s="9"/>
      <c r="D652" s="9"/>
      <c r="E652" s="9"/>
      <c r="F652" s="9"/>
      <c r="G652" s="59"/>
      <c r="H652" s="9"/>
    </row>
    <row r="653">
      <c r="A653" s="9"/>
      <c r="B653" s="9"/>
      <c r="C653" s="9"/>
      <c r="D653" s="9"/>
      <c r="E653" s="9"/>
      <c r="F653" s="9"/>
      <c r="G653" s="59"/>
      <c r="H653" s="9"/>
    </row>
    <row r="654">
      <c r="A654" s="9"/>
      <c r="B654" s="9"/>
      <c r="C654" s="9"/>
      <c r="D654" s="9"/>
      <c r="E654" s="9"/>
      <c r="F654" s="9"/>
      <c r="G654" s="59"/>
      <c r="H654" s="9"/>
    </row>
    <row r="655">
      <c r="A655" s="9"/>
      <c r="B655" s="9"/>
      <c r="C655" s="9"/>
      <c r="D655" s="9"/>
      <c r="E655" s="9"/>
      <c r="F655" s="9"/>
      <c r="G655" s="59"/>
      <c r="H655" s="9"/>
    </row>
    <row r="656">
      <c r="A656" s="9"/>
      <c r="B656" s="9"/>
      <c r="C656" s="9"/>
      <c r="D656" s="9"/>
      <c r="E656" s="9"/>
      <c r="F656" s="9"/>
      <c r="G656" s="59"/>
      <c r="H656" s="9"/>
    </row>
    <row r="657">
      <c r="A657" s="9"/>
      <c r="B657" s="9"/>
      <c r="C657" s="9"/>
      <c r="D657" s="9"/>
      <c r="E657" s="9"/>
      <c r="F657" s="9"/>
      <c r="G657" s="59"/>
      <c r="H657" s="9"/>
    </row>
    <row r="658">
      <c r="A658" s="9"/>
      <c r="B658" s="9"/>
      <c r="C658" s="9"/>
      <c r="D658" s="9"/>
      <c r="E658" s="9"/>
      <c r="F658" s="9"/>
      <c r="G658" s="59"/>
      <c r="H658" s="9"/>
    </row>
    <row r="659">
      <c r="A659" s="9"/>
      <c r="B659" s="9"/>
      <c r="C659" s="9"/>
      <c r="D659" s="9"/>
      <c r="E659" s="9"/>
      <c r="F659" s="9"/>
      <c r="G659" s="59"/>
      <c r="H659" s="9"/>
    </row>
    <row r="660">
      <c r="A660" s="9"/>
      <c r="B660" s="9"/>
      <c r="C660" s="9"/>
      <c r="D660" s="9"/>
      <c r="E660" s="9"/>
      <c r="F660" s="9"/>
      <c r="G660" s="59"/>
      <c r="H660" s="9"/>
    </row>
    <row r="661">
      <c r="A661" s="9"/>
      <c r="B661" s="9"/>
      <c r="C661" s="9"/>
      <c r="D661" s="9"/>
      <c r="E661" s="9"/>
      <c r="F661" s="9"/>
      <c r="G661" s="59"/>
      <c r="H661" s="9"/>
    </row>
    <row r="662">
      <c r="A662" s="9"/>
      <c r="B662" s="9"/>
      <c r="C662" s="9"/>
      <c r="D662" s="9"/>
      <c r="E662" s="9"/>
      <c r="F662" s="9"/>
      <c r="G662" s="59"/>
      <c r="H662" s="9"/>
    </row>
    <row r="663">
      <c r="A663" s="9"/>
      <c r="B663" s="9"/>
      <c r="C663" s="9"/>
      <c r="D663" s="9"/>
      <c r="E663" s="9"/>
      <c r="F663" s="9"/>
      <c r="G663" s="59"/>
      <c r="H663" s="9"/>
    </row>
    <row r="664">
      <c r="A664" s="9"/>
      <c r="B664" s="9"/>
      <c r="C664" s="9"/>
      <c r="D664" s="9"/>
      <c r="E664" s="9"/>
      <c r="F664" s="9"/>
      <c r="G664" s="59"/>
      <c r="H664" s="9"/>
    </row>
    <row r="665">
      <c r="A665" s="9"/>
      <c r="B665" s="9"/>
      <c r="C665" s="9"/>
      <c r="D665" s="9"/>
      <c r="E665" s="9"/>
      <c r="F665" s="9"/>
      <c r="G665" s="59"/>
      <c r="H665" s="9"/>
    </row>
    <row r="666">
      <c r="A666" s="9"/>
      <c r="B666" s="9"/>
      <c r="C666" s="9"/>
      <c r="D666" s="9"/>
      <c r="E666" s="9"/>
      <c r="F666" s="9"/>
      <c r="G666" s="59"/>
      <c r="H666" s="9"/>
    </row>
    <row r="667">
      <c r="A667" s="9"/>
      <c r="B667" s="9"/>
      <c r="C667" s="9"/>
      <c r="D667" s="9"/>
      <c r="E667" s="9"/>
      <c r="F667" s="9"/>
      <c r="G667" s="59"/>
      <c r="H667" s="9"/>
    </row>
    <row r="668">
      <c r="A668" s="9"/>
      <c r="B668" s="9"/>
      <c r="C668" s="9"/>
      <c r="D668" s="9"/>
      <c r="E668" s="9"/>
      <c r="F668" s="9"/>
      <c r="G668" s="59"/>
      <c r="H668" s="9"/>
    </row>
    <row r="669">
      <c r="A669" s="9"/>
      <c r="B669" s="9"/>
      <c r="C669" s="9"/>
      <c r="D669" s="9"/>
      <c r="E669" s="9"/>
      <c r="F669" s="9"/>
      <c r="G669" s="59"/>
      <c r="H669" s="9"/>
    </row>
    <row r="670">
      <c r="A670" s="9"/>
      <c r="B670" s="9"/>
      <c r="C670" s="9"/>
      <c r="D670" s="9"/>
      <c r="E670" s="9"/>
      <c r="F670" s="9"/>
      <c r="G670" s="59"/>
      <c r="H670" s="9"/>
    </row>
    <row r="671">
      <c r="A671" s="9"/>
      <c r="B671" s="9"/>
      <c r="C671" s="9"/>
      <c r="D671" s="9"/>
      <c r="E671" s="9"/>
      <c r="F671" s="9"/>
      <c r="G671" s="59"/>
      <c r="H671" s="9"/>
    </row>
    <row r="672">
      <c r="A672" s="9"/>
      <c r="B672" s="9"/>
      <c r="C672" s="9"/>
      <c r="D672" s="9"/>
      <c r="E672" s="9"/>
      <c r="F672" s="9"/>
      <c r="G672" s="59"/>
      <c r="H672" s="9"/>
    </row>
    <row r="673">
      <c r="A673" s="9"/>
      <c r="B673" s="9"/>
      <c r="C673" s="9"/>
      <c r="D673" s="9"/>
      <c r="E673" s="9"/>
      <c r="F673" s="9"/>
      <c r="G673" s="59"/>
      <c r="H673" s="9"/>
    </row>
    <row r="674">
      <c r="A674" s="9"/>
      <c r="B674" s="9"/>
      <c r="C674" s="9"/>
      <c r="D674" s="9"/>
      <c r="E674" s="9"/>
      <c r="F674" s="9"/>
      <c r="G674" s="59"/>
      <c r="H674" s="9"/>
    </row>
    <row r="675">
      <c r="A675" s="9"/>
      <c r="B675" s="9"/>
      <c r="C675" s="9"/>
      <c r="D675" s="9"/>
      <c r="E675" s="9"/>
      <c r="F675" s="9"/>
      <c r="G675" s="59"/>
      <c r="H675" s="9"/>
    </row>
    <row r="676">
      <c r="A676" s="9"/>
      <c r="B676" s="9"/>
      <c r="C676" s="9"/>
      <c r="D676" s="9"/>
      <c r="E676" s="9"/>
      <c r="F676" s="9"/>
      <c r="G676" s="59"/>
      <c r="H676" s="9"/>
    </row>
    <row r="677">
      <c r="A677" s="9"/>
      <c r="B677" s="9"/>
      <c r="C677" s="9"/>
      <c r="D677" s="9"/>
      <c r="E677" s="9"/>
      <c r="F677" s="9"/>
      <c r="G677" s="59"/>
      <c r="H677" s="9"/>
    </row>
    <row r="678">
      <c r="A678" s="9"/>
      <c r="B678" s="9"/>
      <c r="C678" s="9"/>
      <c r="D678" s="9"/>
      <c r="E678" s="9"/>
      <c r="F678" s="9"/>
      <c r="G678" s="59"/>
      <c r="H678" s="9"/>
    </row>
    <row r="679">
      <c r="A679" s="9"/>
      <c r="B679" s="9"/>
      <c r="C679" s="9"/>
      <c r="D679" s="9"/>
      <c r="E679" s="9"/>
      <c r="F679" s="9"/>
      <c r="G679" s="59"/>
      <c r="H679" s="9"/>
    </row>
    <row r="680">
      <c r="A680" s="9"/>
      <c r="B680" s="9"/>
      <c r="C680" s="9"/>
      <c r="D680" s="9"/>
      <c r="E680" s="9"/>
      <c r="F680" s="9"/>
      <c r="G680" s="59"/>
      <c r="H680" s="9"/>
    </row>
    <row r="681">
      <c r="A681" s="9"/>
      <c r="B681" s="9"/>
      <c r="C681" s="9"/>
      <c r="D681" s="9"/>
      <c r="E681" s="9"/>
      <c r="F681" s="9"/>
      <c r="G681" s="59"/>
      <c r="H681" s="9"/>
    </row>
    <row r="682">
      <c r="A682" s="9"/>
      <c r="B682" s="9"/>
      <c r="C682" s="9"/>
      <c r="D682" s="9"/>
      <c r="E682" s="9"/>
      <c r="F682" s="9"/>
      <c r="G682" s="59"/>
      <c r="H682" s="9"/>
    </row>
    <row r="683">
      <c r="A683" s="9"/>
      <c r="B683" s="9"/>
      <c r="C683" s="9"/>
      <c r="D683" s="9"/>
      <c r="E683" s="9"/>
      <c r="F683" s="9"/>
      <c r="G683" s="59"/>
      <c r="H683" s="9"/>
    </row>
    <row r="684">
      <c r="A684" s="9"/>
      <c r="B684" s="9"/>
      <c r="C684" s="9"/>
      <c r="D684" s="9"/>
      <c r="E684" s="9"/>
      <c r="F684" s="9"/>
      <c r="G684" s="59"/>
      <c r="H684" s="9"/>
    </row>
    <row r="685">
      <c r="A685" s="9"/>
      <c r="B685" s="9"/>
      <c r="C685" s="9"/>
      <c r="D685" s="9"/>
      <c r="E685" s="9"/>
      <c r="F685" s="9"/>
      <c r="G685" s="59"/>
      <c r="H685" s="9"/>
    </row>
    <row r="686">
      <c r="A686" s="9"/>
      <c r="B686" s="9"/>
      <c r="C686" s="9"/>
      <c r="D686" s="9"/>
      <c r="E686" s="9"/>
      <c r="F686" s="9"/>
      <c r="G686" s="59"/>
      <c r="H686" s="9"/>
    </row>
    <row r="687">
      <c r="A687" s="9"/>
      <c r="B687" s="9"/>
      <c r="C687" s="9"/>
      <c r="D687" s="9"/>
      <c r="E687" s="9"/>
      <c r="F687" s="9"/>
      <c r="G687" s="59"/>
      <c r="H687" s="9"/>
    </row>
    <row r="688">
      <c r="A688" s="9"/>
      <c r="B688" s="9"/>
      <c r="C688" s="9"/>
      <c r="D688" s="9"/>
      <c r="E688" s="9"/>
      <c r="F688" s="9"/>
      <c r="G688" s="59"/>
      <c r="H688" s="9"/>
    </row>
    <row r="689">
      <c r="A689" s="9"/>
      <c r="B689" s="9"/>
      <c r="C689" s="9"/>
      <c r="D689" s="9"/>
      <c r="E689" s="9"/>
      <c r="F689" s="9"/>
      <c r="G689" s="59"/>
      <c r="H689" s="9"/>
    </row>
    <row r="690">
      <c r="A690" s="9"/>
      <c r="B690" s="9"/>
      <c r="C690" s="9"/>
      <c r="D690" s="9"/>
      <c r="E690" s="9"/>
      <c r="F690" s="9"/>
      <c r="G690" s="59"/>
      <c r="H690" s="9"/>
    </row>
    <row r="691">
      <c r="A691" s="9"/>
      <c r="B691" s="9"/>
      <c r="C691" s="9"/>
      <c r="D691" s="9"/>
      <c r="E691" s="9"/>
      <c r="F691" s="9"/>
      <c r="G691" s="59"/>
      <c r="H691" s="9"/>
    </row>
    <row r="692">
      <c r="A692" s="9"/>
      <c r="B692" s="9"/>
      <c r="C692" s="9"/>
      <c r="D692" s="9"/>
      <c r="E692" s="9"/>
      <c r="F692" s="9"/>
      <c r="G692" s="59"/>
      <c r="H692" s="9"/>
    </row>
    <row r="693">
      <c r="A693" s="9"/>
      <c r="B693" s="9"/>
      <c r="C693" s="9"/>
      <c r="D693" s="9"/>
      <c r="E693" s="9"/>
      <c r="F693" s="9"/>
      <c r="G693" s="59"/>
      <c r="H693" s="9"/>
    </row>
    <row r="694">
      <c r="A694" s="9"/>
      <c r="B694" s="9"/>
      <c r="C694" s="9"/>
      <c r="D694" s="9"/>
      <c r="E694" s="9"/>
      <c r="F694" s="9"/>
      <c r="G694" s="59"/>
      <c r="H694" s="9"/>
    </row>
    <row r="695">
      <c r="A695" s="9"/>
      <c r="B695" s="9"/>
      <c r="C695" s="9"/>
      <c r="D695" s="9"/>
      <c r="E695" s="9"/>
      <c r="F695" s="9"/>
      <c r="G695" s="59"/>
      <c r="H695" s="9"/>
    </row>
    <row r="696">
      <c r="A696" s="9"/>
      <c r="B696" s="9"/>
      <c r="C696" s="9"/>
      <c r="D696" s="9"/>
      <c r="E696" s="9"/>
      <c r="F696" s="9"/>
      <c r="G696" s="59"/>
      <c r="H696" s="9"/>
    </row>
    <row r="697">
      <c r="A697" s="9"/>
      <c r="B697" s="9"/>
      <c r="C697" s="9"/>
      <c r="D697" s="9"/>
      <c r="E697" s="9"/>
      <c r="F697" s="9"/>
      <c r="G697" s="59"/>
      <c r="H697" s="9"/>
    </row>
    <row r="698">
      <c r="A698" s="9"/>
      <c r="B698" s="9"/>
      <c r="C698" s="9"/>
      <c r="D698" s="9"/>
      <c r="E698" s="9"/>
      <c r="F698" s="9"/>
      <c r="G698" s="59"/>
      <c r="H698" s="9"/>
    </row>
    <row r="699">
      <c r="A699" s="9"/>
      <c r="B699" s="9"/>
      <c r="C699" s="9"/>
      <c r="D699" s="9"/>
      <c r="E699" s="9"/>
      <c r="F699" s="9"/>
      <c r="G699" s="59"/>
      <c r="H699" s="9"/>
    </row>
    <row r="700">
      <c r="A700" s="9"/>
      <c r="B700" s="9"/>
      <c r="C700" s="9"/>
      <c r="D700" s="9"/>
      <c r="E700" s="9"/>
      <c r="F700" s="9"/>
      <c r="G700" s="59"/>
      <c r="H700" s="9"/>
    </row>
    <row r="701">
      <c r="A701" s="9"/>
      <c r="B701" s="9"/>
      <c r="C701" s="9"/>
      <c r="D701" s="9"/>
      <c r="E701" s="9"/>
      <c r="F701" s="9"/>
      <c r="G701" s="59"/>
      <c r="H701" s="9"/>
    </row>
    <row r="702">
      <c r="A702" s="9"/>
      <c r="B702" s="9"/>
      <c r="C702" s="9"/>
      <c r="D702" s="9"/>
      <c r="E702" s="9"/>
      <c r="F702" s="9"/>
      <c r="G702" s="59"/>
      <c r="H702" s="9"/>
    </row>
    <row r="703">
      <c r="A703" s="9"/>
      <c r="B703" s="9"/>
      <c r="C703" s="9"/>
      <c r="D703" s="9"/>
      <c r="E703" s="9"/>
      <c r="F703" s="9"/>
      <c r="G703" s="59"/>
      <c r="H703" s="9"/>
    </row>
    <row r="704">
      <c r="A704" s="9"/>
      <c r="B704" s="9"/>
      <c r="C704" s="9"/>
      <c r="D704" s="9"/>
      <c r="E704" s="9"/>
      <c r="F704" s="9"/>
      <c r="G704" s="59"/>
      <c r="H704" s="9"/>
    </row>
    <row r="705">
      <c r="A705" s="9"/>
      <c r="B705" s="9"/>
      <c r="C705" s="9"/>
      <c r="D705" s="9"/>
      <c r="E705" s="9"/>
      <c r="F705" s="9"/>
      <c r="G705" s="59"/>
      <c r="H705" s="9"/>
    </row>
    <row r="706">
      <c r="A706" s="9"/>
      <c r="B706" s="9"/>
      <c r="C706" s="9"/>
      <c r="D706" s="9"/>
      <c r="E706" s="9"/>
      <c r="F706" s="9"/>
      <c r="G706" s="59"/>
      <c r="H706" s="9"/>
    </row>
    <row r="707">
      <c r="A707" s="9"/>
      <c r="B707" s="9"/>
      <c r="C707" s="9"/>
      <c r="D707" s="9"/>
      <c r="E707" s="9"/>
      <c r="F707" s="9"/>
      <c r="G707" s="59"/>
      <c r="H707" s="9"/>
    </row>
    <row r="708">
      <c r="A708" s="9"/>
      <c r="B708" s="9"/>
      <c r="C708" s="9"/>
      <c r="D708" s="9"/>
      <c r="E708" s="9"/>
      <c r="F708" s="9"/>
      <c r="G708" s="59"/>
      <c r="H708" s="9"/>
    </row>
    <row r="709">
      <c r="A709" s="9"/>
      <c r="B709" s="9"/>
      <c r="C709" s="9"/>
      <c r="D709" s="9"/>
      <c r="E709" s="9"/>
      <c r="F709" s="9"/>
      <c r="G709" s="59"/>
      <c r="H709" s="9"/>
    </row>
    <row r="710">
      <c r="A710" s="9"/>
      <c r="B710" s="9"/>
      <c r="C710" s="9"/>
      <c r="D710" s="9"/>
      <c r="E710" s="9"/>
      <c r="F710" s="9"/>
      <c r="G710" s="59"/>
      <c r="H710" s="9"/>
    </row>
    <row r="711">
      <c r="A711" s="9"/>
      <c r="B711" s="9"/>
      <c r="C711" s="9"/>
      <c r="D711" s="9"/>
      <c r="E711" s="9"/>
      <c r="F711" s="9"/>
      <c r="G711" s="59"/>
      <c r="H711" s="9"/>
    </row>
    <row r="712">
      <c r="A712" s="9"/>
      <c r="B712" s="9"/>
      <c r="C712" s="9"/>
      <c r="D712" s="9"/>
      <c r="E712" s="9"/>
      <c r="F712" s="9"/>
      <c r="G712" s="59"/>
      <c r="H712" s="9"/>
    </row>
    <row r="713">
      <c r="A713" s="9"/>
      <c r="B713" s="9"/>
      <c r="C713" s="9"/>
      <c r="D713" s="9"/>
      <c r="E713" s="9"/>
      <c r="F713" s="9"/>
      <c r="G713" s="59"/>
      <c r="H713" s="9"/>
    </row>
    <row r="714">
      <c r="A714" s="9"/>
      <c r="B714" s="9"/>
      <c r="C714" s="9"/>
      <c r="D714" s="9"/>
      <c r="E714" s="9"/>
      <c r="F714" s="9"/>
      <c r="G714" s="59"/>
      <c r="H714" s="9"/>
    </row>
    <row r="715">
      <c r="A715" s="9"/>
      <c r="B715" s="9"/>
      <c r="C715" s="9"/>
      <c r="D715" s="9"/>
      <c r="E715" s="9"/>
      <c r="F715" s="9"/>
      <c r="G715" s="59"/>
      <c r="H715" s="9"/>
    </row>
    <row r="716">
      <c r="A716" s="9"/>
      <c r="B716" s="9"/>
      <c r="C716" s="9"/>
      <c r="D716" s="9"/>
      <c r="E716" s="9"/>
      <c r="F716" s="9"/>
      <c r="G716" s="59"/>
      <c r="H716" s="9"/>
    </row>
    <row r="717">
      <c r="A717" s="9"/>
      <c r="B717" s="9"/>
      <c r="C717" s="9"/>
      <c r="D717" s="9"/>
      <c r="E717" s="9"/>
      <c r="F717" s="9"/>
      <c r="G717" s="59"/>
      <c r="H717" s="9"/>
    </row>
    <row r="718">
      <c r="A718" s="9"/>
      <c r="B718" s="9"/>
      <c r="C718" s="9"/>
      <c r="D718" s="9"/>
      <c r="E718" s="9"/>
      <c r="F718" s="9"/>
      <c r="G718" s="59"/>
      <c r="H718" s="9"/>
    </row>
    <row r="719">
      <c r="A719" s="9"/>
      <c r="B719" s="9"/>
      <c r="C719" s="9"/>
      <c r="D719" s="9"/>
      <c r="E719" s="9"/>
      <c r="F719" s="9"/>
      <c r="G719" s="59"/>
      <c r="H719" s="9"/>
    </row>
    <row r="720">
      <c r="A720" s="9"/>
      <c r="B720" s="9"/>
      <c r="C720" s="9"/>
      <c r="D720" s="9"/>
      <c r="E720" s="9"/>
      <c r="F720" s="9"/>
      <c r="G720" s="59"/>
      <c r="H720" s="9"/>
    </row>
    <row r="721">
      <c r="A721" s="9"/>
      <c r="B721" s="9"/>
      <c r="C721" s="9"/>
      <c r="D721" s="9"/>
      <c r="E721" s="9"/>
      <c r="F721" s="9"/>
      <c r="G721" s="59"/>
      <c r="H721" s="9"/>
    </row>
    <row r="722">
      <c r="A722" s="9"/>
      <c r="B722" s="9"/>
      <c r="C722" s="9"/>
      <c r="D722" s="9"/>
      <c r="E722" s="9"/>
      <c r="F722" s="9"/>
      <c r="G722" s="59"/>
      <c r="H722" s="9"/>
    </row>
    <row r="723">
      <c r="A723" s="9"/>
      <c r="B723" s="9"/>
      <c r="C723" s="9"/>
      <c r="D723" s="9"/>
      <c r="E723" s="9"/>
      <c r="F723" s="9"/>
      <c r="G723" s="59"/>
      <c r="H723" s="9"/>
    </row>
    <row r="724">
      <c r="A724" s="9"/>
      <c r="B724" s="9"/>
      <c r="C724" s="9"/>
      <c r="D724" s="9"/>
      <c r="E724" s="9"/>
      <c r="F724" s="9"/>
      <c r="G724" s="59"/>
      <c r="H724" s="9"/>
    </row>
    <row r="725">
      <c r="A725" s="9"/>
      <c r="B725" s="9"/>
      <c r="C725" s="9"/>
      <c r="D725" s="9"/>
      <c r="E725" s="9"/>
      <c r="F725" s="9"/>
      <c r="G725" s="59"/>
      <c r="H725" s="9"/>
    </row>
    <row r="726">
      <c r="A726" s="9"/>
      <c r="B726" s="9"/>
      <c r="C726" s="9"/>
      <c r="D726" s="9"/>
      <c r="E726" s="9"/>
      <c r="F726" s="9"/>
      <c r="G726" s="59"/>
      <c r="H726" s="9"/>
    </row>
    <row r="727">
      <c r="A727" s="9"/>
      <c r="B727" s="9"/>
      <c r="C727" s="9"/>
      <c r="D727" s="9"/>
      <c r="E727" s="9"/>
      <c r="F727" s="9"/>
      <c r="G727" s="59"/>
      <c r="H727" s="9"/>
    </row>
    <row r="728">
      <c r="A728" s="9"/>
      <c r="B728" s="9"/>
      <c r="C728" s="9"/>
      <c r="D728" s="9"/>
      <c r="E728" s="9"/>
      <c r="F728" s="9"/>
      <c r="G728" s="59"/>
      <c r="H728" s="9"/>
    </row>
    <row r="729">
      <c r="A729" s="9"/>
      <c r="B729" s="9"/>
      <c r="C729" s="9"/>
      <c r="D729" s="9"/>
      <c r="E729" s="9"/>
      <c r="F729" s="9"/>
      <c r="G729" s="59"/>
      <c r="H729" s="9"/>
    </row>
    <row r="730">
      <c r="A730" s="9"/>
      <c r="B730" s="9"/>
      <c r="C730" s="9"/>
      <c r="D730" s="9"/>
      <c r="E730" s="9"/>
      <c r="F730" s="9"/>
      <c r="G730" s="59"/>
      <c r="H730" s="9"/>
    </row>
    <row r="731">
      <c r="A731" s="9"/>
      <c r="B731" s="9"/>
      <c r="C731" s="9"/>
      <c r="D731" s="9"/>
      <c r="E731" s="9"/>
      <c r="F731" s="9"/>
      <c r="G731" s="59"/>
      <c r="H731" s="9"/>
    </row>
    <row r="732">
      <c r="A732" s="9"/>
      <c r="B732" s="9"/>
      <c r="C732" s="9"/>
      <c r="D732" s="9"/>
      <c r="E732" s="9"/>
      <c r="F732" s="9"/>
      <c r="G732" s="59"/>
      <c r="H732" s="9"/>
    </row>
    <row r="733">
      <c r="A733" s="9"/>
      <c r="B733" s="9"/>
      <c r="C733" s="9"/>
      <c r="D733" s="9"/>
      <c r="E733" s="9"/>
      <c r="F733" s="9"/>
      <c r="G733" s="59"/>
      <c r="H733" s="9"/>
    </row>
    <row r="734">
      <c r="A734" s="9"/>
      <c r="B734" s="9"/>
      <c r="C734" s="9"/>
      <c r="D734" s="9"/>
      <c r="E734" s="9"/>
      <c r="F734" s="9"/>
      <c r="G734" s="59"/>
      <c r="H734" s="9"/>
    </row>
    <row r="735">
      <c r="A735" s="9"/>
      <c r="B735" s="9"/>
      <c r="C735" s="9"/>
      <c r="D735" s="9"/>
      <c r="E735" s="9"/>
      <c r="F735" s="9"/>
      <c r="G735" s="59"/>
      <c r="H735" s="9"/>
    </row>
    <row r="736">
      <c r="A736" s="9"/>
      <c r="B736" s="9"/>
      <c r="C736" s="9"/>
      <c r="D736" s="9"/>
      <c r="E736" s="9"/>
      <c r="F736" s="9"/>
      <c r="G736" s="59"/>
      <c r="H736" s="9"/>
    </row>
    <row r="737">
      <c r="A737" s="9"/>
      <c r="B737" s="9"/>
      <c r="C737" s="9"/>
      <c r="D737" s="9"/>
      <c r="E737" s="9"/>
      <c r="F737" s="9"/>
      <c r="G737" s="59"/>
      <c r="H737" s="9"/>
    </row>
    <row r="738">
      <c r="A738" s="9"/>
      <c r="B738" s="9"/>
      <c r="C738" s="9"/>
      <c r="D738" s="9"/>
      <c r="E738" s="9"/>
      <c r="F738" s="9"/>
      <c r="G738" s="59"/>
      <c r="H738" s="9"/>
    </row>
    <row r="739">
      <c r="A739" s="9"/>
      <c r="B739" s="9"/>
      <c r="C739" s="9"/>
      <c r="D739" s="9"/>
      <c r="E739" s="9"/>
      <c r="F739" s="9"/>
      <c r="G739" s="59"/>
      <c r="H739" s="9"/>
    </row>
    <row r="740">
      <c r="A740" s="9"/>
      <c r="B740" s="9"/>
      <c r="C740" s="9"/>
      <c r="D740" s="9"/>
      <c r="E740" s="9"/>
      <c r="F740" s="9"/>
      <c r="G740" s="59"/>
      <c r="H740" s="9"/>
    </row>
    <row r="741">
      <c r="A741" s="9"/>
      <c r="B741" s="9"/>
      <c r="C741" s="9"/>
      <c r="D741" s="9"/>
      <c r="E741" s="9"/>
      <c r="F741" s="9"/>
      <c r="G741" s="59"/>
      <c r="H741" s="9"/>
    </row>
    <row r="742">
      <c r="A742" s="9"/>
      <c r="B742" s="9"/>
      <c r="C742" s="9"/>
      <c r="D742" s="9"/>
      <c r="E742" s="9"/>
      <c r="F742" s="9"/>
      <c r="G742" s="59"/>
      <c r="H742" s="9"/>
    </row>
    <row r="743">
      <c r="A743" s="9"/>
      <c r="B743" s="9"/>
      <c r="C743" s="9"/>
      <c r="D743" s="9"/>
      <c r="E743" s="9"/>
      <c r="F743" s="9"/>
      <c r="G743" s="59"/>
      <c r="H743" s="9"/>
    </row>
    <row r="744">
      <c r="A744" s="9"/>
      <c r="B744" s="9"/>
      <c r="C744" s="9"/>
      <c r="D744" s="9"/>
      <c r="E744" s="9"/>
      <c r="F744" s="9"/>
      <c r="G744" s="59"/>
      <c r="H744" s="9"/>
    </row>
    <row r="745">
      <c r="A745" s="9"/>
      <c r="B745" s="9"/>
      <c r="C745" s="9"/>
      <c r="D745" s="9"/>
      <c r="E745" s="9"/>
      <c r="F745" s="9"/>
      <c r="G745" s="59"/>
      <c r="H745" s="9"/>
    </row>
    <row r="746">
      <c r="A746" s="9"/>
      <c r="B746" s="9"/>
      <c r="C746" s="9"/>
      <c r="D746" s="9"/>
      <c r="E746" s="9"/>
      <c r="F746" s="9"/>
      <c r="G746" s="59"/>
      <c r="H746" s="9"/>
    </row>
    <row r="747">
      <c r="A747" s="9"/>
      <c r="B747" s="9"/>
      <c r="C747" s="9"/>
      <c r="D747" s="9"/>
      <c r="E747" s="9"/>
      <c r="F747" s="9"/>
      <c r="G747" s="59"/>
      <c r="H747" s="9"/>
    </row>
    <row r="748">
      <c r="A748" s="9"/>
      <c r="B748" s="9"/>
      <c r="C748" s="9"/>
      <c r="D748" s="9"/>
      <c r="E748" s="9"/>
      <c r="F748" s="9"/>
      <c r="G748" s="59"/>
      <c r="H748" s="9"/>
    </row>
    <row r="749">
      <c r="A749" s="9"/>
      <c r="B749" s="9"/>
      <c r="C749" s="9"/>
      <c r="D749" s="9"/>
      <c r="E749" s="9"/>
      <c r="F749" s="9"/>
      <c r="G749" s="59"/>
      <c r="H749" s="9"/>
    </row>
    <row r="750">
      <c r="A750" s="9"/>
      <c r="B750" s="9"/>
      <c r="C750" s="9"/>
      <c r="D750" s="9"/>
      <c r="E750" s="9"/>
      <c r="F750" s="9"/>
      <c r="G750" s="59"/>
      <c r="H750" s="9"/>
    </row>
    <row r="751">
      <c r="A751" s="9"/>
      <c r="B751" s="9"/>
      <c r="C751" s="9"/>
      <c r="D751" s="9"/>
      <c r="E751" s="9"/>
      <c r="F751" s="9"/>
      <c r="G751" s="59"/>
      <c r="H751" s="9"/>
    </row>
    <row r="752">
      <c r="A752" s="9"/>
      <c r="B752" s="9"/>
      <c r="C752" s="9"/>
      <c r="D752" s="9"/>
      <c r="E752" s="9"/>
      <c r="F752" s="9"/>
      <c r="G752" s="59"/>
      <c r="H752" s="9"/>
    </row>
    <row r="753">
      <c r="A753" s="9"/>
      <c r="B753" s="9"/>
      <c r="C753" s="9"/>
      <c r="D753" s="9"/>
      <c r="E753" s="9"/>
      <c r="F753" s="9"/>
      <c r="G753" s="59"/>
      <c r="H753" s="9"/>
    </row>
    <row r="754">
      <c r="A754" s="9"/>
      <c r="B754" s="9"/>
      <c r="C754" s="9"/>
      <c r="D754" s="9"/>
      <c r="E754" s="9"/>
      <c r="F754" s="9"/>
      <c r="G754" s="59"/>
      <c r="H754" s="9"/>
    </row>
    <row r="755">
      <c r="A755" s="9"/>
      <c r="B755" s="9"/>
      <c r="C755" s="9"/>
      <c r="D755" s="9"/>
      <c r="E755" s="9"/>
      <c r="F755" s="9"/>
      <c r="G755" s="59"/>
      <c r="H755" s="9"/>
    </row>
    <row r="756">
      <c r="A756" s="9"/>
      <c r="B756" s="9"/>
      <c r="C756" s="9"/>
      <c r="D756" s="9"/>
      <c r="E756" s="9"/>
      <c r="F756" s="9"/>
      <c r="G756" s="59"/>
      <c r="H756" s="9"/>
    </row>
    <row r="757">
      <c r="A757" s="9"/>
      <c r="B757" s="9"/>
      <c r="C757" s="9"/>
      <c r="D757" s="9"/>
      <c r="E757" s="9"/>
      <c r="F757" s="9"/>
      <c r="G757" s="59"/>
      <c r="H757" s="9"/>
    </row>
    <row r="758">
      <c r="A758" s="9"/>
      <c r="B758" s="9"/>
      <c r="C758" s="9"/>
      <c r="D758" s="9"/>
      <c r="E758" s="9"/>
      <c r="F758" s="9"/>
      <c r="G758" s="59"/>
      <c r="H758" s="9"/>
    </row>
    <row r="759">
      <c r="A759" s="9"/>
      <c r="B759" s="9"/>
      <c r="C759" s="9"/>
      <c r="D759" s="9"/>
      <c r="E759" s="9"/>
      <c r="F759" s="9"/>
      <c r="G759" s="59"/>
      <c r="H759" s="9"/>
    </row>
    <row r="760">
      <c r="A760" s="9"/>
      <c r="B760" s="9"/>
      <c r="C760" s="9"/>
      <c r="D760" s="9"/>
      <c r="E760" s="9"/>
      <c r="F760" s="9"/>
      <c r="G760" s="59"/>
      <c r="H760" s="9"/>
    </row>
    <row r="761">
      <c r="A761" s="9"/>
      <c r="B761" s="9"/>
      <c r="C761" s="9"/>
      <c r="D761" s="9"/>
      <c r="E761" s="9"/>
      <c r="F761" s="9"/>
      <c r="G761" s="59"/>
      <c r="H761" s="9"/>
    </row>
    <row r="762">
      <c r="A762" s="9"/>
      <c r="B762" s="9"/>
      <c r="C762" s="9"/>
      <c r="D762" s="9"/>
      <c r="E762" s="9"/>
      <c r="F762" s="9"/>
      <c r="G762" s="59"/>
      <c r="H762" s="9"/>
    </row>
    <row r="763">
      <c r="A763" s="9"/>
      <c r="B763" s="9"/>
      <c r="C763" s="9"/>
      <c r="D763" s="9"/>
      <c r="E763" s="9"/>
      <c r="F763" s="9"/>
      <c r="G763" s="59"/>
      <c r="H763" s="9"/>
    </row>
    <row r="764">
      <c r="A764" s="9"/>
      <c r="B764" s="9"/>
      <c r="C764" s="9"/>
      <c r="D764" s="9"/>
      <c r="E764" s="9"/>
      <c r="F764" s="9"/>
      <c r="G764" s="59"/>
      <c r="H764" s="9"/>
    </row>
    <row r="765">
      <c r="A765" s="9"/>
      <c r="B765" s="9"/>
      <c r="C765" s="9"/>
      <c r="D765" s="9"/>
      <c r="E765" s="9"/>
      <c r="F765" s="9"/>
      <c r="G765" s="59"/>
      <c r="H765" s="9"/>
    </row>
    <row r="766">
      <c r="A766" s="9"/>
      <c r="B766" s="9"/>
      <c r="C766" s="9"/>
      <c r="D766" s="9"/>
      <c r="E766" s="9"/>
      <c r="F766" s="9"/>
      <c r="G766" s="59"/>
      <c r="H766" s="9"/>
    </row>
    <row r="767">
      <c r="A767" s="9"/>
      <c r="B767" s="9"/>
      <c r="C767" s="9"/>
      <c r="D767" s="9"/>
      <c r="E767" s="9"/>
      <c r="F767" s="9"/>
      <c r="G767" s="59"/>
      <c r="H767" s="9"/>
    </row>
    <row r="768">
      <c r="A768" s="9"/>
      <c r="B768" s="9"/>
      <c r="C768" s="9"/>
      <c r="D768" s="9"/>
      <c r="E768" s="9"/>
      <c r="F768" s="9"/>
      <c r="G768" s="59"/>
      <c r="H768" s="9"/>
    </row>
    <row r="769">
      <c r="A769" s="9"/>
      <c r="B769" s="9"/>
      <c r="C769" s="9"/>
      <c r="D769" s="9"/>
      <c r="E769" s="9"/>
      <c r="F769" s="9"/>
      <c r="G769" s="59"/>
      <c r="H769" s="9"/>
    </row>
    <row r="770">
      <c r="A770" s="9"/>
      <c r="B770" s="9"/>
      <c r="C770" s="9"/>
      <c r="D770" s="9"/>
      <c r="E770" s="9"/>
      <c r="F770" s="9"/>
      <c r="G770" s="59"/>
      <c r="H770" s="9"/>
    </row>
    <row r="771">
      <c r="A771" s="9"/>
      <c r="B771" s="9"/>
      <c r="C771" s="9"/>
      <c r="D771" s="9"/>
      <c r="E771" s="9"/>
      <c r="F771" s="9"/>
      <c r="G771" s="59"/>
      <c r="H771" s="9"/>
    </row>
    <row r="772">
      <c r="A772" s="9"/>
      <c r="B772" s="9"/>
      <c r="C772" s="9"/>
      <c r="D772" s="9"/>
      <c r="E772" s="9"/>
      <c r="F772" s="9"/>
      <c r="G772" s="59"/>
      <c r="H772" s="9"/>
    </row>
    <row r="773">
      <c r="A773" s="9"/>
      <c r="B773" s="9"/>
      <c r="C773" s="9"/>
      <c r="D773" s="9"/>
      <c r="E773" s="9"/>
      <c r="F773" s="9"/>
      <c r="G773" s="59"/>
      <c r="H773" s="9"/>
    </row>
    <row r="774">
      <c r="A774" s="9"/>
      <c r="B774" s="9"/>
      <c r="C774" s="9"/>
      <c r="D774" s="9"/>
      <c r="E774" s="9"/>
      <c r="F774" s="9"/>
      <c r="G774" s="59"/>
      <c r="H774" s="9"/>
    </row>
    <row r="775">
      <c r="A775" s="9"/>
      <c r="B775" s="9"/>
      <c r="C775" s="9"/>
      <c r="D775" s="9"/>
      <c r="E775" s="9"/>
      <c r="F775" s="9"/>
      <c r="G775" s="59"/>
      <c r="H775" s="9"/>
    </row>
    <row r="776">
      <c r="A776" s="9"/>
      <c r="B776" s="9"/>
      <c r="C776" s="9"/>
      <c r="D776" s="9"/>
      <c r="E776" s="9"/>
      <c r="F776" s="9"/>
      <c r="G776" s="59"/>
      <c r="H776" s="9"/>
    </row>
    <row r="777">
      <c r="A777" s="9"/>
      <c r="B777" s="9"/>
      <c r="C777" s="9"/>
      <c r="D777" s="9"/>
      <c r="E777" s="9"/>
      <c r="F777" s="9"/>
      <c r="G777" s="59"/>
      <c r="H777" s="9"/>
    </row>
    <row r="778">
      <c r="A778" s="9"/>
      <c r="B778" s="9"/>
      <c r="C778" s="9"/>
      <c r="D778" s="9"/>
      <c r="E778" s="9"/>
      <c r="F778" s="9"/>
      <c r="G778" s="59"/>
      <c r="H778" s="9"/>
    </row>
    <row r="779">
      <c r="A779" s="9"/>
      <c r="B779" s="9"/>
      <c r="C779" s="9"/>
      <c r="D779" s="9"/>
      <c r="E779" s="9"/>
      <c r="F779" s="9"/>
      <c r="G779" s="59"/>
      <c r="H779" s="9"/>
    </row>
    <row r="780">
      <c r="A780" s="9"/>
      <c r="B780" s="9"/>
      <c r="C780" s="9"/>
      <c r="D780" s="9"/>
      <c r="E780" s="9"/>
      <c r="F780" s="9"/>
      <c r="G780" s="59"/>
      <c r="H780" s="9"/>
    </row>
    <row r="781">
      <c r="A781" s="9"/>
      <c r="B781" s="9"/>
      <c r="C781" s="9"/>
      <c r="D781" s="9"/>
      <c r="E781" s="9"/>
      <c r="F781" s="9"/>
      <c r="G781" s="59"/>
      <c r="H781" s="9"/>
    </row>
    <row r="782">
      <c r="A782" s="9"/>
      <c r="B782" s="9"/>
      <c r="C782" s="9"/>
      <c r="D782" s="9"/>
      <c r="E782" s="9"/>
      <c r="F782" s="9"/>
      <c r="G782" s="59"/>
      <c r="H782" s="9"/>
    </row>
    <row r="783">
      <c r="A783" s="9"/>
      <c r="B783" s="9"/>
      <c r="C783" s="9"/>
      <c r="D783" s="9"/>
      <c r="E783" s="9"/>
      <c r="F783" s="9"/>
      <c r="G783" s="59"/>
      <c r="H783" s="9"/>
    </row>
    <row r="784">
      <c r="A784" s="9"/>
      <c r="B784" s="9"/>
      <c r="C784" s="9"/>
      <c r="D784" s="9"/>
      <c r="E784" s="9"/>
      <c r="F784" s="9"/>
      <c r="G784" s="59"/>
      <c r="H784" s="9"/>
    </row>
    <row r="785">
      <c r="A785" s="9"/>
      <c r="B785" s="9"/>
      <c r="C785" s="9"/>
      <c r="D785" s="9"/>
      <c r="E785" s="9"/>
      <c r="F785" s="9"/>
      <c r="G785" s="59"/>
      <c r="H785" s="9"/>
    </row>
    <row r="786">
      <c r="A786" s="9"/>
      <c r="B786" s="9"/>
      <c r="C786" s="9"/>
      <c r="D786" s="9"/>
      <c r="E786" s="9"/>
      <c r="F786" s="9"/>
      <c r="G786" s="59"/>
      <c r="H786" s="9"/>
    </row>
    <row r="787">
      <c r="A787" s="9"/>
      <c r="B787" s="9"/>
      <c r="C787" s="9"/>
      <c r="D787" s="9"/>
      <c r="E787" s="9"/>
      <c r="F787" s="9"/>
      <c r="G787" s="59"/>
      <c r="H787" s="9"/>
    </row>
    <row r="788">
      <c r="A788" s="9"/>
      <c r="B788" s="9"/>
      <c r="C788" s="9"/>
      <c r="D788" s="9"/>
      <c r="E788" s="9"/>
      <c r="F788" s="9"/>
      <c r="G788" s="59"/>
      <c r="H788" s="9"/>
    </row>
    <row r="789">
      <c r="A789" s="9"/>
      <c r="B789" s="9"/>
      <c r="C789" s="9"/>
      <c r="D789" s="9"/>
      <c r="E789" s="9"/>
      <c r="F789" s="9"/>
      <c r="G789" s="59"/>
      <c r="H789" s="9"/>
    </row>
    <row r="790">
      <c r="A790" s="9"/>
      <c r="B790" s="9"/>
      <c r="C790" s="9"/>
      <c r="D790" s="9"/>
      <c r="E790" s="9"/>
      <c r="F790" s="9"/>
      <c r="G790" s="59"/>
      <c r="H790" s="9"/>
    </row>
    <row r="791">
      <c r="A791" s="9"/>
      <c r="B791" s="9"/>
      <c r="C791" s="9"/>
      <c r="D791" s="9"/>
      <c r="E791" s="9"/>
      <c r="F791" s="9"/>
      <c r="G791" s="59"/>
      <c r="H791" s="9"/>
    </row>
    <row r="792">
      <c r="A792" s="9"/>
      <c r="B792" s="9"/>
      <c r="C792" s="9"/>
      <c r="D792" s="9"/>
      <c r="E792" s="9"/>
      <c r="F792" s="9"/>
      <c r="G792" s="59"/>
      <c r="H792" s="9"/>
    </row>
    <row r="793">
      <c r="A793" s="9"/>
      <c r="B793" s="9"/>
      <c r="C793" s="9"/>
      <c r="D793" s="9"/>
      <c r="E793" s="9"/>
      <c r="F793" s="9"/>
      <c r="G793" s="59"/>
      <c r="H793" s="9"/>
    </row>
    <row r="794">
      <c r="A794" s="9"/>
      <c r="B794" s="9"/>
      <c r="C794" s="9"/>
      <c r="D794" s="9"/>
      <c r="E794" s="9"/>
      <c r="F794" s="9"/>
      <c r="G794" s="59"/>
      <c r="H794" s="9"/>
    </row>
    <row r="795">
      <c r="A795" s="9"/>
      <c r="B795" s="9"/>
      <c r="C795" s="9"/>
      <c r="D795" s="9"/>
      <c r="E795" s="9"/>
      <c r="F795" s="9"/>
      <c r="G795" s="59"/>
      <c r="H795" s="9"/>
    </row>
    <row r="796">
      <c r="A796" s="9"/>
      <c r="B796" s="9"/>
      <c r="C796" s="9"/>
      <c r="D796" s="9"/>
      <c r="E796" s="9"/>
      <c r="F796" s="9"/>
      <c r="G796" s="59"/>
      <c r="H796" s="9"/>
    </row>
    <row r="797">
      <c r="A797" s="9"/>
      <c r="B797" s="9"/>
      <c r="C797" s="9"/>
      <c r="D797" s="9"/>
      <c r="E797" s="9"/>
      <c r="F797" s="9"/>
      <c r="G797" s="59"/>
      <c r="H797" s="9"/>
    </row>
    <row r="798">
      <c r="A798" s="9"/>
      <c r="B798" s="9"/>
      <c r="C798" s="9"/>
      <c r="D798" s="9"/>
      <c r="E798" s="9"/>
      <c r="F798" s="9"/>
      <c r="G798" s="59"/>
      <c r="H798" s="9"/>
    </row>
    <row r="799">
      <c r="A799" s="9"/>
      <c r="B799" s="9"/>
      <c r="C799" s="9"/>
      <c r="D799" s="9"/>
      <c r="E799" s="9"/>
      <c r="F799" s="9"/>
      <c r="G799" s="59"/>
      <c r="H799" s="9"/>
    </row>
    <row r="800">
      <c r="A800" s="9"/>
      <c r="B800" s="9"/>
      <c r="C800" s="9"/>
      <c r="D800" s="9"/>
      <c r="E800" s="9"/>
      <c r="F800" s="9"/>
      <c r="G800" s="59"/>
      <c r="H800" s="9"/>
    </row>
    <row r="801">
      <c r="A801" s="9"/>
      <c r="B801" s="9"/>
      <c r="C801" s="9"/>
      <c r="D801" s="9"/>
      <c r="E801" s="9"/>
      <c r="F801" s="9"/>
      <c r="G801" s="59"/>
      <c r="H801" s="9"/>
    </row>
    <row r="802">
      <c r="A802" s="9"/>
      <c r="B802" s="9"/>
      <c r="C802" s="9"/>
      <c r="D802" s="9"/>
      <c r="E802" s="9"/>
      <c r="F802" s="9"/>
      <c r="G802" s="59"/>
      <c r="H802" s="9"/>
    </row>
    <row r="803">
      <c r="A803" s="9"/>
      <c r="B803" s="9"/>
      <c r="C803" s="9"/>
      <c r="D803" s="9"/>
      <c r="E803" s="9"/>
      <c r="F803" s="9"/>
      <c r="G803" s="59"/>
      <c r="H803" s="9"/>
    </row>
    <row r="804">
      <c r="A804" s="9"/>
      <c r="B804" s="9"/>
      <c r="C804" s="9"/>
      <c r="D804" s="9"/>
      <c r="E804" s="9"/>
      <c r="F804" s="9"/>
      <c r="G804" s="59"/>
      <c r="H804" s="9"/>
    </row>
    <row r="805">
      <c r="A805" s="9"/>
      <c r="B805" s="9"/>
      <c r="C805" s="9"/>
      <c r="D805" s="9"/>
      <c r="E805" s="9"/>
      <c r="F805" s="9"/>
      <c r="G805" s="59"/>
      <c r="H805" s="9"/>
    </row>
    <row r="806">
      <c r="A806" s="9"/>
      <c r="B806" s="9"/>
      <c r="C806" s="9"/>
      <c r="D806" s="9"/>
      <c r="E806" s="9"/>
      <c r="F806" s="9"/>
      <c r="G806" s="59"/>
      <c r="H806" s="9"/>
    </row>
    <row r="807">
      <c r="A807" s="9"/>
      <c r="B807" s="9"/>
      <c r="C807" s="9"/>
      <c r="D807" s="9"/>
      <c r="E807" s="9"/>
      <c r="F807" s="9"/>
      <c r="G807" s="59"/>
      <c r="H807" s="9"/>
    </row>
    <row r="808">
      <c r="A808" s="9"/>
      <c r="B808" s="9"/>
      <c r="C808" s="9"/>
      <c r="D808" s="9"/>
      <c r="E808" s="9"/>
      <c r="F808" s="9"/>
      <c r="G808" s="59"/>
      <c r="H808" s="9"/>
    </row>
    <row r="809">
      <c r="A809" s="9"/>
      <c r="B809" s="9"/>
      <c r="C809" s="9"/>
      <c r="D809" s="9"/>
      <c r="E809" s="9"/>
      <c r="F809" s="9"/>
      <c r="G809" s="59"/>
      <c r="H809" s="9"/>
    </row>
    <row r="810">
      <c r="A810" s="9"/>
      <c r="B810" s="9"/>
      <c r="C810" s="9"/>
      <c r="D810" s="9"/>
      <c r="E810" s="9"/>
      <c r="F810" s="9"/>
      <c r="G810" s="59"/>
      <c r="H810" s="9"/>
    </row>
    <row r="811">
      <c r="A811" s="9"/>
      <c r="B811" s="9"/>
      <c r="C811" s="9"/>
      <c r="D811" s="9"/>
      <c r="E811" s="9"/>
      <c r="F811" s="9"/>
      <c r="G811" s="59"/>
      <c r="H811" s="9"/>
    </row>
    <row r="812">
      <c r="A812" s="9"/>
      <c r="B812" s="9"/>
      <c r="C812" s="9"/>
      <c r="D812" s="9"/>
      <c r="E812" s="9"/>
      <c r="F812" s="9"/>
      <c r="G812" s="59"/>
      <c r="H812" s="9"/>
    </row>
    <row r="813">
      <c r="A813" s="9"/>
      <c r="B813" s="9"/>
      <c r="C813" s="9"/>
      <c r="D813" s="9"/>
      <c r="E813" s="9"/>
      <c r="F813" s="9"/>
      <c r="G813" s="59"/>
      <c r="H813" s="9"/>
    </row>
    <row r="814">
      <c r="A814" s="9"/>
      <c r="B814" s="9"/>
      <c r="C814" s="9"/>
      <c r="D814" s="9"/>
      <c r="E814" s="9"/>
      <c r="F814" s="9"/>
      <c r="G814" s="59"/>
      <c r="H814" s="9"/>
    </row>
    <row r="815">
      <c r="A815" s="9"/>
      <c r="B815" s="9"/>
      <c r="C815" s="9"/>
      <c r="D815" s="9"/>
      <c r="E815" s="9"/>
      <c r="F815" s="9"/>
      <c r="G815" s="59"/>
      <c r="H815" s="9"/>
    </row>
    <row r="816">
      <c r="A816" s="9"/>
      <c r="B816" s="9"/>
      <c r="C816" s="9"/>
      <c r="D816" s="9"/>
      <c r="E816" s="9"/>
      <c r="F816" s="9"/>
      <c r="G816" s="59"/>
      <c r="H816" s="9"/>
    </row>
    <row r="817">
      <c r="A817" s="9"/>
      <c r="B817" s="9"/>
      <c r="C817" s="9"/>
      <c r="D817" s="9"/>
      <c r="E817" s="9"/>
      <c r="F817" s="9"/>
      <c r="G817" s="59"/>
      <c r="H817" s="9"/>
    </row>
    <row r="818">
      <c r="A818" s="9"/>
      <c r="B818" s="9"/>
      <c r="C818" s="9"/>
      <c r="D818" s="9"/>
      <c r="E818" s="9"/>
      <c r="F818" s="9"/>
      <c r="G818" s="59"/>
      <c r="H818" s="9"/>
    </row>
    <row r="819">
      <c r="A819" s="9"/>
      <c r="B819" s="9"/>
      <c r="C819" s="9"/>
      <c r="D819" s="9"/>
      <c r="E819" s="9"/>
      <c r="F819" s="9"/>
      <c r="G819" s="59"/>
      <c r="H819" s="9"/>
    </row>
    <row r="820">
      <c r="A820" s="9"/>
      <c r="B820" s="9"/>
      <c r="C820" s="9"/>
      <c r="D820" s="9"/>
      <c r="E820" s="9"/>
      <c r="F820" s="9"/>
      <c r="G820" s="59"/>
      <c r="H820" s="9"/>
    </row>
    <row r="821">
      <c r="A821" s="9"/>
      <c r="B821" s="9"/>
      <c r="C821" s="9"/>
      <c r="D821" s="9"/>
      <c r="E821" s="9"/>
      <c r="F821" s="9"/>
      <c r="G821" s="59"/>
      <c r="H821" s="9"/>
    </row>
    <row r="822">
      <c r="A822" s="9"/>
      <c r="B822" s="9"/>
      <c r="C822" s="9"/>
      <c r="D822" s="9"/>
      <c r="E822" s="9"/>
      <c r="F822" s="9"/>
      <c r="G822" s="59"/>
      <c r="H822" s="9"/>
    </row>
    <row r="823">
      <c r="A823" s="9"/>
      <c r="B823" s="9"/>
      <c r="C823" s="9"/>
      <c r="D823" s="9"/>
      <c r="E823" s="9"/>
      <c r="F823" s="9"/>
      <c r="G823" s="59"/>
      <c r="H823" s="9"/>
    </row>
    <row r="824">
      <c r="A824" s="9"/>
      <c r="B824" s="9"/>
      <c r="C824" s="9"/>
      <c r="D824" s="9"/>
      <c r="E824" s="9"/>
      <c r="F824" s="9"/>
      <c r="G824" s="59"/>
      <c r="H824" s="9"/>
    </row>
    <row r="825">
      <c r="A825" s="9"/>
      <c r="B825" s="9"/>
      <c r="C825" s="9"/>
      <c r="D825" s="9"/>
      <c r="E825" s="9"/>
      <c r="F825" s="9"/>
      <c r="G825" s="59"/>
      <c r="H825" s="9"/>
    </row>
    <row r="826">
      <c r="A826" s="9"/>
      <c r="B826" s="9"/>
      <c r="C826" s="9"/>
      <c r="D826" s="9"/>
      <c r="E826" s="9"/>
      <c r="F826" s="9"/>
      <c r="G826" s="59"/>
      <c r="H826" s="9"/>
    </row>
    <row r="827">
      <c r="A827" s="9"/>
      <c r="B827" s="9"/>
      <c r="C827" s="9"/>
      <c r="D827" s="9"/>
      <c r="E827" s="9"/>
      <c r="F827" s="9"/>
      <c r="G827" s="59"/>
      <c r="H827" s="9"/>
    </row>
    <row r="828">
      <c r="A828" s="9"/>
      <c r="B828" s="9"/>
      <c r="C828" s="9"/>
      <c r="D828" s="9"/>
      <c r="E828" s="9"/>
      <c r="F828" s="9"/>
      <c r="G828" s="59"/>
      <c r="H828" s="9"/>
    </row>
    <row r="829">
      <c r="A829" s="9"/>
      <c r="B829" s="9"/>
      <c r="C829" s="9"/>
      <c r="D829" s="9"/>
      <c r="E829" s="9"/>
      <c r="F829" s="9"/>
      <c r="G829" s="59"/>
      <c r="H829" s="9"/>
    </row>
    <row r="830">
      <c r="A830" s="9"/>
      <c r="B830" s="9"/>
      <c r="C830" s="9"/>
      <c r="D830" s="9"/>
      <c r="E830" s="9"/>
      <c r="F830" s="9"/>
      <c r="G830" s="59"/>
      <c r="H830" s="9"/>
    </row>
    <row r="831">
      <c r="A831" s="9"/>
      <c r="B831" s="9"/>
      <c r="C831" s="9"/>
      <c r="D831" s="9"/>
      <c r="E831" s="9"/>
      <c r="F831" s="9"/>
      <c r="G831" s="59"/>
      <c r="H831" s="9"/>
    </row>
    <row r="832">
      <c r="A832" s="9"/>
      <c r="B832" s="9"/>
      <c r="C832" s="9"/>
      <c r="D832" s="9"/>
      <c r="E832" s="9"/>
      <c r="F832" s="9"/>
      <c r="G832" s="59"/>
      <c r="H832" s="9"/>
    </row>
    <row r="833">
      <c r="A833" s="9"/>
      <c r="B833" s="9"/>
      <c r="C833" s="9"/>
      <c r="D833" s="9"/>
      <c r="E833" s="9"/>
      <c r="F833" s="9"/>
      <c r="G833" s="59"/>
      <c r="H833" s="9"/>
    </row>
    <row r="834">
      <c r="A834" s="9"/>
      <c r="B834" s="9"/>
      <c r="C834" s="9"/>
      <c r="D834" s="9"/>
      <c r="E834" s="9"/>
      <c r="F834" s="9"/>
      <c r="G834" s="59"/>
      <c r="H834" s="9"/>
    </row>
    <row r="835">
      <c r="A835" s="9"/>
      <c r="B835" s="9"/>
      <c r="C835" s="9"/>
      <c r="D835" s="9"/>
      <c r="E835" s="9"/>
      <c r="F835" s="9"/>
      <c r="G835" s="59"/>
      <c r="H835" s="9"/>
    </row>
    <row r="836">
      <c r="A836" s="9"/>
      <c r="B836" s="9"/>
      <c r="C836" s="9"/>
      <c r="D836" s="9"/>
      <c r="E836" s="9"/>
      <c r="F836" s="9"/>
      <c r="G836" s="59"/>
      <c r="H836" s="9"/>
    </row>
    <row r="837">
      <c r="A837" s="9"/>
      <c r="B837" s="9"/>
      <c r="C837" s="9"/>
      <c r="D837" s="9"/>
      <c r="E837" s="9"/>
      <c r="F837" s="9"/>
      <c r="G837" s="59"/>
      <c r="H837" s="9"/>
    </row>
    <row r="838">
      <c r="A838" s="9"/>
      <c r="B838" s="9"/>
      <c r="C838" s="9"/>
      <c r="D838" s="9"/>
      <c r="E838" s="9"/>
      <c r="F838" s="9"/>
      <c r="G838" s="59"/>
      <c r="H838" s="9"/>
    </row>
    <row r="839">
      <c r="A839" s="9"/>
      <c r="B839" s="9"/>
      <c r="C839" s="9"/>
      <c r="D839" s="9"/>
      <c r="E839" s="9"/>
      <c r="F839" s="9"/>
      <c r="G839" s="59"/>
      <c r="H839" s="9"/>
    </row>
    <row r="840">
      <c r="A840" s="9"/>
      <c r="B840" s="9"/>
      <c r="C840" s="9"/>
      <c r="D840" s="9"/>
      <c r="E840" s="9"/>
      <c r="F840" s="9"/>
      <c r="G840" s="59"/>
      <c r="H840" s="9"/>
    </row>
    <row r="841">
      <c r="A841" s="9"/>
      <c r="B841" s="9"/>
      <c r="C841" s="9"/>
      <c r="D841" s="9"/>
      <c r="E841" s="9"/>
      <c r="F841" s="9"/>
      <c r="G841" s="59"/>
      <c r="H841" s="9"/>
    </row>
    <row r="842">
      <c r="A842" s="9"/>
      <c r="B842" s="9"/>
      <c r="C842" s="9"/>
      <c r="D842" s="9"/>
      <c r="E842" s="9"/>
      <c r="F842" s="9"/>
      <c r="G842" s="59"/>
      <c r="H842" s="9"/>
    </row>
    <row r="843">
      <c r="A843" s="9"/>
      <c r="B843" s="9"/>
      <c r="C843" s="9"/>
      <c r="D843" s="9"/>
      <c r="E843" s="9"/>
      <c r="F843" s="9"/>
      <c r="G843" s="59"/>
      <c r="H843" s="9"/>
    </row>
    <row r="844">
      <c r="A844" s="9"/>
      <c r="B844" s="9"/>
      <c r="C844" s="9"/>
      <c r="D844" s="9"/>
      <c r="E844" s="9"/>
      <c r="F844" s="9"/>
      <c r="G844" s="59"/>
      <c r="H844" s="9"/>
    </row>
    <row r="845">
      <c r="A845" s="9"/>
      <c r="B845" s="9"/>
      <c r="C845" s="9"/>
      <c r="D845" s="9"/>
      <c r="E845" s="9"/>
      <c r="F845" s="9"/>
      <c r="G845" s="59"/>
      <c r="H845" s="9"/>
    </row>
    <row r="846">
      <c r="A846" s="9"/>
      <c r="B846" s="9"/>
      <c r="C846" s="9"/>
      <c r="D846" s="9"/>
      <c r="E846" s="9"/>
      <c r="F846" s="9"/>
      <c r="G846" s="59"/>
      <c r="H846" s="9"/>
    </row>
    <row r="847">
      <c r="A847" s="9"/>
      <c r="B847" s="9"/>
      <c r="C847" s="9"/>
      <c r="D847" s="9"/>
      <c r="E847" s="9"/>
      <c r="F847" s="9"/>
      <c r="G847" s="59"/>
      <c r="H847" s="9"/>
    </row>
    <row r="848">
      <c r="A848" s="9"/>
      <c r="B848" s="9"/>
      <c r="C848" s="9"/>
      <c r="D848" s="9"/>
      <c r="E848" s="9"/>
      <c r="F848" s="9"/>
      <c r="G848" s="59"/>
      <c r="H848" s="9"/>
    </row>
    <row r="849">
      <c r="A849" s="9"/>
      <c r="B849" s="9"/>
      <c r="C849" s="9"/>
      <c r="D849" s="9"/>
      <c r="E849" s="9"/>
      <c r="F849" s="9"/>
      <c r="G849" s="59"/>
      <c r="H849" s="9"/>
    </row>
    <row r="850">
      <c r="A850" s="9"/>
      <c r="B850" s="9"/>
      <c r="C850" s="9"/>
      <c r="D850" s="9"/>
      <c r="E850" s="9"/>
      <c r="F850" s="9"/>
      <c r="G850" s="59"/>
      <c r="H850" s="9"/>
    </row>
    <row r="851">
      <c r="A851" s="9"/>
      <c r="B851" s="9"/>
      <c r="C851" s="9"/>
      <c r="D851" s="9"/>
      <c r="E851" s="9"/>
      <c r="F851" s="9"/>
      <c r="G851" s="59"/>
      <c r="H851" s="9"/>
    </row>
    <row r="852">
      <c r="A852" s="9"/>
      <c r="B852" s="9"/>
      <c r="C852" s="9"/>
      <c r="D852" s="9"/>
      <c r="E852" s="9"/>
      <c r="F852" s="9"/>
      <c r="G852" s="59"/>
      <c r="H852" s="9"/>
    </row>
    <row r="853">
      <c r="A853" s="9"/>
      <c r="B853" s="9"/>
      <c r="C853" s="9"/>
      <c r="D853" s="9"/>
      <c r="E853" s="9"/>
      <c r="F853" s="9"/>
      <c r="G853" s="59"/>
      <c r="H853" s="9"/>
    </row>
    <row r="854">
      <c r="A854" s="9"/>
      <c r="B854" s="9"/>
      <c r="C854" s="9"/>
      <c r="D854" s="9"/>
      <c r="E854" s="9"/>
      <c r="F854" s="9"/>
      <c r="G854" s="59"/>
      <c r="H854" s="9"/>
    </row>
    <row r="855">
      <c r="A855" s="9"/>
      <c r="B855" s="9"/>
      <c r="C855" s="9"/>
      <c r="D855" s="9"/>
      <c r="E855" s="9"/>
      <c r="F855" s="9"/>
      <c r="G855" s="59"/>
      <c r="H855" s="9"/>
    </row>
    <row r="856">
      <c r="A856" s="9"/>
      <c r="B856" s="9"/>
      <c r="C856" s="9"/>
      <c r="D856" s="9"/>
      <c r="E856" s="9"/>
      <c r="F856" s="9"/>
      <c r="G856" s="59"/>
      <c r="H856" s="9"/>
    </row>
    <row r="857">
      <c r="A857" s="9"/>
      <c r="B857" s="9"/>
      <c r="C857" s="9"/>
      <c r="D857" s="9"/>
      <c r="E857" s="9"/>
      <c r="F857" s="9"/>
      <c r="G857" s="59"/>
      <c r="H857" s="9"/>
    </row>
    <row r="858">
      <c r="A858" s="9"/>
      <c r="B858" s="9"/>
      <c r="C858" s="9"/>
      <c r="D858" s="9"/>
      <c r="E858" s="9"/>
      <c r="F858" s="9"/>
      <c r="G858" s="59"/>
      <c r="H858" s="9"/>
    </row>
    <row r="859">
      <c r="A859" s="9"/>
      <c r="B859" s="9"/>
      <c r="C859" s="9"/>
      <c r="D859" s="9"/>
      <c r="E859" s="9"/>
      <c r="F859" s="9"/>
      <c r="G859" s="59"/>
      <c r="H859" s="9"/>
    </row>
    <row r="860">
      <c r="A860" s="9"/>
      <c r="B860" s="9"/>
      <c r="C860" s="9"/>
      <c r="D860" s="9"/>
      <c r="E860" s="9"/>
      <c r="F860" s="9"/>
      <c r="G860" s="59"/>
      <c r="H860" s="9"/>
    </row>
    <row r="861">
      <c r="A861" s="9"/>
      <c r="B861" s="9"/>
      <c r="C861" s="9"/>
      <c r="D861" s="9"/>
      <c r="E861" s="9"/>
      <c r="F861" s="9"/>
      <c r="G861" s="59"/>
      <c r="H861" s="9"/>
    </row>
    <row r="862">
      <c r="A862" s="9"/>
      <c r="B862" s="9"/>
      <c r="C862" s="9"/>
      <c r="D862" s="9"/>
      <c r="E862" s="9"/>
      <c r="F862" s="9"/>
      <c r="G862" s="59"/>
      <c r="H862" s="9"/>
    </row>
    <row r="863">
      <c r="A863" s="9"/>
      <c r="B863" s="9"/>
      <c r="C863" s="9"/>
      <c r="D863" s="9"/>
      <c r="E863" s="9"/>
      <c r="F863" s="9"/>
      <c r="G863" s="59"/>
      <c r="H863" s="9"/>
    </row>
    <row r="864">
      <c r="A864" s="9"/>
      <c r="B864" s="9"/>
      <c r="C864" s="9"/>
      <c r="D864" s="9"/>
      <c r="E864" s="9"/>
      <c r="F864" s="9"/>
      <c r="G864" s="59"/>
      <c r="H864" s="9"/>
    </row>
    <row r="865">
      <c r="A865" s="9"/>
      <c r="B865" s="9"/>
      <c r="C865" s="9"/>
      <c r="D865" s="9"/>
      <c r="E865" s="9"/>
      <c r="F865" s="9"/>
      <c r="G865" s="59"/>
      <c r="H865" s="9"/>
    </row>
    <row r="866">
      <c r="A866" s="9"/>
      <c r="B866" s="9"/>
      <c r="C866" s="9"/>
      <c r="D866" s="9"/>
      <c r="E866" s="9"/>
      <c r="F866" s="9"/>
      <c r="G866" s="59"/>
      <c r="H866" s="9"/>
    </row>
    <row r="867">
      <c r="A867" s="9"/>
      <c r="B867" s="9"/>
      <c r="C867" s="9"/>
      <c r="D867" s="9"/>
      <c r="E867" s="9"/>
      <c r="F867" s="9"/>
      <c r="G867" s="59"/>
      <c r="H867" s="9"/>
    </row>
    <row r="868">
      <c r="A868" s="9"/>
      <c r="B868" s="9"/>
      <c r="C868" s="9"/>
      <c r="D868" s="9"/>
      <c r="E868" s="9"/>
      <c r="F868" s="9"/>
      <c r="G868" s="59"/>
      <c r="H868" s="9"/>
    </row>
    <row r="869">
      <c r="A869" s="9"/>
      <c r="B869" s="9"/>
      <c r="C869" s="9"/>
      <c r="D869" s="9"/>
      <c r="E869" s="9"/>
      <c r="F869" s="9"/>
      <c r="G869" s="59"/>
      <c r="H869" s="9"/>
    </row>
    <row r="870">
      <c r="A870" s="9"/>
      <c r="B870" s="9"/>
      <c r="C870" s="9"/>
      <c r="D870" s="9"/>
      <c r="E870" s="9"/>
      <c r="F870" s="9"/>
      <c r="G870" s="59"/>
      <c r="H870" s="9"/>
    </row>
    <row r="871">
      <c r="A871" s="9"/>
      <c r="B871" s="9"/>
      <c r="C871" s="9"/>
      <c r="D871" s="9"/>
      <c r="E871" s="9"/>
      <c r="F871" s="9"/>
      <c r="G871" s="59"/>
      <c r="H871" s="9"/>
    </row>
    <row r="872">
      <c r="A872" s="9"/>
      <c r="B872" s="9"/>
      <c r="C872" s="9"/>
      <c r="D872" s="9"/>
      <c r="E872" s="9"/>
      <c r="F872" s="9"/>
      <c r="G872" s="59"/>
      <c r="H872" s="9"/>
    </row>
    <row r="873">
      <c r="A873" s="9"/>
      <c r="B873" s="9"/>
      <c r="C873" s="9"/>
      <c r="D873" s="9"/>
      <c r="E873" s="9"/>
      <c r="F873" s="9"/>
      <c r="G873" s="59"/>
      <c r="H873" s="9"/>
    </row>
    <row r="874">
      <c r="A874" s="9"/>
      <c r="B874" s="9"/>
      <c r="C874" s="9"/>
      <c r="D874" s="9"/>
      <c r="E874" s="9"/>
      <c r="F874" s="9"/>
      <c r="G874" s="59"/>
      <c r="H874" s="9"/>
    </row>
    <row r="875">
      <c r="A875" s="9"/>
      <c r="B875" s="9"/>
      <c r="C875" s="9"/>
      <c r="D875" s="9"/>
      <c r="E875" s="9"/>
      <c r="F875" s="9"/>
      <c r="G875" s="59"/>
      <c r="H875" s="9"/>
    </row>
    <row r="876">
      <c r="A876" s="9"/>
      <c r="B876" s="9"/>
      <c r="C876" s="9"/>
      <c r="D876" s="9"/>
      <c r="E876" s="9"/>
      <c r="F876" s="9"/>
      <c r="G876" s="59"/>
      <c r="H876" s="9"/>
    </row>
    <row r="877">
      <c r="A877" s="9"/>
      <c r="B877" s="9"/>
      <c r="C877" s="9"/>
      <c r="D877" s="9"/>
      <c r="E877" s="9"/>
      <c r="F877" s="9"/>
      <c r="G877" s="59"/>
      <c r="H877" s="9"/>
    </row>
    <row r="878">
      <c r="A878" s="9"/>
      <c r="B878" s="9"/>
      <c r="C878" s="9"/>
      <c r="D878" s="9"/>
      <c r="E878" s="9"/>
      <c r="F878" s="9"/>
      <c r="G878" s="59"/>
      <c r="H878" s="9"/>
    </row>
    <row r="879">
      <c r="A879" s="9"/>
      <c r="B879" s="9"/>
      <c r="C879" s="9"/>
      <c r="D879" s="9"/>
      <c r="E879" s="9"/>
      <c r="F879" s="9"/>
      <c r="G879" s="59"/>
      <c r="H879" s="9"/>
    </row>
    <row r="880">
      <c r="A880" s="9"/>
      <c r="B880" s="9"/>
      <c r="C880" s="9"/>
      <c r="D880" s="9"/>
      <c r="E880" s="9"/>
      <c r="F880" s="9"/>
      <c r="G880" s="59"/>
      <c r="H880" s="9"/>
    </row>
    <row r="881">
      <c r="A881" s="9"/>
      <c r="B881" s="9"/>
      <c r="C881" s="9"/>
      <c r="D881" s="9"/>
      <c r="E881" s="9"/>
      <c r="F881" s="9"/>
      <c r="G881" s="59"/>
      <c r="H881" s="9"/>
    </row>
    <row r="882">
      <c r="A882" s="9"/>
      <c r="B882" s="9"/>
      <c r="C882" s="9"/>
      <c r="D882" s="9"/>
      <c r="E882" s="9"/>
      <c r="F882" s="9"/>
      <c r="G882" s="59"/>
      <c r="H882" s="9"/>
    </row>
    <row r="883">
      <c r="A883" s="9"/>
      <c r="B883" s="9"/>
      <c r="C883" s="9"/>
      <c r="D883" s="9"/>
      <c r="E883" s="9"/>
      <c r="F883" s="9"/>
      <c r="G883" s="59"/>
      <c r="H883" s="9"/>
    </row>
    <row r="884">
      <c r="A884" s="9"/>
      <c r="B884" s="9"/>
      <c r="C884" s="9"/>
      <c r="D884" s="9"/>
      <c r="E884" s="9"/>
      <c r="F884" s="9"/>
      <c r="G884" s="59"/>
      <c r="H884" s="9"/>
    </row>
    <row r="885">
      <c r="A885" s="9"/>
      <c r="B885" s="9"/>
      <c r="C885" s="9"/>
      <c r="D885" s="9"/>
      <c r="E885" s="9"/>
      <c r="F885" s="9"/>
      <c r="G885" s="59"/>
      <c r="H885" s="9"/>
    </row>
    <row r="886">
      <c r="A886" s="9"/>
      <c r="B886" s="9"/>
      <c r="C886" s="9"/>
      <c r="D886" s="9"/>
      <c r="E886" s="9"/>
      <c r="F886" s="9"/>
      <c r="G886" s="59"/>
      <c r="H886" s="9"/>
    </row>
    <row r="887">
      <c r="A887" s="9"/>
      <c r="B887" s="9"/>
      <c r="C887" s="9"/>
      <c r="D887" s="9"/>
      <c r="E887" s="9"/>
      <c r="F887" s="9"/>
      <c r="G887" s="59"/>
      <c r="H887" s="9"/>
    </row>
    <row r="888">
      <c r="A888" s="9"/>
      <c r="B888" s="9"/>
      <c r="C888" s="9"/>
      <c r="D888" s="9"/>
      <c r="E888" s="9"/>
      <c r="F888" s="9"/>
      <c r="G888" s="59"/>
      <c r="H888" s="9"/>
    </row>
    <row r="889">
      <c r="A889" s="9"/>
      <c r="B889" s="9"/>
      <c r="C889" s="9"/>
      <c r="D889" s="9"/>
      <c r="E889" s="9"/>
      <c r="F889" s="9"/>
      <c r="G889" s="59"/>
      <c r="H889" s="9"/>
    </row>
    <row r="890">
      <c r="A890" s="9"/>
      <c r="B890" s="9"/>
      <c r="C890" s="9"/>
      <c r="D890" s="9"/>
      <c r="E890" s="9"/>
      <c r="F890" s="9"/>
      <c r="G890" s="59"/>
      <c r="H890" s="9"/>
    </row>
    <row r="891">
      <c r="A891" s="9"/>
      <c r="B891" s="9"/>
      <c r="C891" s="9"/>
      <c r="D891" s="9"/>
      <c r="E891" s="9"/>
      <c r="F891" s="9"/>
      <c r="G891" s="59"/>
      <c r="H891" s="9"/>
    </row>
    <row r="892">
      <c r="A892" s="9"/>
      <c r="B892" s="9"/>
      <c r="C892" s="9"/>
      <c r="D892" s="9"/>
      <c r="E892" s="9"/>
      <c r="F892" s="9"/>
      <c r="G892" s="59"/>
      <c r="H892" s="9"/>
    </row>
    <row r="893">
      <c r="A893" s="9"/>
      <c r="B893" s="9"/>
      <c r="C893" s="9"/>
      <c r="D893" s="9"/>
      <c r="E893" s="9"/>
      <c r="F893" s="9"/>
      <c r="G893" s="59"/>
      <c r="H893" s="9"/>
    </row>
    <row r="894">
      <c r="A894" s="9"/>
      <c r="B894" s="9"/>
      <c r="C894" s="9"/>
      <c r="D894" s="9"/>
      <c r="E894" s="9"/>
      <c r="F894" s="9"/>
      <c r="G894" s="59"/>
      <c r="H894" s="9"/>
    </row>
    <row r="895">
      <c r="A895" s="9"/>
      <c r="B895" s="9"/>
      <c r="C895" s="9"/>
      <c r="D895" s="9"/>
      <c r="E895" s="9"/>
      <c r="F895" s="9"/>
      <c r="G895" s="59"/>
      <c r="H895" s="9"/>
    </row>
    <row r="896">
      <c r="A896" s="9"/>
      <c r="B896" s="9"/>
      <c r="C896" s="9"/>
      <c r="D896" s="9"/>
      <c r="E896" s="9"/>
      <c r="F896" s="9"/>
      <c r="G896" s="59"/>
      <c r="H896" s="9"/>
    </row>
    <row r="897">
      <c r="A897" s="9"/>
      <c r="B897" s="9"/>
      <c r="C897" s="9"/>
      <c r="D897" s="9"/>
      <c r="E897" s="9"/>
      <c r="F897" s="9"/>
      <c r="G897" s="59"/>
      <c r="H897" s="9"/>
    </row>
    <row r="898">
      <c r="A898" s="9"/>
      <c r="B898" s="9"/>
      <c r="C898" s="9"/>
      <c r="D898" s="9"/>
      <c r="E898" s="9"/>
      <c r="F898" s="9"/>
      <c r="G898" s="59"/>
      <c r="H898" s="9"/>
    </row>
    <row r="899">
      <c r="A899" s="9"/>
      <c r="B899" s="9"/>
      <c r="C899" s="9"/>
      <c r="D899" s="9"/>
      <c r="E899" s="9"/>
      <c r="F899" s="9"/>
      <c r="G899" s="59"/>
      <c r="H899" s="9"/>
    </row>
    <row r="900">
      <c r="A900" s="9"/>
      <c r="B900" s="9"/>
      <c r="C900" s="9"/>
      <c r="D900" s="9"/>
      <c r="E900" s="9"/>
      <c r="F900" s="9"/>
      <c r="G900" s="59"/>
      <c r="H900" s="9"/>
    </row>
    <row r="901">
      <c r="A901" s="9"/>
      <c r="B901" s="9"/>
      <c r="C901" s="9"/>
      <c r="D901" s="9"/>
      <c r="E901" s="9"/>
      <c r="F901" s="9"/>
      <c r="G901" s="59"/>
      <c r="H901" s="9"/>
    </row>
    <row r="902">
      <c r="A902" s="9"/>
      <c r="B902" s="9"/>
      <c r="C902" s="9"/>
      <c r="D902" s="9"/>
      <c r="E902" s="9"/>
      <c r="F902" s="9"/>
      <c r="G902" s="59"/>
      <c r="H902" s="9"/>
    </row>
    <row r="903">
      <c r="A903" s="9"/>
      <c r="B903" s="9"/>
      <c r="C903" s="9"/>
      <c r="D903" s="9"/>
      <c r="E903" s="9"/>
      <c r="F903" s="9"/>
      <c r="G903" s="59"/>
      <c r="H903" s="9"/>
    </row>
    <row r="904">
      <c r="A904" s="9"/>
      <c r="B904" s="9"/>
      <c r="C904" s="9"/>
      <c r="D904" s="9"/>
      <c r="E904" s="9"/>
      <c r="F904" s="9"/>
      <c r="G904" s="59"/>
      <c r="H904" s="9"/>
    </row>
    <row r="905">
      <c r="A905" s="9"/>
      <c r="B905" s="9"/>
      <c r="C905" s="9"/>
      <c r="D905" s="9"/>
      <c r="E905" s="9"/>
      <c r="F905" s="9"/>
      <c r="G905" s="59"/>
      <c r="H905" s="9"/>
    </row>
    <row r="906">
      <c r="A906" s="9"/>
      <c r="B906" s="9"/>
      <c r="C906" s="9"/>
      <c r="D906" s="9"/>
      <c r="E906" s="9"/>
      <c r="F906" s="9"/>
      <c r="G906" s="59"/>
      <c r="H906" s="9"/>
    </row>
    <row r="907">
      <c r="A907" s="9"/>
      <c r="B907" s="9"/>
      <c r="C907" s="9"/>
      <c r="D907" s="9"/>
      <c r="E907" s="9"/>
      <c r="F907" s="9"/>
      <c r="G907" s="59"/>
      <c r="H907" s="9"/>
    </row>
    <row r="908">
      <c r="A908" s="9"/>
      <c r="B908" s="9"/>
      <c r="C908" s="9"/>
      <c r="D908" s="9"/>
      <c r="E908" s="9"/>
      <c r="F908" s="9"/>
      <c r="G908" s="59"/>
      <c r="H908" s="9"/>
    </row>
    <row r="909">
      <c r="A909" s="9"/>
      <c r="B909" s="9"/>
      <c r="C909" s="9"/>
      <c r="D909" s="9"/>
      <c r="E909" s="9"/>
      <c r="F909" s="9"/>
      <c r="G909" s="59"/>
      <c r="H909" s="9"/>
    </row>
    <row r="910">
      <c r="A910" s="9"/>
      <c r="B910" s="9"/>
      <c r="C910" s="9"/>
      <c r="D910" s="9"/>
      <c r="E910" s="9"/>
      <c r="F910" s="9"/>
      <c r="G910" s="59"/>
      <c r="H910" s="9"/>
    </row>
    <row r="911">
      <c r="A911" s="9"/>
      <c r="B911" s="9"/>
      <c r="C911" s="9"/>
      <c r="D911" s="9"/>
      <c r="E911" s="9"/>
      <c r="F911" s="9"/>
      <c r="G911" s="59"/>
      <c r="H911" s="9"/>
    </row>
    <row r="912">
      <c r="A912" s="9"/>
      <c r="B912" s="9"/>
      <c r="C912" s="9"/>
      <c r="D912" s="9"/>
      <c r="E912" s="9"/>
      <c r="F912" s="9"/>
      <c r="G912" s="59"/>
      <c r="H912" s="9"/>
    </row>
    <row r="913">
      <c r="A913" s="9"/>
      <c r="B913" s="9"/>
      <c r="C913" s="9"/>
      <c r="D913" s="9"/>
      <c r="E913" s="9"/>
      <c r="F913" s="9"/>
      <c r="G913" s="59"/>
      <c r="H913" s="9"/>
    </row>
    <row r="914">
      <c r="A914" s="9"/>
      <c r="B914" s="9"/>
      <c r="C914" s="9"/>
      <c r="D914" s="9"/>
      <c r="E914" s="9"/>
      <c r="F914" s="9"/>
      <c r="G914" s="59"/>
      <c r="H914" s="9"/>
    </row>
    <row r="915">
      <c r="A915" s="9"/>
      <c r="B915" s="9"/>
      <c r="C915" s="9"/>
      <c r="D915" s="9"/>
      <c r="E915" s="9"/>
      <c r="F915" s="9"/>
      <c r="G915" s="59"/>
      <c r="H915" s="9"/>
    </row>
    <row r="916">
      <c r="A916" s="9"/>
      <c r="B916" s="9"/>
      <c r="C916" s="9"/>
      <c r="D916" s="9"/>
      <c r="E916" s="9"/>
      <c r="F916" s="9"/>
      <c r="G916" s="59"/>
      <c r="H916" s="9"/>
    </row>
    <row r="917">
      <c r="A917" s="9"/>
      <c r="B917" s="9"/>
      <c r="C917" s="9"/>
      <c r="D917" s="9"/>
      <c r="E917" s="9"/>
      <c r="F917" s="9"/>
      <c r="G917" s="59"/>
      <c r="H917" s="9"/>
    </row>
    <row r="918">
      <c r="A918" s="9"/>
      <c r="B918" s="9"/>
      <c r="C918" s="9"/>
      <c r="D918" s="9"/>
      <c r="E918" s="9"/>
      <c r="F918" s="9"/>
      <c r="G918" s="59"/>
      <c r="H918" s="9"/>
    </row>
    <row r="919">
      <c r="A919" s="9"/>
      <c r="B919" s="9"/>
      <c r="C919" s="9"/>
      <c r="D919" s="9"/>
      <c r="E919" s="9"/>
      <c r="F919" s="9"/>
      <c r="G919" s="59"/>
      <c r="H919" s="9"/>
    </row>
    <row r="920">
      <c r="A920" s="9"/>
      <c r="B920" s="9"/>
      <c r="C920" s="9"/>
      <c r="D920" s="9"/>
      <c r="E920" s="9"/>
      <c r="F920" s="9"/>
      <c r="G920" s="59"/>
      <c r="H920" s="9"/>
    </row>
    <row r="921">
      <c r="A921" s="9"/>
      <c r="B921" s="9"/>
      <c r="C921" s="9"/>
      <c r="D921" s="9"/>
      <c r="E921" s="9"/>
      <c r="F921" s="9"/>
      <c r="G921" s="59"/>
      <c r="H921" s="9"/>
    </row>
    <row r="922">
      <c r="A922" s="9"/>
      <c r="B922" s="9"/>
      <c r="C922" s="9"/>
      <c r="D922" s="9"/>
      <c r="E922" s="9"/>
      <c r="F922" s="9"/>
      <c r="G922" s="59"/>
      <c r="H922" s="9"/>
    </row>
    <row r="923">
      <c r="A923" s="9"/>
      <c r="B923" s="9"/>
      <c r="C923" s="9"/>
      <c r="D923" s="9"/>
      <c r="E923" s="9"/>
      <c r="F923" s="9"/>
      <c r="G923" s="59"/>
      <c r="H923" s="9"/>
    </row>
    <row r="924">
      <c r="A924" s="9"/>
      <c r="B924" s="9"/>
      <c r="C924" s="9"/>
      <c r="D924" s="9"/>
      <c r="E924" s="9"/>
      <c r="F924" s="9"/>
      <c r="G924" s="59"/>
      <c r="H924" s="9"/>
    </row>
    <row r="925">
      <c r="A925" s="9"/>
      <c r="B925" s="9"/>
      <c r="C925" s="9"/>
      <c r="D925" s="9"/>
      <c r="E925" s="9"/>
      <c r="F925" s="9"/>
      <c r="G925" s="59"/>
      <c r="H925" s="9"/>
    </row>
    <row r="926">
      <c r="A926" s="9"/>
      <c r="B926" s="9"/>
      <c r="C926" s="9"/>
      <c r="D926" s="9"/>
      <c r="E926" s="9"/>
      <c r="F926" s="9"/>
      <c r="G926" s="59"/>
      <c r="H926" s="9"/>
    </row>
    <row r="927">
      <c r="A927" s="9"/>
      <c r="B927" s="9"/>
      <c r="C927" s="9"/>
      <c r="D927" s="9"/>
      <c r="E927" s="9"/>
      <c r="F927" s="9"/>
      <c r="G927" s="59"/>
      <c r="H927" s="9"/>
    </row>
    <row r="928">
      <c r="A928" s="9"/>
      <c r="B928" s="9"/>
      <c r="C928" s="9"/>
      <c r="D928" s="9"/>
      <c r="E928" s="9"/>
      <c r="F928" s="9"/>
      <c r="G928" s="59"/>
      <c r="H928" s="9"/>
    </row>
    <row r="929">
      <c r="A929" s="9"/>
      <c r="B929" s="9"/>
      <c r="C929" s="9"/>
      <c r="D929" s="9"/>
      <c r="E929" s="9"/>
      <c r="F929" s="9"/>
      <c r="G929" s="59"/>
      <c r="H929" s="9"/>
    </row>
    <row r="930">
      <c r="A930" s="9"/>
      <c r="B930" s="9"/>
      <c r="C930" s="9"/>
      <c r="D930" s="9"/>
      <c r="E930" s="9"/>
      <c r="F930" s="9"/>
      <c r="G930" s="59"/>
      <c r="H930" s="9"/>
    </row>
    <row r="931">
      <c r="A931" s="9"/>
      <c r="B931" s="9"/>
      <c r="C931" s="9"/>
      <c r="D931" s="9"/>
      <c r="E931" s="9"/>
      <c r="F931" s="9"/>
      <c r="G931" s="59"/>
      <c r="H931" s="9"/>
    </row>
    <row r="932">
      <c r="A932" s="9"/>
      <c r="B932" s="9"/>
      <c r="C932" s="9"/>
      <c r="D932" s="9"/>
      <c r="E932" s="9"/>
      <c r="F932" s="9"/>
      <c r="G932" s="59"/>
      <c r="H932" s="9"/>
    </row>
    <row r="933">
      <c r="A933" s="9"/>
      <c r="B933" s="9"/>
      <c r="C933" s="9"/>
      <c r="D933" s="9"/>
      <c r="E933" s="9"/>
      <c r="F933" s="9"/>
      <c r="G933" s="59"/>
      <c r="H933" s="9"/>
    </row>
    <row r="934">
      <c r="A934" s="9"/>
      <c r="B934" s="9"/>
      <c r="C934" s="9"/>
      <c r="D934" s="9"/>
      <c r="E934" s="9"/>
      <c r="F934" s="9"/>
      <c r="G934" s="59"/>
      <c r="H934" s="9"/>
    </row>
    <row r="935">
      <c r="A935" s="9"/>
      <c r="B935" s="9"/>
      <c r="C935" s="9"/>
      <c r="D935" s="9"/>
      <c r="E935" s="9"/>
      <c r="F935" s="9"/>
      <c r="G935" s="59"/>
      <c r="H935" s="9"/>
    </row>
    <row r="936">
      <c r="A936" s="9"/>
      <c r="B936" s="9"/>
      <c r="C936" s="9"/>
      <c r="D936" s="9"/>
      <c r="E936" s="9"/>
      <c r="F936" s="9"/>
      <c r="G936" s="59"/>
      <c r="H936" s="9"/>
    </row>
    <row r="937">
      <c r="A937" s="9"/>
      <c r="B937" s="9"/>
      <c r="C937" s="9"/>
      <c r="D937" s="9"/>
      <c r="E937" s="9"/>
      <c r="F937" s="9"/>
      <c r="G937" s="59"/>
      <c r="H937" s="9"/>
    </row>
    <row r="938">
      <c r="A938" s="9"/>
      <c r="B938" s="9"/>
      <c r="C938" s="9"/>
      <c r="D938" s="9"/>
      <c r="E938" s="9"/>
      <c r="F938" s="9"/>
      <c r="G938" s="59"/>
      <c r="H938" s="9"/>
    </row>
    <row r="939">
      <c r="A939" s="9"/>
      <c r="B939" s="9"/>
      <c r="C939" s="9"/>
      <c r="D939" s="9"/>
      <c r="E939" s="9"/>
      <c r="F939" s="9"/>
      <c r="G939" s="59"/>
      <c r="H939" s="9"/>
    </row>
    <row r="940">
      <c r="A940" s="9"/>
      <c r="B940" s="9"/>
      <c r="C940" s="9"/>
      <c r="D940" s="9"/>
      <c r="E940" s="9"/>
      <c r="F940" s="9"/>
      <c r="G940" s="59"/>
      <c r="H940" s="9"/>
    </row>
    <row r="941">
      <c r="A941" s="9"/>
      <c r="B941" s="9"/>
      <c r="C941" s="9"/>
      <c r="D941" s="9"/>
      <c r="E941" s="9"/>
      <c r="F941" s="9"/>
      <c r="G941" s="59"/>
      <c r="H941" s="9"/>
    </row>
    <row r="942">
      <c r="A942" s="9"/>
      <c r="B942" s="9"/>
      <c r="C942" s="9"/>
      <c r="D942" s="9"/>
      <c r="E942" s="9"/>
      <c r="F942" s="9"/>
      <c r="G942" s="59"/>
      <c r="H942" s="9"/>
    </row>
    <row r="943">
      <c r="A943" s="9"/>
      <c r="B943" s="9"/>
      <c r="C943" s="9"/>
      <c r="D943" s="9"/>
      <c r="E943" s="9"/>
      <c r="F943" s="9"/>
      <c r="G943" s="59"/>
      <c r="H943" s="9"/>
    </row>
    <row r="944">
      <c r="A944" s="9"/>
      <c r="B944" s="9"/>
      <c r="C944" s="9"/>
      <c r="D944" s="9"/>
      <c r="E944" s="9"/>
      <c r="F944" s="9"/>
      <c r="G944" s="59"/>
      <c r="H944" s="9"/>
    </row>
    <row r="945">
      <c r="A945" s="9"/>
      <c r="B945" s="9"/>
      <c r="C945" s="9"/>
      <c r="D945" s="9"/>
      <c r="E945" s="9"/>
      <c r="F945" s="9"/>
      <c r="G945" s="59"/>
      <c r="H945" s="9"/>
    </row>
    <row r="946">
      <c r="A946" s="9"/>
      <c r="B946" s="9"/>
      <c r="C946" s="9"/>
      <c r="D946" s="9"/>
      <c r="E946" s="9"/>
      <c r="F946" s="9"/>
      <c r="G946" s="59"/>
      <c r="H946" s="9"/>
    </row>
    <row r="947">
      <c r="A947" s="9"/>
      <c r="B947" s="9"/>
      <c r="C947" s="9"/>
      <c r="D947" s="9"/>
      <c r="E947" s="9"/>
      <c r="F947" s="9"/>
      <c r="G947" s="59"/>
      <c r="H947" s="9"/>
    </row>
    <row r="948">
      <c r="A948" s="9"/>
      <c r="B948" s="9"/>
      <c r="C948" s="9"/>
      <c r="D948" s="9"/>
      <c r="E948" s="9"/>
      <c r="F948" s="9"/>
      <c r="G948" s="59"/>
      <c r="H948" s="9"/>
    </row>
    <row r="949">
      <c r="A949" s="9"/>
      <c r="B949" s="9"/>
      <c r="C949" s="9"/>
      <c r="D949" s="9"/>
      <c r="E949" s="9"/>
      <c r="F949" s="9"/>
      <c r="G949" s="59"/>
      <c r="H949" s="9"/>
    </row>
    <row r="950">
      <c r="A950" s="9"/>
      <c r="B950" s="9"/>
      <c r="C950" s="9"/>
      <c r="D950" s="9"/>
      <c r="E950" s="9"/>
      <c r="F950" s="9"/>
      <c r="G950" s="59"/>
      <c r="H950" s="9"/>
    </row>
    <row r="951">
      <c r="A951" s="9"/>
      <c r="B951" s="9"/>
      <c r="C951" s="9"/>
      <c r="D951" s="9"/>
      <c r="E951" s="9"/>
      <c r="F951" s="9"/>
      <c r="G951" s="59"/>
      <c r="H951" s="9"/>
    </row>
    <row r="952">
      <c r="A952" s="9"/>
      <c r="B952" s="9"/>
      <c r="C952" s="9"/>
      <c r="D952" s="9"/>
      <c r="E952" s="9"/>
      <c r="F952" s="9"/>
      <c r="G952" s="59"/>
      <c r="H952" s="9"/>
    </row>
    <row r="953">
      <c r="A953" s="9"/>
      <c r="B953" s="9"/>
      <c r="C953" s="9"/>
      <c r="D953" s="9"/>
      <c r="E953" s="9"/>
      <c r="F953" s="9"/>
      <c r="G953" s="59"/>
      <c r="H953" s="9"/>
    </row>
    <row r="954">
      <c r="A954" s="9"/>
      <c r="B954" s="9"/>
      <c r="C954" s="9"/>
      <c r="D954" s="9"/>
      <c r="E954" s="9"/>
      <c r="F954" s="9"/>
      <c r="G954" s="59"/>
      <c r="H954" s="9"/>
    </row>
    <row r="955">
      <c r="A955" s="9"/>
      <c r="B955" s="9"/>
      <c r="C955" s="9"/>
      <c r="D955" s="9"/>
      <c r="E955" s="9"/>
      <c r="F955" s="9"/>
      <c r="G955" s="59"/>
      <c r="H955" s="9"/>
    </row>
    <row r="956">
      <c r="A956" s="9"/>
      <c r="B956" s="9"/>
      <c r="C956" s="9"/>
      <c r="D956" s="9"/>
      <c r="E956" s="9"/>
      <c r="F956" s="9"/>
      <c r="G956" s="59"/>
      <c r="H956" s="9"/>
    </row>
    <row r="957">
      <c r="A957" s="9"/>
      <c r="B957" s="9"/>
      <c r="C957" s="9"/>
      <c r="D957" s="9"/>
      <c r="E957" s="9"/>
      <c r="F957" s="9"/>
      <c r="G957" s="59"/>
      <c r="H957" s="9"/>
    </row>
    <row r="958">
      <c r="A958" s="9"/>
      <c r="B958" s="9"/>
      <c r="C958" s="9"/>
      <c r="D958" s="9"/>
      <c r="E958" s="9"/>
      <c r="F958" s="9"/>
      <c r="G958" s="59"/>
      <c r="H958" s="9"/>
    </row>
    <row r="959">
      <c r="A959" s="9"/>
      <c r="B959" s="9"/>
      <c r="C959" s="9"/>
      <c r="D959" s="9"/>
      <c r="E959" s="9"/>
      <c r="F959" s="9"/>
      <c r="G959" s="59"/>
      <c r="H959" s="9"/>
    </row>
    <row r="960">
      <c r="A960" s="9"/>
      <c r="B960" s="9"/>
      <c r="C960" s="9"/>
      <c r="D960" s="9"/>
      <c r="E960" s="9"/>
      <c r="F960" s="9"/>
      <c r="G960" s="59"/>
      <c r="H960" s="9"/>
    </row>
    <row r="961">
      <c r="A961" s="9"/>
      <c r="B961" s="9"/>
      <c r="C961" s="9"/>
      <c r="D961" s="9"/>
      <c r="E961" s="9"/>
      <c r="F961" s="9"/>
      <c r="G961" s="59"/>
      <c r="H961" s="9"/>
    </row>
    <row r="962">
      <c r="A962" s="9"/>
      <c r="B962" s="9"/>
      <c r="C962" s="9"/>
      <c r="D962" s="9"/>
      <c r="E962" s="9"/>
      <c r="F962" s="9"/>
      <c r="G962" s="59"/>
      <c r="H962" s="9"/>
    </row>
    <row r="963">
      <c r="A963" s="9"/>
      <c r="B963" s="9"/>
      <c r="C963" s="9"/>
      <c r="D963" s="9"/>
      <c r="E963" s="9"/>
      <c r="F963" s="9"/>
      <c r="G963" s="59"/>
      <c r="H963" s="9"/>
    </row>
    <row r="964">
      <c r="A964" s="9"/>
      <c r="B964" s="9"/>
      <c r="C964" s="9"/>
      <c r="D964" s="9"/>
      <c r="E964" s="9"/>
      <c r="F964" s="9"/>
      <c r="G964" s="59"/>
      <c r="H964" s="9"/>
    </row>
    <row r="965">
      <c r="A965" s="9"/>
      <c r="B965" s="9"/>
      <c r="C965" s="9"/>
      <c r="D965" s="9"/>
      <c r="E965" s="9"/>
      <c r="F965" s="9"/>
      <c r="G965" s="59"/>
      <c r="H965" s="9"/>
    </row>
    <row r="966">
      <c r="A966" s="9"/>
      <c r="B966" s="9"/>
      <c r="C966" s="9"/>
      <c r="D966" s="9"/>
      <c r="E966" s="9"/>
      <c r="F966" s="9"/>
      <c r="G966" s="59"/>
      <c r="H966" s="9"/>
    </row>
    <row r="967">
      <c r="A967" s="9"/>
      <c r="B967" s="9"/>
      <c r="C967" s="9"/>
      <c r="D967" s="9"/>
      <c r="E967" s="9"/>
      <c r="F967" s="9"/>
      <c r="G967" s="59"/>
      <c r="H967" s="9"/>
    </row>
    <row r="968">
      <c r="A968" s="9"/>
      <c r="B968" s="9"/>
      <c r="C968" s="9"/>
      <c r="D968" s="9"/>
      <c r="E968" s="9"/>
      <c r="F968" s="9"/>
      <c r="G968" s="59"/>
      <c r="H968" s="9"/>
    </row>
    <row r="969">
      <c r="A969" s="9"/>
      <c r="B969" s="9"/>
      <c r="C969" s="9"/>
      <c r="D969" s="9"/>
      <c r="E969" s="9"/>
      <c r="F969" s="9"/>
      <c r="G969" s="59"/>
      <c r="H969" s="9"/>
    </row>
    <row r="970">
      <c r="A970" s="9"/>
      <c r="B970" s="9"/>
      <c r="C970" s="9"/>
      <c r="D970" s="9"/>
      <c r="E970" s="9"/>
      <c r="F970" s="9"/>
      <c r="G970" s="59"/>
      <c r="H970" s="9"/>
    </row>
    <row r="971">
      <c r="A971" s="9"/>
      <c r="B971" s="9"/>
      <c r="C971" s="9"/>
      <c r="D971" s="9"/>
      <c r="E971" s="9"/>
      <c r="F971" s="9"/>
      <c r="G971" s="59"/>
      <c r="H971" s="9"/>
    </row>
    <row r="972">
      <c r="A972" s="9"/>
      <c r="B972" s="9"/>
      <c r="C972" s="9"/>
      <c r="D972" s="9"/>
      <c r="E972" s="9"/>
      <c r="F972" s="9"/>
      <c r="G972" s="59"/>
      <c r="H972" s="9"/>
    </row>
    <row r="973">
      <c r="A973" s="9"/>
      <c r="B973" s="9"/>
      <c r="C973" s="9"/>
      <c r="D973" s="9"/>
      <c r="E973" s="9"/>
      <c r="F973" s="9"/>
      <c r="G973" s="59"/>
      <c r="H973" s="9"/>
    </row>
    <row r="974">
      <c r="A974" s="9"/>
      <c r="B974" s="9"/>
      <c r="C974" s="9"/>
      <c r="D974" s="9"/>
      <c r="E974" s="9"/>
      <c r="F974" s="9"/>
      <c r="G974" s="59"/>
      <c r="H974" s="9"/>
    </row>
    <row r="975">
      <c r="A975" s="9"/>
      <c r="B975" s="9"/>
      <c r="C975" s="9"/>
      <c r="D975" s="9"/>
      <c r="E975" s="9"/>
      <c r="F975" s="9"/>
      <c r="G975" s="59"/>
      <c r="H975" s="9"/>
    </row>
    <row r="976">
      <c r="A976" s="9"/>
      <c r="B976" s="9"/>
      <c r="C976" s="9"/>
      <c r="D976" s="9"/>
      <c r="E976" s="9"/>
      <c r="F976" s="9"/>
      <c r="G976" s="59"/>
      <c r="H976" s="9"/>
    </row>
    <row r="977">
      <c r="A977" s="9"/>
      <c r="B977" s="9"/>
      <c r="C977" s="9"/>
      <c r="D977" s="9"/>
      <c r="E977" s="9"/>
      <c r="F977" s="9"/>
      <c r="G977" s="59"/>
      <c r="H977" s="9"/>
    </row>
    <row r="978">
      <c r="A978" s="9"/>
      <c r="B978" s="9"/>
      <c r="C978" s="9"/>
      <c r="D978" s="9"/>
      <c r="E978" s="9"/>
      <c r="F978" s="9"/>
      <c r="G978" s="59"/>
      <c r="H978" s="9"/>
    </row>
    <row r="979">
      <c r="A979" s="9"/>
      <c r="B979" s="9"/>
      <c r="C979" s="9"/>
      <c r="D979" s="9"/>
      <c r="E979" s="9"/>
      <c r="F979" s="9"/>
      <c r="G979" s="59"/>
      <c r="H979" s="9"/>
    </row>
    <row r="980">
      <c r="A980" s="9"/>
      <c r="B980" s="9"/>
      <c r="C980" s="9"/>
      <c r="D980" s="9"/>
      <c r="E980" s="9"/>
      <c r="F980" s="9"/>
      <c r="G980" s="59"/>
      <c r="H980" s="9"/>
    </row>
    <row r="981">
      <c r="A981" s="9"/>
      <c r="B981" s="9"/>
      <c r="C981" s="9"/>
      <c r="D981" s="9"/>
      <c r="E981" s="9"/>
      <c r="F981" s="9"/>
      <c r="G981" s="59"/>
      <c r="H981" s="9"/>
    </row>
    <row r="982">
      <c r="A982" s="9"/>
      <c r="B982" s="9"/>
      <c r="C982" s="9"/>
      <c r="D982" s="9"/>
      <c r="E982" s="9"/>
      <c r="F982" s="9"/>
      <c r="G982" s="59"/>
      <c r="H982" s="9"/>
    </row>
    <row r="983">
      <c r="A983" s="9"/>
      <c r="B983" s="9"/>
      <c r="C983" s="9"/>
      <c r="D983" s="9"/>
      <c r="E983" s="9"/>
      <c r="F983" s="9"/>
      <c r="G983" s="59"/>
      <c r="H983" s="9"/>
    </row>
    <row r="984">
      <c r="A984" s="9"/>
      <c r="B984" s="9"/>
      <c r="C984" s="9"/>
      <c r="D984" s="9"/>
      <c r="E984" s="9"/>
      <c r="F984" s="9"/>
      <c r="G984" s="59"/>
      <c r="H984" s="9"/>
    </row>
    <row r="985">
      <c r="A985" s="9"/>
      <c r="B985" s="9"/>
      <c r="C985" s="9"/>
      <c r="D985" s="9"/>
      <c r="E985" s="9"/>
      <c r="F985" s="9"/>
      <c r="G985" s="59"/>
      <c r="H985" s="9"/>
    </row>
    <row r="986">
      <c r="A986" s="9"/>
      <c r="B986" s="9"/>
      <c r="C986" s="9"/>
      <c r="D986" s="9"/>
      <c r="E986" s="9"/>
      <c r="F986" s="9"/>
      <c r="G986" s="59"/>
      <c r="H986" s="9"/>
    </row>
    <row r="987">
      <c r="A987" s="9"/>
      <c r="B987" s="9"/>
      <c r="C987" s="9"/>
      <c r="D987" s="9"/>
      <c r="E987" s="9"/>
      <c r="F987" s="9"/>
      <c r="G987" s="59"/>
      <c r="H987" s="9"/>
    </row>
    <row r="988">
      <c r="A988" s="9"/>
      <c r="B988" s="9"/>
      <c r="C988" s="9"/>
      <c r="D988" s="9"/>
      <c r="E988" s="9"/>
      <c r="F988" s="9"/>
      <c r="G988" s="59"/>
      <c r="H988" s="9"/>
    </row>
    <row r="989">
      <c r="A989" s="9"/>
      <c r="B989" s="9"/>
      <c r="C989" s="9"/>
      <c r="D989" s="9"/>
      <c r="E989" s="9"/>
      <c r="F989" s="9"/>
      <c r="G989" s="59"/>
      <c r="H989" s="9"/>
    </row>
    <row r="990">
      <c r="A990" s="9"/>
      <c r="B990" s="9"/>
      <c r="C990" s="9"/>
      <c r="D990" s="9"/>
      <c r="E990" s="9"/>
      <c r="F990" s="9"/>
      <c r="G990" s="59"/>
      <c r="H990" s="9"/>
    </row>
    <row r="991">
      <c r="A991" s="9"/>
      <c r="B991" s="9"/>
      <c r="C991" s="9"/>
      <c r="D991" s="9"/>
      <c r="E991" s="9"/>
      <c r="F991" s="9"/>
      <c r="G991" s="59"/>
      <c r="H991" s="9"/>
    </row>
    <row r="992">
      <c r="A992" s="9"/>
      <c r="B992" s="9"/>
      <c r="C992" s="9"/>
      <c r="D992" s="9"/>
      <c r="E992" s="9"/>
      <c r="F992" s="9"/>
      <c r="G992" s="59"/>
      <c r="H992" s="9"/>
    </row>
    <row r="993">
      <c r="A993" s="9"/>
      <c r="B993" s="9"/>
      <c r="C993" s="9"/>
      <c r="D993" s="9"/>
      <c r="E993" s="9"/>
      <c r="F993" s="9"/>
      <c r="G993" s="59"/>
      <c r="H993" s="9"/>
    </row>
    <row r="994">
      <c r="A994" s="9"/>
      <c r="B994" s="9"/>
      <c r="C994" s="9"/>
      <c r="D994" s="9"/>
      <c r="E994" s="9"/>
      <c r="F994" s="9"/>
      <c r="G994" s="59"/>
      <c r="H994" s="9"/>
    </row>
    <row r="995">
      <c r="A995" s="9"/>
      <c r="B995" s="9"/>
      <c r="C995" s="9"/>
      <c r="D995" s="9"/>
      <c r="E995" s="9"/>
      <c r="F995" s="9"/>
      <c r="G995" s="59"/>
      <c r="H995" s="9"/>
    </row>
    <row r="996">
      <c r="A996" s="9"/>
      <c r="B996" s="9"/>
      <c r="C996" s="9"/>
      <c r="D996" s="9"/>
      <c r="E996" s="9"/>
      <c r="F996" s="9"/>
      <c r="G996" s="59"/>
      <c r="H996" s="9"/>
    </row>
    <row r="997">
      <c r="A997" s="9"/>
      <c r="B997" s="9"/>
      <c r="C997" s="9"/>
      <c r="D997" s="9"/>
      <c r="E997" s="9"/>
      <c r="F997" s="9"/>
      <c r="G997" s="59"/>
      <c r="H997" s="9"/>
    </row>
    <row r="998">
      <c r="A998" s="9"/>
      <c r="B998" s="9"/>
      <c r="C998" s="9"/>
      <c r="D998" s="9"/>
      <c r="E998" s="9"/>
      <c r="F998" s="9"/>
      <c r="G998" s="59"/>
      <c r="H998" s="9"/>
    </row>
    <row r="999">
      <c r="A999" s="9"/>
      <c r="B999" s="9"/>
      <c r="C999" s="9"/>
      <c r="D999" s="9"/>
      <c r="E999" s="9"/>
      <c r="F999" s="9"/>
      <c r="G999" s="59"/>
      <c r="H999" s="9"/>
    </row>
    <row r="1000">
      <c r="A1000" s="9"/>
      <c r="B1000" s="9"/>
      <c r="C1000" s="9"/>
      <c r="D1000" s="9"/>
      <c r="E1000" s="9"/>
      <c r="F1000" s="9"/>
      <c r="G1000" s="59"/>
      <c r="H1000" s="9"/>
    </row>
    <row r="1001">
      <c r="A1001" s="9"/>
      <c r="B1001" s="9"/>
      <c r="C1001" s="9"/>
      <c r="D1001" s="9"/>
      <c r="E1001" s="9"/>
      <c r="F1001" s="9"/>
      <c r="G1001" s="59"/>
      <c r="H1001" s="9"/>
    </row>
    <row r="1002">
      <c r="A1002" s="9"/>
      <c r="B1002" s="9"/>
      <c r="C1002" s="9"/>
      <c r="D1002" s="9"/>
      <c r="E1002" s="9"/>
      <c r="F1002" s="9"/>
      <c r="G1002" s="59"/>
      <c r="H1002" s="9"/>
    </row>
    <row r="1003">
      <c r="A1003" s="9"/>
      <c r="B1003" s="9"/>
      <c r="C1003" s="9"/>
      <c r="D1003" s="9"/>
      <c r="E1003" s="9"/>
      <c r="F1003" s="9"/>
      <c r="G1003" s="59"/>
      <c r="H1003" s="9"/>
    </row>
  </sheetData>
  <mergeCells count="11">
    <mergeCell ref="I29:I30"/>
    <mergeCell ref="J29:Q30"/>
    <mergeCell ref="I39:I40"/>
    <mergeCell ref="J39:Q40"/>
    <mergeCell ref="A1:F1"/>
    <mergeCell ref="A5:A6"/>
    <mergeCell ref="I5:I6"/>
    <mergeCell ref="J5:Q6"/>
    <mergeCell ref="I9:I11"/>
    <mergeCell ref="I19:I20"/>
    <mergeCell ref="J19:Q20"/>
  </mergeCells>
  <dataValidations>
    <dataValidation type="list" allowBlank="1" showErrorMessage="1" sqref="L8:L15 L22:L26 L32:L36 L42:L44">
      <formula1>Data!E4:E1003</formula1>
    </dataValidation>
    <dataValidation type="list" allowBlank="1" showErrorMessage="1" sqref="B9:B58">
      <formula1>"🕹 Lucky Draw"</formula1>
    </dataValidation>
    <dataValidation type="list" allowBlank="1" showErrorMessage="1" sqref="E9:E58">
      <formula1>"🌐 เว็บไซต์,💌 จดหมายภายในเกม,📱 ข้อความ sms,📦 จัดส่งพัสดุ"</formula1>
    </dataValidation>
    <dataValidation type="list" allowBlank="1" showErrorMessage="1" sqref="L16:L18">
      <formula1>Data!$E$4:$E1003</formula1>
    </dataValidation>
    <dataValidation type="list" allowBlank="1" showErrorMessage="1" sqref="B3">
      <formula1>"⚙️ กำลังดำเนินการ,✅ จัดส่งเรียบร้อย"</formula1>
    </dataValidation>
    <dataValidation type="list" allowBlank="1" showErrorMessage="1" sqref="D3">
      <formula1>"ทีมสีเหลือง,ทีมสีฟ้า,MKT,BD"</formula1>
    </dataValidation>
    <dataValidation type="list" allowBlank="1" showErrorMessage="1" sqref="F9:F58">
      <formula1>"เปิดรับยืนยันตัวตน,ปิดรับยืนยันตัวตน,⚙️ กำลังดำเนินการ,✅ จัดส่งแล้ว"</formula1>
    </dataValidation>
  </dataValidations>
  <hyperlinks>
    <hyperlink r:id="rId1" ref="C3"/>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29.75"/>
    <col customWidth="1" min="3" max="3" width="37.25"/>
    <col customWidth="1" min="4" max="4" width="27.5"/>
    <col customWidth="1" min="5" max="5" width="24.63"/>
    <col customWidth="1" min="6" max="6" width="28.5"/>
    <col customWidth="1" min="7" max="7" width="6.75"/>
  </cols>
  <sheetData>
    <row r="1">
      <c r="A1" s="92" t="s">
        <v>30</v>
      </c>
      <c r="G1" s="59"/>
      <c r="H1" s="9"/>
    </row>
    <row r="2">
      <c r="A2" s="60" t="s">
        <v>46</v>
      </c>
      <c r="B2" s="93">
        <v>46183.0</v>
      </c>
      <c r="C2" s="60" t="s">
        <v>47</v>
      </c>
      <c r="D2" s="62" t="s">
        <v>48</v>
      </c>
      <c r="E2" s="63" t="s">
        <v>49</v>
      </c>
      <c r="F2" s="9"/>
      <c r="G2" s="59"/>
      <c r="H2" s="9"/>
    </row>
    <row r="3">
      <c r="A3" s="60" t="s">
        <v>51</v>
      </c>
      <c r="B3" s="65" t="s">
        <v>27</v>
      </c>
      <c r="C3" s="113" t="s">
        <v>52</v>
      </c>
      <c r="D3" s="65" t="s">
        <v>53</v>
      </c>
      <c r="E3" s="67" t="s">
        <v>54</v>
      </c>
      <c r="F3" s="9"/>
      <c r="G3" s="59"/>
      <c r="H3" s="9"/>
    </row>
    <row r="4">
      <c r="A4" s="9"/>
      <c r="B4" s="9"/>
      <c r="C4" s="9"/>
      <c r="D4" s="9"/>
      <c r="E4" s="9"/>
      <c r="F4" s="9"/>
      <c r="G4" s="59"/>
      <c r="H4" s="9"/>
      <c r="I4" s="89"/>
      <c r="J4" s="89"/>
      <c r="K4" s="89"/>
      <c r="L4" s="89"/>
      <c r="M4" s="89"/>
      <c r="N4" s="89"/>
      <c r="O4" s="89"/>
      <c r="P4" s="89"/>
      <c r="Q4" s="89"/>
      <c r="R4" s="89"/>
    </row>
    <row r="5">
      <c r="A5" s="70" t="s">
        <v>57</v>
      </c>
      <c r="B5" s="71" t="s">
        <v>58</v>
      </c>
      <c r="C5" s="72" t="s">
        <v>59</v>
      </c>
      <c r="D5" s="9"/>
      <c r="E5" s="9"/>
      <c r="F5" s="9"/>
      <c r="G5" s="59"/>
      <c r="H5" s="9"/>
      <c r="I5" s="64" t="s">
        <v>50</v>
      </c>
    </row>
    <row r="6">
      <c r="B6" s="71" t="s">
        <v>60</v>
      </c>
      <c r="C6" s="72" t="s">
        <v>61</v>
      </c>
      <c r="D6" s="9"/>
      <c r="E6" s="9"/>
      <c r="F6" s="9"/>
      <c r="G6" s="59"/>
      <c r="H6" s="9"/>
    </row>
    <row r="7">
      <c r="A7" s="9"/>
      <c r="B7" s="9"/>
      <c r="C7" s="9"/>
      <c r="D7" s="9"/>
      <c r="E7" s="9"/>
      <c r="F7" s="9"/>
      <c r="G7" s="59"/>
      <c r="H7" s="9"/>
      <c r="I7" s="89"/>
      <c r="J7" s="89"/>
      <c r="K7" s="89"/>
      <c r="L7" s="89"/>
      <c r="M7" s="89"/>
      <c r="N7" s="89"/>
      <c r="O7" s="89"/>
      <c r="P7" s="89"/>
      <c r="Q7" s="89"/>
      <c r="R7" s="89"/>
    </row>
    <row r="8">
      <c r="A8" s="73" t="s">
        <v>62</v>
      </c>
      <c r="B8" s="73" t="s">
        <v>63</v>
      </c>
      <c r="C8" s="73" t="s">
        <v>64</v>
      </c>
      <c r="D8" s="73" t="s">
        <v>65</v>
      </c>
      <c r="E8" s="73" t="s">
        <v>66</v>
      </c>
      <c r="F8" s="73" t="s">
        <v>51</v>
      </c>
      <c r="G8" s="59"/>
      <c r="H8" s="9"/>
      <c r="I8" s="114" t="s">
        <v>108</v>
      </c>
      <c r="J8" s="89"/>
      <c r="K8" s="89"/>
      <c r="L8" s="89"/>
      <c r="M8" s="89"/>
      <c r="N8" s="89"/>
      <c r="O8" s="89"/>
      <c r="P8" s="89"/>
      <c r="Q8" s="89"/>
      <c r="R8" s="89"/>
    </row>
    <row r="9">
      <c r="A9" s="65">
        <v>1.0</v>
      </c>
      <c r="B9" s="50" t="s">
        <v>67</v>
      </c>
      <c r="C9" s="143" t="s">
        <v>627</v>
      </c>
      <c r="D9" s="143" t="s">
        <v>628</v>
      </c>
      <c r="E9" s="75" t="s">
        <v>68</v>
      </c>
      <c r="F9" s="117" t="s">
        <v>69</v>
      </c>
      <c r="G9" s="59"/>
      <c r="H9" s="9"/>
      <c r="I9" s="120" t="s">
        <v>114</v>
      </c>
      <c r="J9" s="69" t="s">
        <v>56</v>
      </c>
      <c r="R9" s="89"/>
    </row>
    <row r="10">
      <c r="A10" s="65">
        <v>2.0</v>
      </c>
      <c r="B10" s="50" t="s">
        <v>67</v>
      </c>
      <c r="C10" s="143" t="s">
        <v>629</v>
      </c>
      <c r="D10" s="143" t="s">
        <v>630</v>
      </c>
      <c r="E10" s="75" t="s">
        <v>68</v>
      </c>
      <c r="F10" s="117" t="s">
        <v>69</v>
      </c>
      <c r="G10" s="59"/>
      <c r="H10" s="9"/>
      <c r="I10" s="147" t="s">
        <v>55</v>
      </c>
      <c r="R10" s="89"/>
    </row>
    <row r="11">
      <c r="A11" s="65">
        <v>3.0</v>
      </c>
      <c r="B11" s="50" t="s">
        <v>67</v>
      </c>
      <c r="C11" s="143" t="s">
        <v>631</v>
      </c>
      <c r="D11" s="143" t="s">
        <v>632</v>
      </c>
      <c r="E11" s="75" t="s">
        <v>68</v>
      </c>
      <c r="F11" s="117" t="s">
        <v>69</v>
      </c>
      <c r="G11" s="59"/>
      <c r="H11" s="9"/>
      <c r="I11" s="148">
        <v>1155.0</v>
      </c>
      <c r="J11" s="77" t="s">
        <v>71</v>
      </c>
      <c r="K11" s="77" t="s">
        <v>72</v>
      </c>
      <c r="L11" s="78" t="s">
        <v>73</v>
      </c>
      <c r="M11" s="79" t="s">
        <v>74</v>
      </c>
      <c r="N11" s="77" t="s">
        <v>75</v>
      </c>
      <c r="O11" s="77" t="s">
        <v>76</v>
      </c>
      <c r="P11" s="77" t="s">
        <v>77</v>
      </c>
      <c r="Q11" s="80" t="s">
        <v>78</v>
      </c>
      <c r="R11" s="89"/>
    </row>
    <row r="12">
      <c r="A12" s="65">
        <v>4.0</v>
      </c>
      <c r="B12" s="50" t="s">
        <v>67</v>
      </c>
      <c r="C12" s="143" t="s">
        <v>633</v>
      </c>
      <c r="D12" s="143" t="s">
        <v>634</v>
      </c>
      <c r="E12" s="75" t="s">
        <v>68</v>
      </c>
      <c r="F12" s="117" t="s">
        <v>69</v>
      </c>
      <c r="G12" s="59"/>
      <c r="H12" s="9"/>
      <c r="I12" s="81">
        <v>1205.0</v>
      </c>
      <c r="J12" s="82" t="str">
        <f t="array" ref="J12">IFERROR(INDEX(Data!$A$4:$O964, MATCH($L12, INDEX(Data!$A$4:$O964, 0, MATCH("Item EN", Data!$A$3:$O$3, FALSE)), FALSE), MATCH("Image", Data!$A$3:$O$3, FALSE)
),"")</f>
        <v/>
      </c>
      <c r="K12" s="83">
        <f t="array" ref="K12">IFERROR(INDEX(Data!$A$4:$O964, MATCH($L12, INDEX(Data!$A$4:$O964, 0, MATCH("Item EN", Data!$A$3:$O$3, FALSE)), FALSE), MATCH("Item ID", Data!$A$3:$O$3, FALSE)
),"")</f>
        <v>101002</v>
      </c>
      <c r="L12" s="84" t="s">
        <v>117</v>
      </c>
      <c r="M12" s="85"/>
      <c r="N12" s="83" t="str">
        <f t="array" ref="N12">IFERROR(INDEX(Data!$A$4:$O964, MATCH($L12, INDEX(Data!$A$4:$O964, 0, MATCH("Item EN", Data!$A$3:$O$3, FALSE)), FALSE), MATCH("Item Type", Data!$A$3:$O$3, FALSE)
),"")</f>
        <v>Weapon</v>
      </c>
      <c r="O12" s="86">
        <v>1.0</v>
      </c>
      <c r="P12" s="87">
        <f t="array" ref="P12">IF(O12="",,IFERROR(INDEX(Data!$A$4:$O964, MATCH($L12, INDEX(Data!$A$4:$O964, 0, MATCH("Item EN", Data!$A$3:$O$3, FALSE)), FALSE), MATCH("Price", Data!$A$3:$O$3, FALSE)
),"")*O12)</f>
        <v>4</v>
      </c>
      <c r="Q12" s="88" t="str">
        <f t="array" ref="Q12">IFERROR(INDEX(Data!$A$4:$O964, MATCH($L12, INDEX(Data!$A$4:$O964, 0, MATCH("Item EN", Data!$A$3:$O$3, FALSE)), FALSE), MATCH("Image URL", Data!$A$3:$O$3, FALSE)
),"")</f>
        <v>https://cdn.exe.in.th/marketing/WarzTH_LE/Item%20Dict/m16.png</v>
      </c>
      <c r="R12" s="89"/>
    </row>
    <row r="13">
      <c r="A13" s="65">
        <v>5.0</v>
      </c>
      <c r="B13" s="50" t="s">
        <v>67</v>
      </c>
      <c r="C13" s="143" t="s">
        <v>635</v>
      </c>
      <c r="D13" s="143" t="s">
        <v>636</v>
      </c>
      <c r="E13" s="75" t="s">
        <v>68</v>
      </c>
      <c r="F13" s="117" t="s">
        <v>69</v>
      </c>
      <c r="G13" s="59"/>
      <c r="H13" s="9"/>
      <c r="I13" s="81">
        <v>1206.0</v>
      </c>
      <c r="J13" s="82" t="str">
        <f t="array" ref="J13">IFERROR(INDEX(Data!$A$4:$O964, MATCH($L13, INDEX(Data!$A$4:$O964, 0, MATCH("Item EN", Data!$A$3:$O$3, FALSE)), FALSE), MATCH("Image", Data!$A$3:$O$3, FALSE)
),"")</f>
        <v/>
      </c>
      <c r="K13" s="83">
        <f t="array" ref="K13">IFERROR(INDEX(Data!$A$4:$O964, MATCH($L13, INDEX(Data!$A$4:$O964, 0, MATCH("Item EN", Data!$A$3:$O$3, FALSE)), FALSE), MATCH("Item ID", Data!$A$3:$O$3, FALSE)
),"")</f>
        <v>400010</v>
      </c>
      <c r="L13" s="84" t="s">
        <v>120</v>
      </c>
      <c r="M13" s="85"/>
      <c r="N13" s="83" t="str">
        <f t="array" ref="N13">IFERROR(INDEX(Data!$A$4:$O964, MATCH($L13, INDEX(Data!$A$4:$O964, 0, MATCH("Item EN", Data!$A$3:$O$3, FALSE)), FALSE), MATCH("Item Type", Data!$A$3:$O$3, FALSE)
),"")</f>
        <v>Ammo</v>
      </c>
      <c r="O13" s="86">
        <v>1.0</v>
      </c>
      <c r="P13" s="87">
        <f t="array" ref="P13">IF(O13="",,IFERROR(INDEX(Data!$A$4:$O964, MATCH($L13, INDEX(Data!$A$4:$O964, 0, MATCH("Item EN", Data!$A$3:$O$3, FALSE)), FALSE), MATCH("Price", Data!$A$3:$O$3, FALSE)
),"")*O13)</f>
        <v>1</v>
      </c>
      <c r="Q13" s="88" t="str">
        <f t="array" ref="Q13">IFERROR(INDEX(Data!$A$4:$O964, MATCH($L13, INDEX(Data!$A$4:$O964, 0, MATCH("Item EN", Data!$A$3:$O$3, FALSE)), FALSE), MATCH("Image URL", Data!$A$3:$O$3, FALSE)
),"")</f>
        <v>https://cdn.exe.in.th/marketing/WarzTH_LE/Item%20Dict/stanag_60.png</v>
      </c>
      <c r="R13" s="89"/>
    </row>
    <row r="14">
      <c r="A14" s="65">
        <v>6.0</v>
      </c>
      <c r="B14" s="50" t="s">
        <v>67</v>
      </c>
      <c r="C14" s="143" t="s">
        <v>637</v>
      </c>
      <c r="D14" s="143" t="s">
        <v>638</v>
      </c>
      <c r="E14" s="75" t="s">
        <v>68</v>
      </c>
      <c r="F14" s="117" t="s">
        <v>69</v>
      </c>
      <c r="G14" s="59"/>
      <c r="H14" s="9"/>
      <c r="I14" s="81">
        <v>1184.0</v>
      </c>
      <c r="J14" s="82" t="str">
        <f t="array" ref="J14">IFERROR(INDEX(Data!$A$4:$O964, MATCH($L14, INDEX(Data!$A$4:$O964, 0, MATCH("Item EN", Data!$A$3:$O$3, FALSE)), FALSE), MATCH("Image", Data!$A$3:$O$3, FALSE)
),"")</f>
        <v/>
      </c>
      <c r="K14" s="83">
        <f t="array" ref="K14">IFERROR(INDEX(Data!$A$4:$O964, MATCH($L14, INDEX(Data!$A$4:$O964, 0, MATCH("Item EN", Data!$A$3:$O$3, FALSE)), FALSE), MATCH("Item ID", Data!$A$3:$O$3, FALSE)
),"")</f>
        <v>101256</v>
      </c>
      <c r="L14" s="84" t="s">
        <v>87</v>
      </c>
      <c r="M14" s="85"/>
      <c r="N14" s="83" t="str">
        <f t="array" ref="N14">IFERROR(INDEX(Data!$A$4:$O964, MATCH($L14, INDEX(Data!$A$4:$O964, 0, MATCH("Item EN", Data!$A$3:$O$3, FALSE)), FALSE), MATCH("Item Type", Data!$A$3:$O$3, FALSE)
),"")</f>
        <v>Consumable</v>
      </c>
      <c r="O14" s="86">
        <v>3.0</v>
      </c>
      <c r="P14" s="87">
        <f t="array" ref="P14">IF(O14="",,IFERROR(INDEX(Data!$A$4:$O964, MATCH($L14, INDEX(Data!$A$4:$O964, 0, MATCH("Item EN", Data!$A$3:$O$3, FALSE)), FALSE), MATCH("Price", Data!$A$3:$O$3, FALSE)
),"")*O14)</f>
        <v>1.5</v>
      </c>
      <c r="Q14" s="88" t="str">
        <f t="array" ref="Q14">IFERROR(INDEX(Data!$A$4:$O964, MATCH($L14, INDEX(Data!$A$4:$O964, 0, MATCH("Item EN", Data!$A$3:$O$3, FALSE)), FALSE), MATCH("Image URL", Data!$A$3:$O$3, FALSE)
),"")</f>
        <v>https://cdn.exe.in.th/marketing/WarzTH_LE/Item%20Dict/anitibiotics.png</v>
      </c>
      <c r="R14" s="89"/>
    </row>
    <row r="15">
      <c r="A15" s="65">
        <v>7.0</v>
      </c>
      <c r="B15" s="50" t="s">
        <v>67</v>
      </c>
      <c r="C15" s="143" t="s">
        <v>639</v>
      </c>
      <c r="D15" s="143" t="s">
        <v>640</v>
      </c>
      <c r="E15" s="75" t="s">
        <v>68</v>
      </c>
      <c r="F15" s="117" t="s">
        <v>69</v>
      </c>
      <c r="G15" s="59"/>
      <c r="H15" s="9"/>
      <c r="I15" s="81">
        <v>1210.0</v>
      </c>
      <c r="J15" s="82" t="str">
        <f t="array" ref="J15">IFERROR(INDEX(Data!$A$4:$O964, MATCH($L15, INDEX(Data!$A$4:$O964, 0, MATCH("Item EN", Data!$A$3:$O$3, FALSE)), FALSE), MATCH("Image", Data!$A$3:$O$3, FALSE)
),"")</f>
        <v/>
      </c>
      <c r="K15" s="83">
        <f t="array" ref="K15">IFERROR(INDEX(Data!$A$4:$O964, MATCH($L15, INDEX(Data!$A$4:$O964, 0, MATCH("Item EN", Data!$A$3:$O$3, FALSE)), FALSE), MATCH("Item ID", Data!$A$3:$O$3, FALSE)
),"")</f>
        <v>20006</v>
      </c>
      <c r="L15" s="84" t="s">
        <v>578</v>
      </c>
      <c r="M15" s="85"/>
      <c r="N15" s="83" t="str">
        <f t="array" ref="N15">IFERROR(INDEX(Data!$A$4:$O964, MATCH($L15, INDEX(Data!$A$4:$O964, 0, MATCH("Item EN", Data!$A$3:$O$3, FALSE)), FALSE), MATCH("Item Type", Data!$A$3:$O$3, FALSE)
),"")</f>
        <v>Equipment</v>
      </c>
      <c r="O15" s="86">
        <v>1.0</v>
      </c>
      <c r="P15" s="87">
        <f t="array" ref="P15">IF(O15="",,IFERROR(INDEX(Data!$A$4:$O964, MATCH($L15, INDEX(Data!$A$4:$O964, 0, MATCH("Item EN", Data!$A$3:$O$3, FALSE)), FALSE), MATCH("Price", Data!$A$3:$O$3, FALSE)
),"")*O15)</f>
        <v>1.5</v>
      </c>
      <c r="Q15" s="88" t="str">
        <f t="array" ref="Q15">IFERROR(INDEX(Data!$A$4:$O964, MATCH($L15, INDEX(Data!$A$4:$O964, 0, MATCH("Item EN", Data!$A$3:$O$3, FALSE)), FALSE), MATCH("Image URL", Data!$A$3:$O$3, FALSE)
),"")</f>
        <v>https://cdn.exe.in.th/marketing/WarzTH_LE/Item%20Dict/k._style_helmet.png</v>
      </c>
      <c r="R15" s="89"/>
    </row>
    <row r="16">
      <c r="A16" s="65">
        <v>8.0</v>
      </c>
      <c r="B16" s="50" t="s">
        <v>67</v>
      </c>
      <c r="C16" s="143" t="s">
        <v>641</v>
      </c>
      <c r="D16" s="143" t="s">
        <v>642</v>
      </c>
      <c r="E16" s="75" t="s">
        <v>68</v>
      </c>
      <c r="F16" s="117" t="s">
        <v>69</v>
      </c>
      <c r="G16" s="59"/>
      <c r="H16" s="9"/>
      <c r="I16" s="81">
        <v>1182.0</v>
      </c>
      <c r="J16" s="82" t="str">
        <f t="array" ref="J16">IFERROR(INDEX(Data!$A$4:$O964, MATCH($L16, INDEX(Data!$A$4:$O964, 0, MATCH("Item EN", Data!$A$3:$O$3, FALSE)), FALSE), MATCH("Image", Data!$A$3:$O$3, FALSE)
),"")</f>
        <v/>
      </c>
      <c r="K16" s="83">
        <f t="array" ref="K16">IFERROR(INDEX(Data!$A$4:$O964, MATCH($L16, INDEX(Data!$A$4:$O964, 0, MATCH("Item EN", Data!$A$3:$O$3, FALSE)), FALSE), MATCH("Item ID", Data!$A$3:$O$3, FALSE)
),"")</f>
        <v>20054</v>
      </c>
      <c r="L16" s="84" t="s">
        <v>575</v>
      </c>
      <c r="M16" s="85"/>
      <c r="N16" s="83" t="str">
        <f t="array" ref="N16">IFERROR(INDEX(Data!$A$4:$O964, MATCH($L16, INDEX(Data!$A$4:$O964, 0, MATCH("Item EN", Data!$A$3:$O$3, FALSE)), FALSE), MATCH("Item Type", Data!$A$3:$O$3, FALSE)
),"")</f>
        <v>Equipment</v>
      </c>
      <c r="O16" s="86">
        <v>1.0</v>
      </c>
      <c r="P16" s="87">
        <f t="array" ref="P16">IF(O16="",,IFERROR(INDEX(Data!$A$4:$O964, MATCH($L16, INDEX(Data!$A$4:$O964, 0, MATCH("Item EN", Data!$A$3:$O$3, FALSE)), FALSE), MATCH("Price", Data!$A$3:$O$3, FALSE)
),"")*O16)</f>
        <v>1.5</v>
      </c>
      <c r="Q16" s="88" t="str">
        <f t="array" ref="Q16">IFERROR(INDEX(Data!$A$4:$O964, MATCH($L16, INDEX(Data!$A$4:$O964, 0, MATCH("Item EN", Data!$A$3:$O$3, FALSE)), FALSE), MATCH("Image URL", Data!$A$3:$O$3, FALSE)
),"")</f>
        <v>https://cdn.exe.in.th/marketing/WarzTH_LE/Item%20Dict/iba_sand.png</v>
      </c>
      <c r="R16" s="89"/>
    </row>
    <row r="17">
      <c r="A17" s="65">
        <v>9.0</v>
      </c>
      <c r="B17" s="50" t="s">
        <v>67</v>
      </c>
      <c r="C17" s="143" t="s">
        <v>643</v>
      </c>
      <c r="D17" s="143" t="s">
        <v>644</v>
      </c>
      <c r="E17" s="75" t="s">
        <v>68</v>
      </c>
      <c r="F17" s="117" t="s">
        <v>69</v>
      </c>
      <c r="G17" s="59"/>
      <c r="H17" s="9"/>
      <c r="I17" s="81">
        <v>1180.0</v>
      </c>
      <c r="J17" s="82" t="str">
        <f t="array" ref="J17">IFERROR(INDEX(Data!$A$4:$O964, MATCH($L17, INDEX(Data!$A$4:$O964, 0, MATCH("Item EN", Data!$A$3:$O$3, FALSE)), FALSE), MATCH("Image", Data!$A$3:$O$3, FALSE)
),"")</f>
        <v/>
      </c>
      <c r="K17" s="83">
        <f t="array" ref="K17">IFERROR(INDEX(Data!$A$4:$O964, MATCH($L17, INDEX(Data!$A$4:$O964, 0, MATCH("Item EN", Data!$A$3:$O$3, FALSE)), FALSE), MATCH("Item ID", Data!$A$3:$O$3, FALSE)
),"")</f>
        <v>20179</v>
      </c>
      <c r="L17" s="84" t="s">
        <v>86</v>
      </c>
      <c r="M17" s="85"/>
      <c r="N17" s="83" t="str">
        <f t="array" ref="N17">IFERROR(INDEX(Data!$A$4:$O964, MATCH($L17, INDEX(Data!$A$4:$O964, 0, MATCH("Item EN", Data!$A$3:$O$3, FALSE)), FALSE), MATCH("Item Type", Data!$A$3:$O$3, FALSE)
),"")</f>
        <v>Equipment</v>
      </c>
      <c r="O17" s="86">
        <v>1.0</v>
      </c>
      <c r="P17" s="87">
        <f t="array" ref="P17">IF(O17="",,IFERROR(INDEX(Data!$A$4:$O964, MATCH($L17, INDEX(Data!$A$4:$O964, 0, MATCH("Item EN", Data!$A$3:$O$3, FALSE)), FALSE), MATCH("Price", Data!$A$3:$O$3, FALSE)
),"")*O17)</f>
        <v>2</v>
      </c>
      <c r="Q17" s="88" t="str">
        <f t="array" ref="Q17">IFERROR(INDEX(Data!$A$4:$O964, MATCH($L17, INDEX(Data!$A$4:$O964, 0, MATCH("Item EN", Data!$A$3:$O$3, FALSE)), FALSE), MATCH("Image URL", Data!$A$3:$O$3, FALSE)
),"")</f>
        <v>https://cdn.exe.in.th/marketing/WarzTH_LE/Item%20Dict/large_backpack.png</v>
      </c>
      <c r="R17" s="89"/>
    </row>
    <row r="18">
      <c r="A18" s="65">
        <v>10.0</v>
      </c>
      <c r="B18" s="50" t="s">
        <v>67</v>
      </c>
      <c r="C18" s="143" t="s">
        <v>645</v>
      </c>
      <c r="D18" s="143" t="s">
        <v>646</v>
      </c>
      <c r="E18" s="75" t="s">
        <v>68</v>
      </c>
      <c r="F18" s="117" t="s">
        <v>69</v>
      </c>
      <c r="G18" s="59"/>
      <c r="H18" s="9"/>
      <c r="I18" s="89"/>
      <c r="J18" s="89"/>
      <c r="K18" s="89"/>
      <c r="L18" s="89"/>
      <c r="M18" s="89"/>
      <c r="N18" s="89"/>
      <c r="O18" s="89"/>
      <c r="P18" s="89"/>
      <c r="Q18" s="89"/>
      <c r="R18" s="89"/>
    </row>
    <row r="19">
      <c r="A19" s="65">
        <v>11.0</v>
      </c>
      <c r="B19" s="50" t="s">
        <v>67</v>
      </c>
      <c r="C19" s="143" t="s">
        <v>647</v>
      </c>
      <c r="D19" s="143" t="s">
        <v>648</v>
      </c>
      <c r="E19" s="75" t="s">
        <v>68</v>
      </c>
      <c r="F19" s="117" t="s">
        <v>69</v>
      </c>
      <c r="G19" s="59"/>
      <c r="H19" s="9"/>
      <c r="I19" s="89"/>
      <c r="J19" s="89"/>
      <c r="K19" s="89"/>
      <c r="L19" s="89"/>
      <c r="M19" s="89"/>
      <c r="N19" s="89"/>
      <c r="O19" s="89"/>
      <c r="P19" s="89"/>
      <c r="Q19" s="89"/>
      <c r="R19" s="89"/>
    </row>
    <row r="20">
      <c r="A20" s="65">
        <v>12.0</v>
      </c>
      <c r="B20" s="50" t="s">
        <v>67</v>
      </c>
      <c r="C20" s="143" t="s">
        <v>225</v>
      </c>
      <c r="D20" s="143" t="s">
        <v>226</v>
      </c>
      <c r="E20" s="75" t="s">
        <v>68</v>
      </c>
      <c r="F20" s="117" t="s">
        <v>69</v>
      </c>
      <c r="G20" s="59"/>
      <c r="H20" s="9"/>
      <c r="I20" s="147" t="s">
        <v>55</v>
      </c>
      <c r="J20" s="69" t="s">
        <v>649</v>
      </c>
      <c r="R20" s="89"/>
    </row>
    <row r="21">
      <c r="A21" s="65">
        <v>13.0</v>
      </c>
      <c r="B21" s="50" t="s">
        <v>67</v>
      </c>
      <c r="C21" s="143" t="s">
        <v>650</v>
      </c>
      <c r="D21" s="143" t="s">
        <v>651</v>
      </c>
      <c r="E21" s="75" t="s">
        <v>68</v>
      </c>
      <c r="F21" s="117" t="s">
        <v>69</v>
      </c>
      <c r="G21" s="59"/>
      <c r="H21" s="9"/>
      <c r="I21" s="148">
        <v>1202.0</v>
      </c>
      <c r="R21" s="89"/>
    </row>
    <row r="22">
      <c r="A22" s="65">
        <v>14.0</v>
      </c>
      <c r="B22" s="50" t="s">
        <v>67</v>
      </c>
      <c r="C22" s="143" t="s">
        <v>652</v>
      </c>
      <c r="D22" s="143" t="s">
        <v>653</v>
      </c>
      <c r="E22" s="75" t="s">
        <v>68</v>
      </c>
      <c r="F22" s="117" t="s">
        <v>69</v>
      </c>
      <c r="G22" s="59"/>
      <c r="H22" s="9"/>
      <c r="I22" s="149" t="s">
        <v>114</v>
      </c>
      <c r="J22" s="77" t="s">
        <v>71</v>
      </c>
      <c r="K22" s="77" t="s">
        <v>72</v>
      </c>
      <c r="L22" s="78" t="s">
        <v>73</v>
      </c>
      <c r="M22" s="79" t="s">
        <v>74</v>
      </c>
      <c r="N22" s="77" t="s">
        <v>75</v>
      </c>
      <c r="O22" s="77" t="s">
        <v>76</v>
      </c>
      <c r="P22" s="77" t="s">
        <v>77</v>
      </c>
      <c r="Q22" s="80" t="s">
        <v>78</v>
      </c>
      <c r="R22" s="89"/>
    </row>
    <row r="23">
      <c r="A23" s="65">
        <v>15.0</v>
      </c>
      <c r="B23" s="50" t="s">
        <v>67</v>
      </c>
      <c r="C23" s="143" t="s">
        <v>654</v>
      </c>
      <c r="D23" s="143" t="s">
        <v>655</v>
      </c>
      <c r="E23" s="75" t="s">
        <v>68</v>
      </c>
      <c r="F23" s="117" t="s">
        <v>69</v>
      </c>
      <c r="G23" s="59"/>
      <c r="H23" s="9"/>
      <c r="I23" s="81">
        <v>1150.0</v>
      </c>
      <c r="J23" s="82" t="str">
        <f t="array" ref="J23">IFERROR(INDEX(Data!$A$4:$O964, MATCH($L23, INDEX(Data!$A$4:$O964, 0, MATCH("Item EN", Data!$A$3:$O$3, FALSE)), FALSE), MATCH("Image", Data!$A$3:$O$3, FALSE)
),"")</f>
        <v/>
      </c>
      <c r="K23" s="83">
        <f t="array" ref="K23">IFERROR(INDEX(Data!$A$4:$O964, MATCH($L23, INDEX(Data!$A$4:$O964, 0, MATCH("Item EN", Data!$A$3:$O$3, FALSE)), FALSE), MATCH("Item ID", Data!$A$3:$O$3, FALSE)
),"")</f>
        <v>101005</v>
      </c>
      <c r="L23" s="84" t="s">
        <v>656</v>
      </c>
      <c r="M23" s="85"/>
      <c r="N23" s="83" t="str">
        <f t="array" ref="N23">IFERROR(INDEX(Data!$A$4:$O964, MATCH($L23, INDEX(Data!$A$4:$O964, 0, MATCH("Item EN", Data!$A$3:$O$3, FALSE)), FALSE), MATCH("Item Type", Data!$A$3:$O$3, FALSE)
),"")</f>
        <v>Weapon</v>
      </c>
      <c r="O23" s="86">
        <v>1.0</v>
      </c>
      <c r="P23" s="87">
        <f t="array" ref="P23">IF(O23="",,IFERROR(INDEX(Data!$A$4:$O964, MATCH($L23, INDEX(Data!$A$4:$O964, 0, MATCH("Item EN", Data!$A$3:$O$3, FALSE)), FALSE), MATCH("Price", Data!$A$3:$O$3, FALSE)
),"")*O23)</f>
        <v>10</v>
      </c>
      <c r="Q23" s="88" t="str">
        <f t="array" ref="Q23">IFERROR(INDEX(Data!$A$4:$O964, MATCH($L23, INDEX(Data!$A$4:$O964, 0, MATCH("Item EN", Data!$A$3:$O$3, FALSE)), FALSE), MATCH("Image URL", Data!$A$3:$O$3, FALSE)
),"")</f>
        <v>https://cdn.exe.in.th/marketing/WarzTH_LE/Item%20Dict/g36.png</v>
      </c>
      <c r="R23" s="89"/>
    </row>
    <row r="24">
      <c r="A24" s="65">
        <v>16.0</v>
      </c>
      <c r="B24" s="50" t="s">
        <v>67</v>
      </c>
      <c r="C24" s="143" t="s">
        <v>292</v>
      </c>
      <c r="D24" s="143" t="s">
        <v>293</v>
      </c>
      <c r="E24" s="75" t="s">
        <v>68</v>
      </c>
      <c r="F24" s="117" t="s">
        <v>69</v>
      </c>
      <c r="G24" s="59"/>
      <c r="H24" s="9"/>
      <c r="I24" s="81">
        <v>1211.0</v>
      </c>
      <c r="J24" s="82" t="str">
        <f t="array" ref="J24">IFERROR(INDEX(Data!$A$4:$O964, MATCH($L24, INDEX(Data!$A$4:$O964, 0, MATCH("Item EN", Data!$A$3:$O$3, FALSE)), FALSE), MATCH("Image", Data!$A$3:$O$3, FALSE)
),"")</f>
        <v/>
      </c>
      <c r="K24" s="83">
        <f t="array" ref="K24">IFERROR(INDEX(Data!$A$4:$O964, MATCH($L24, INDEX(Data!$A$4:$O964, 0, MATCH("Item EN", Data!$A$3:$O$3, FALSE)), FALSE), MATCH("Item ID", Data!$A$3:$O$3, FALSE)
),"")</f>
        <v>400099</v>
      </c>
      <c r="L24" s="84" t="s">
        <v>657</v>
      </c>
      <c r="M24" s="85"/>
      <c r="N24" s="83" t="str">
        <f t="array" ref="N24">IFERROR(INDEX(Data!$A$4:$O964, MATCH($L24, INDEX(Data!$A$4:$O964, 0, MATCH("Item EN", Data!$A$3:$O$3, FALSE)), FALSE), MATCH("Item Type", Data!$A$3:$O$3, FALSE)
),"")</f>
        <v>Ammo</v>
      </c>
      <c r="O24" s="86">
        <v>1.0</v>
      </c>
      <c r="P24" s="87">
        <f t="array" ref="P24">IF(O24="",,IFERROR(INDEX(Data!$A$4:$O964, MATCH($L24, INDEX(Data!$A$4:$O964, 0, MATCH("Item EN", Data!$A$3:$O$3, FALSE)), FALSE), MATCH("Price", Data!$A$3:$O$3, FALSE)
),"")*O24)</f>
        <v>1.5</v>
      </c>
      <c r="Q24" s="88" t="str">
        <f t="array" ref="Q24">IFERROR(INDEX(Data!$A$4:$O964, MATCH($L24, INDEX(Data!$A$4:$O964, 0, MATCH("Item EN", Data!$A$3:$O$3, FALSE)), FALSE), MATCH("Image URL", Data!$A$3:$O$3, FALSE)
),"")</f>
        <v>https://cdn.exe.in.th/marketing/WarzTH_LE/Item%20Dict/g36_cmag.png</v>
      </c>
      <c r="R24" s="89"/>
    </row>
    <row r="25">
      <c r="A25" s="65">
        <v>17.0</v>
      </c>
      <c r="B25" s="50" t="s">
        <v>67</v>
      </c>
      <c r="C25" s="143" t="s">
        <v>603</v>
      </c>
      <c r="D25" s="143" t="s">
        <v>604</v>
      </c>
      <c r="E25" s="75" t="s">
        <v>68</v>
      </c>
      <c r="F25" s="117" t="s">
        <v>69</v>
      </c>
      <c r="G25" s="59"/>
      <c r="H25" s="9"/>
      <c r="I25" s="81">
        <v>1208.0</v>
      </c>
      <c r="J25" s="82" t="str">
        <f t="array" ref="J25">IFERROR(INDEX(Data!$A$4:$O964, MATCH($L25, INDEX(Data!$A$4:$O964, 0, MATCH("Item EN", Data!$A$3:$O$3, FALSE)), FALSE), MATCH("Image", Data!$A$3:$O$3, FALSE)
),"")</f>
        <v/>
      </c>
      <c r="K25" s="83">
        <f t="array" ref="K25">IFERROR(INDEX(Data!$A$4:$O964, MATCH($L25, INDEX(Data!$A$4:$O964, 0, MATCH("Item EN", Data!$A$3:$O$3, FALSE)), FALSE), MATCH("Item ID", Data!$A$3:$O$3, FALSE)
),"")</f>
        <v>20015</v>
      </c>
      <c r="L25" s="84" t="s">
        <v>126</v>
      </c>
      <c r="M25" s="85"/>
      <c r="N25" s="83" t="str">
        <f t="array" ref="N25">IFERROR(INDEX(Data!$A$4:$O964, MATCH($L25, INDEX(Data!$A$4:$O964, 0, MATCH("Item EN", Data!$A$3:$O$3, FALSE)), FALSE), MATCH("Item Type", Data!$A$3:$O$3, FALSE)
),"")</f>
        <v>Equipment</v>
      </c>
      <c r="O25" s="86">
        <v>1.0</v>
      </c>
      <c r="P25" s="87">
        <f t="array" ref="P25">IF(O25="",,IFERROR(INDEX(Data!$A$4:$O964, MATCH($L25, INDEX(Data!$A$4:$O964, 0, MATCH("Item EN", Data!$A$3:$O$3, FALSE)), FALSE), MATCH("Price", Data!$A$3:$O$3, FALSE)
),"")*O25)</f>
        <v>1.5</v>
      </c>
      <c r="Q25" s="88" t="str">
        <f t="array" ref="Q25">IFERROR(INDEX(Data!$A$4:$O964, MATCH($L25, INDEX(Data!$A$4:$O964, 0, MATCH("Item EN", Data!$A$3:$O$3, FALSE)), FALSE), MATCH("Image URL", Data!$A$3:$O$3, FALSE)
),"")</f>
        <v>https://cdn.exe.in.th/marketing/WarzTH_LE/Item%20Dict/custom_guerilla.png</v>
      </c>
      <c r="R25" s="89"/>
    </row>
    <row r="26">
      <c r="A26" s="65">
        <v>18.0</v>
      </c>
      <c r="B26" s="50" t="s">
        <v>67</v>
      </c>
      <c r="C26" s="143" t="s">
        <v>658</v>
      </c>
      <c r="D26" s="143" t="s">
        <v>659</v>
      </c>
      <c r="E26" s="75" t="s">
        <v>68</v>
      </c>
      <c r="F26" s="117" t="s">
        <v>69</v>
      </c>
      <c r="G26" s="59"/>
      <c r="H26" s="9"/>
      <c r="I26" s="81">
        <v>1207.0</v>
      </c>
      <c r="J26" s="82" t="str">
        <f t="array" ref="J26">IFERROR(INDEX(Data!$A$4:$O964, MATCH($L26, INDEX(Data!$A$4:$O964, 0, MATCH("Item EN", Data!$A$3:$O$3, FALSE)), FALSE), MATCH("Image", Data!$A$3:$O$3, FALSE)
),"")</f>
        <v/>
      </c>
      <c r="K26" s="83">
        <f t="array" ref="K26">IFERROR(INDEX(Data!$A$4:$O964, MATCH($L26, INDEX(Data!$A$4:$O964, 0, MATCH("Item EN", Data!$A$3:$O$3, FALSE)), FALSE), MATCH("Item ID", Data!$A$3:$O$3, FALSE)
),"")</f>
        <v>20067</v>
      </c>
      <c r="L26" s="84" t="s">
        <v>123</v>
      </c>
      <c r="M26" s="85"/>
      <c r="N26" s="83" t="str">
        <f t="array" ref="N26">IFERROR(INDEX(Data!$A$4:$O964, MATCH($L26, INDEX(Data!$A$4:$O964, 0, MATCH("Item EN", Data!$A$3:$O$3, FALSE)), FALSE), MATCH("Item Type", Data!$A$3:$O$3, FALSE)
),"")</f>
        <v>Equipment</v>
      </c>
      <c r="O26" s="86">
        <v>1.0</v>
      </c>
      <c r="P26" s="87">
        <f t="array" ref="P26">IF(O26="",,IFERROR(INDEX(Data!$A$4:$O964, MATCH($L26, INDEX(Data!$A$4:$O964, 0, MATCH("Item EN", Data!$A$3:$O$3, FALSE)), FALSE), MATCH("Price", Data!$A$3:$O$3, FALSE)
),"")*O26)</f>
        <v>2</v>
      </c>
      <c r="Q26" s="88" t="str">
        <f t="array" ref="Q26">IFERROR(INDEX(Data!$A$4:$O964, MATCH($L26, INDEX(Data!$A$4:$O964, 0, MATCH("Item EN", Data!$A$3:$O$3, FALSE)), FALSE), MATCH("Image URL", Data!$A$3:$O$3, FALSE)
),"")</f>
        <v>https://cdn.exe.in.th/marketing/WarzTH_LE/Item%20Dict/nvg_goggles.png</v>
      </c>
      <c r="R26" s="89"/>
    </row>
    <row r="27">
      <c r="A27" s="65">
        <v>19.0</v>
      </c>
      <c r="B27" s="50" t="s">
        <v>67</v>
      </c>
      <c r="C27" s="143" t="s">
        <v>660</v>
      </c>
      <c r="D27" s="143" t="s">
        <v>661</v>
      </c>
      <c r="E27" s="75" t="s">
        <v>68</v>
      </c>
      <c r="F27" s="117" t="s">
        <v>69</v>
      </c>
      <c r="G27" s="59"/>
      <c r="H27" s="9"/>
      <c r="I27" s="81">
        <v>1212.0</v>
      </c>
      <c r="J27" s="82" t="str">
        <f t="array" ref="J27">IFERROR(INDEX(Data!$A$4:$O964, MATCH($L27, INDEX(Data!$A$4:$O964, 0, MATCH("Item EN", Data!$A$3:$O$3, FALSE)), FALSE), MATCH("Image", Data!$A$3:$O$3, FALSE)
),"")</f>
        <v/>
      </c>
      <c r="K27" s="83">
        <f t="array" ref="K27">IFERROR(INDEX(Data!$A$4:$O964, MATCH($L27, INDEX(Data!$A$4:$O964, 0, MATCH("Item EN", Data!$A$3:$O$3, FALSE)), FALSE), MATCH("Item ID", Data!$A$3:$O$3, FALSE)
),"")</f>
        <v>101262</v>
      </c>
      <c r="L27" s="84" t="s">
        <v>530</v>
      </c>
      <c r="M27" s="85"/>
      <c r="N27" s="83" t="str">
        <f t="array" ref="N27">IFERROR(INDEX(Data!$A$4:$O964, MATCH($L27, INDEX(Data!$A$4:$O964, 0, MATCH("Item EN", Data!$A$3:$O$3, FALSE)), FALSE), MATCH("Item Type", Data!$A$3:$O$3, FALSE)
),"")</f>
        <v>Consumable</v>
      </c>
      <c r="O27" s="86">
        <v>3.0</v>
      </c>
      <c r="P27" s="87">
        <f t="array" ref="P27">IF(O27="",,IFERROR(INDEX(Data!$A$4:$O964, MATCH($L27, INDEX(Data!$A$4:$O964, 0, MATCH("Item EN", Data!$A$3:$O$3, FALSE)), FALSE), MATCH("Price", Data!$A$3:$O$3, FALSE)
),"")*O27)</f>
        <v>2.4</v>
      </c>
      <c r="Q27" s="88" t="str">
        <f t="array" ref="Q27">IFERROR(INDEX(Data!$A$4:$O964, MATCH($L27, INDEX(Data!$A$4:$O964, 0, MATCH("Item EN", Data!$A$3:$O$3, FALSE)), FALSE), MATCH("Image URL", Data!$A$3:$O$3, FALSE)
),"")</f>
        <v>https://cdn.exe.in.th/marketing/WarzTH_LE/Item%20Dict/bandages_dx.png</v>
      </c>
      <c r="R27" s="89"/>
    </row>
    <row r="28">
      <c r="A28" s="65">
        <v>20.0</v>
      </c>
      <c r="B28" s="50" t="s">
        <v>67</v>
      </c>
      <c r="C28" s="143" t="s">
        <v>662</v>
      </c>
      <c r="D28" s="143" t="s">
        <v>663</v>
      </c>
      <c r="E28" s="75" t="s">
        <v>68</v>
      </c>
      <c r="F28" s="117" t="s">
        <v>69</v>
      </c>
      <c r="G28" s="59"/>
      <c r="H28" s="9"/>
      <c r="I28" s="81">
        <v>1209.0</v>
      </c>
      <c r="J28" s="82" t="str">
        <f t="array" ref="J28">IFERROR(INDEX(Data!$A$4:$O964, MATCH($L28, INDEX(Data!$A$4:$O964, 0, MATCH("Item EN", Data!$A$3:$O$3, FALSE)), FALSE), MATCH("Image", Data!$A$3:$O$3, FALSE)
),"")</f>
        <v/>
      </c>
      <c r="K28" s="83">
        <f t="array" ref="K28">IFERROR(INDEX(Data!$A$4:$O964, MATCH($L28, INDEX(Data!$A$4:$O964, 0, MATCH("Item EN", Data!$A$3:$O$3, FALSE)), FALSE), MATCH("Item ID", Data!$A$3:$O$3, FALSE)
),"")</f>
        <v>20185</v>
      </c>
      <c r="L28" s="84" t="s">
        <v>129</v>
      </c>
      <c r="M28" s="85"/>
      <c r="N28" s="83" t="str">
        <f t="array" ref="N28">IFERROR(INDEX(Data!$A$4:$O964, MATCH($L28, INDEX(Data!$A$4:$O964, 0, MATCH("Item EN", Data!$A$3:$O$3, FALSE)), FALSE), MATCH("Item Type", Data!$A$3:$O$3, FALSE)
),"")</f>
        <v>Equipment</v>
      </c>
      <c r="O28" s="86">
        <v>1.0</v>
      </c>
      <c r="P28" s="87">
        <f t="array" ref="P28">IF(O28="",,IFERROR(INDEX(Data!$A$4:$O964, MATCH($L28, INDEX(Data!$A$4:$O964, 0, MATCH("Item EN", Data!$A$3:$O$3, FALSE)), FALSE), MATCH("Price", Data!$A$3:$O$3, FALSE)
),"")*O28)</f>
        <v>2.5</v>
      </c>
      <c r="Q28" s="88" t="str">
        <f t="array" ref="Q28">IFERROR(INDEX(Data!$A$4:$O964, MATCH($L28, INDEX(Data!$A$4:$O964, 0, MATCH("Item EN", Data!$A$3:$O$3, FALSE)), FALSE), MATCH("Image URL", Data!$A$3:$O$3, FALSE)
),"")</f>
        <v>https://cdn.exe.in.th/marketing/WarzTH_LE/Item%20Dict/alice_rucksack.png</v>
      </c>
      <c r="R28" s="89"/>
    </row>
    <row r="29">
      <c r="A29" s="65">
        <v>21.0</v>
      </c>
      <c r="B29" s="50" t="s">
        <v>67</v>
      </c>
      <c r="C29" s="143" t="s">
        <v>664</v>
      </c>
      <c r="D29" s="143" t="s">
        <v>665</v>
      </c>
      <c r="E29" s="75" t="s">
        <v>68</v>
      </c>
      <c r="F29" s="117" t="s">
        <v>69</v>
      </c>
      <c r="G29" s="59"/>
      <c r="H29" s="9"/>
      <c r="I29" s="81">
        <v>1287.0</v>
      </c>
      <c r="J29" s="82" t="str">
        <f t="array" ref="J29">IFERROR(INDEX(Data!$A$4:$O964, MATCH($L29, INDEX(Data!$A$4:$O964, 0, MATCH("Item EN", Data!$A$3:$O$3, FALSE)), FALSE), MATCH("Image", Data!$A$3:$O$3, FALSE)
),"")</f>
        <v/>
      </c>
      <c r="K29" s="83">
        <f t="array" ref="K29">IFERROR(INDEX(Data!$A$4:$O964, MATCH($L29, INDEX(Data!$A$4:$O964, 0, MATCH("Item EN", Data!$A$3:$O$3, FALSE)), FALSE), MATCH("Item ID", Data!$A$3:$O$3, FALSE)
),"")</f>
        <v>101501</v>
      </c>
      <c r="L29" s="84" t="s">
        <v>533</v>
      </c>
      <c r="M29" s="85"/>
      <c r="N29" s="83" t="str">
        <f t="array" ref="N29">IFERROR(INDEX(Data!$A$4:$O964, MATCH($L29, INDEX(Data!$A$4:$O964, 0, MATCH("Item EN", Data!$A$3:$O$3, FALSE)), FALSE), MATCH("Item Type", Data!$A$3:$O$3, FALSE)
),"")</f>
        <v>Consumable</v>
      </c>
      <c r="O29" s="86">
        <v>1.0</v>
      </c>
      <c r="P29" s="87">
        <f t="array" ref="P29">IF(O29="",,IFERROR(INDEX(Data!$A$4:$O964, MATCH($L29, INDEX(Data!$A$4:$O964, 0, MATCH("Item EN", Data!$A$3:$O$3, FALSE)), FALSE), MATCH("Price", Data!$A$3:$O$3, FALSE)
),"")*O29)</f>
        <v>30</v>
      </c>
      <c r="Q29" s="88" t="str">
        <f t="array" ref="Q29">IFERROR(INDEX(Data!$A$4:$O964, MATCH($L29, INDEX(Data!$A$4:$O964, 0, MATCH("Item EN", Data!$A$3:$O$3, FALSE)), FALSE), MATCH("Image URL", Data!$A$3:$O$3, FALSE)
),"")</f>
        <v>https://cdn.exe.in.th/marketing/WarzTH_LE/Item%20Dict/rod_fishing_01.png</v>
      </c>
      <c r="R29" s="89"/>
    </row>
    <row r="30">
      <c r="A30" s="65">
        <v>22.0</v>
      </c>
      <c r="B30" s="50" t="s">
        <v>67</v>
      </c>
      <c r="C30" s="143" t="s">
        <v>666</v>
      </c>
      <c r="D30" s="143" t="s">
        <v>667</v>
      </c>
      <c r="E30" s="75" t="s">
        <v>68</v>
      </c>
      <c r="F30" s="117" t="s">
        <v>69</v>
      </c>
      <c r="G30" s="59"/>
      <c r="H30" s="9"/>
    </row>
    <row r="31">
      <c r="A31" s="65">
        <v>23.0</v>
      </c>
      <c r="B31" s="50" t="s">
        <v>67</v>
      </c>
      <c r="C31" s="143" t="s">
        <v>668</v>
      </c>
      <c r="D31" s="143" t="s">
        <v>669</v>
      </c>
      <c r="E31" s="75" t="s">
        <v>68</v>
      </c>
      <c r="F31" s="117" t="s">
        <v>69</v>
      </c>
      <c r="G31" s="59"/>
      <c r="H31" s="9"/>
    </row>
    <row r="32">
      <c r="A32" s="65">
        <v>24.0</v>
      </c>
      <c r="B32" s="50" t="s">
        <v>67</v>
      </c>
      <c r="C32" s="143" t="s">
        <v>670</v>
      </c>
      <c r="D32" s="143" t="s">
        <v>671</v>
      </c>
      <c r="E32" s="75" t="s">
        <v>68</v>
      </c>
      <c r="F32" s="117" t="s">
        <v>69</v>
      </c>
      <c r="G32" s="59"/>
      <c r="H32" s="9"/>
    </row>
    <row r="33">
      <c r="A33" s="127">
        <v>25.0</v>
      </c>
      <c r="B33" s="128" t="s">
        <v>67</v>
      </c>
      <c r="C33" s="150" t="s">
        <v>672</v>
      </c>
      <c r="D33" s="150" t="s">
        <v>673</v>
      </c>
      <c r="E33" s="130" t="s">
        <v>68</v>
      </c>
      <c r="F33" s="131" t="s">
        <v>27</v>
      </c>
      <c r="G33" s="132"/>
      <c r="H33" s="133" t="s">
        <v>291</v>
      </c>
    </row>
    <row r="34">
      <c r="A34" s="65">
        <v>26.0</v>
      </c>
      <c r="B34" s="50" t="s">
        <v>67</v>
      </c>
      <c r="C34" s="143" t="s">
        <v>201</v>
      </c>
      <c r="D34" s="143" t="s">
        <v>202</v>
      </c>
      <c r="E34" s="75" t="s">
        <v>68</v>
      </c>
      <c r="F34" s="117" t="s">
        <v>69</v>
      </c>
      <c r="G34" s="59"/>
      <c r="H34" s="9"/>
    </row>
    <row r="35">
      <c r="A35" s="65">
        <v>27.0</v>
      </c>
      <c r="B35" s="50" t="s">
        <v>67</v>
      </c>
      <c r="C35" s="143" t="s">
        <v>674</v>
      </c>
      <c r="D35" s="143" t="s">
        <v>675</v>
      </c>
      <c r="E35" s="75" t="s">
        <v>68</v>
      </c>
      <c r="F35" s="117" t="s">
        <v>69</v>
      </c>
      <c r="G35" s="59"/>
      <c r="H35" s="9"/>
    </row>
    <row r="36">
      <c r="A36" s="65">
        <v>28.0</v>
      </c>
      <c r="B36" s="50" t="s">
        <v>67</v>
      </c>
      <c r="C36" s="143" t="s">
        <v>332</v>
      </c>
      <c r="D36" s="143" t="s">
        <v>333</v>
      </c>
      <c r="E36" s="75" t="s">
        <v>68</v>
      </c>
      <c r="F36" s="117" t="s">
        <v>69</v>
      </c>
      <c r="G36" s="59"/>
      <c r="H36" s="9"/>
    </row>
    <row r="37">
      <c r="A37" s="65">
        <v>29.0</v>
      </c>
      <c r="B37" s="50" t="s">
        <v>67</v>
      </c>
      <c r="C37" s="143" t="s">
        <v>360</v>
      </c>
      <c r="D37" s="143" t="s">
        <v>361</v>
      </c>
      <c r="E37" s="75" t="s">
        <v>68</v>
      </c>
      <c r="F37" s="117" t="s">
        <v>69</v>
      </c>
      <c r="G37" s="59"/>
      <c r="H37" s="9"/>
    </row>
    <row r="38">
      <c r="A38" s="65">
        <v>30.0</v>
      </c>
      <c r="B38" s="50" t="s">
        <v>67</v>
      </c>
      <c r="C38" s="143" t="s">
        <v>676</v>
      </c>
      <c r="D38" s="143" t="s">
        <v>677</v>
      </c>
      <c r="E38" s="75" t="s">
        <v>68</v>
      </c>
      <c r="F38" s="117" t="s">
        <v>69</v>
      </c>
      <c r="G38" s="59"/>
      <c r="H38" s="9"/>
    </row>
    <row r="39">
      <c r="A39" s="65">
        <v>31.0</v>
      </c>
      <c r="B39" s="50" t="s">
        <v>67</v>
      </c>
      <c r="C39" s="143" t="s">
        <v>678</v>
      </c>
      <c r="D39" s="143" t="s">
        <v>679</v>
      </c>
      <c r="E39" s="75" t="s">
        <v>68</v>
      </c>
      <c r="F39" s="117" t="s">
        <v>69</v>
      </c>
      <c r="G39" s="59"/>
      <c r="H39" s="9"/>
    </row>
    <row r="40">
      <c r="A40" s="65">
        <v>32.0</v>
      </c>
      <c r="B40" s="50" t="s">
        <v>67</v>
      </c>
      <c r="C40" s="143" t="s">
        <v>541</v>
      </c>
      <c r="D40" s="143" t="s">
        <v>542</v>
      </c>
      <c r="E40" s="75" t="s">
        <v>68</v>
      </c>
      <c r="F40" s="117" t="s">
        <v>69</v>
      </c>
      <c r="G40" s="59"/>
      <c r="H40" s="9"/>
    </row>
    <row r="41">
      <c r="A41" s="65">
        <v>33.0</v>
      </c>
      <c r="B41" s="50" t="s">
        <v>67</v>
      </c>
      <c r="C41" s="143" t="s">
        <v>680</v>
      </c>
      <c r="D41" s="143" t="s">
        <v>681</v>
      </c>
      <c r="E41" s="75" t="s">
        <v>68</v>
      </c>
      <c r="F41" s="117" t="s">
        <v>69</v>
      </c>
      <c r="G41" s="59"/>
      <c r="H41" s="9"/>
    </row>
    <row r="42">
      <c r="A42" s="65">
        <v>34.0</v>
      </c>
      <c r="B42" s="50" t="s">
        <v>67</v>
      </c>
      <c r="C42" s="143" t="s">
        <v>682</v>
      </c>
      <c r="D42" s="143" t="s">
        <v>683</v>
      </c>
      <c r="E42" s="75" t="s">
        <v>68</v>
      </c>
      <c r="F42" s="117" t="s">
        <v>69</v>
      </c>
      <c r="G42" s="59"/>
      <c r="H42" s="9"/>
    </row>
    <row r="43">
      <c r="A43" s="65">
        <v>35.0</v>
      </c>
      <c r="B43" s="50" t="s">
        <v>67</v>
      </c>
      <c r="C43" s="143" t="s">
        <v>684</v>
      </c>
      <c r="D43" s="143" t="s">
        <v>685</v>
      </c>
      <c r="E43" s="75" t="s">
        <v>68</v>
      </c>
      <c r="F43" s="117" t="s">
        <v>69</v>
      </c>
      <c r="G43" s="59"/>
      <c r="H43" s="9"/>
    </row>
    <row r="44">
      <c r="A44" s="65">
        <v>36.0</v>
      </c>
      <c r="B44" s="50" t="s">
        <v>67</v>
      </c>
      <c r="C44" s="143" t="s">
        <v>686</v>
      </c>
      <c r="D44" s="143" t="s">
        <v>687</v>
      </c>
      <c r="E44" s="75" t="s">
        <v>68</v>
      </c>
      <c r="F44" s="117" t="s">
        <v>69</v>
      </c>
      <c r="G44" s="59"/>
      <c r="H44" s="9"/>
    </row>
    <row r="45">
      <c r="A45" s="65">
        <v>37.0</v>
      </c>
      <c r="B45" s="50" t="s">
        <v>67</v>
      </c>
      <c r="C45" s="143" t="s">
        <v>688</v>
      </c>
      <c r="D45" s="143" t="s">
        <v>689</v>
      </c>
      <c r="E45" s="75" t="s">
        <v>68</v>
      </c>
      <c r="F45" s="117" t="s">
        <v>69</v>
      </c>
      <c r="G45" s="59"/>
      <c r="H45" s="9"/>
    </row>
    <row r="46">
      <c r="A46" s="65">
        <v>38.0</v>
      </c>
      <c r="B46" s="50" t="s">
        <v>67</v>
      </c>
      <c r="C46" s="143" t="s">
        <v>690</v>
      </c>
      <c r="D46" s="143" t="s">
        <v>691</v>
      </c>
      <c r="E46" s="75" t="s">
        <v>68</v>
      </c>
      <c r="F46" s="117" t="s">
        <v>69</v>
      </c>
      <c r="G46" s="59"/>
      <c r="H46" s="9"/>
    </row>
    <row r="47">
      <c r="A47" s="65">
        <v>39.0</v>
      </c>
      <c r="B47" s="50" t="s">
        <v>67</v>
      </c>
      <c r="C47" s="143" t="s">
        <v>692</v>
      </c>
      <c r="D47" s="143" t="s">
        <v>693</v>
      </c>
      <c r="E47" s="75" t="s">
        <v>68</v>
      </c>
      <c r="F47" s="117" t="s">
        <v>69</v>
      </c>
      <c r="G47" s="59"/>
      <c r="H47" s="9"/>
    </row>
    <row r="48">
      <c r="A48" s="65">
        <v>40.0</v>
      </c>
      <c r="B48" s="50" t="s">
        <v>67</v>
      </c>
      <c r="C48" s="143" t="s">
        <v>694</v>
      </c>
      <c r="D48" s="143" t="s">
        <v>695</v>
      </c>
      <c r="E48" s="75" t="s">
        <v>68</v>
      </c>
      <c r="F48" s="117" t="s">
        <v>69</v>
      </c>
      <c r="G48" s="59"/>
      <c r="H48" s="9"/>
    </row>
    <row r="49">
      <c r="A49" s="65">
        <v>41.0</v>
      </c>
      <c r="B49" s="50" t="s">
        <v>67</v>
      </c>
      <c r="C49" s="143" t="s">
        <v>696</v>
      </c>
      <c r="D49" s="143" t="s">
        <v>697</v>
      </c>
      <c r="E49" s="75" t="s">
        <v>68</v>
      </c>
      <c r="F49" s="117" t="s">
        <v>69</v>
      </c>
      <c r="G49" s="59"/>
      <c r="H49" s="9"/>
    </row>
    <row r="50">
      <c r="A50" s="65">
        <v>42.0</v>
      </c>
      <c r="B50" s="50" t="s">
        <v>67</v>
      </c>
      <c r="C50" s="143" t="s">
        <v>698</v>
      </c>
      <c r="D50" s="143" t="s">
        <v>699</v>
      </c>
      <c r="E50" s="75" t="s">
        <v>68</v>
      </c>
      <c r="F50" s="117" t="s">
        <v>69</v>
      </c>
      <c r="G50" s="59"/>
      <c r="H50" s="9"/>
    </row>
    <row r="51">
      <c r="A51" s="65">
        <v>43.0</v>
      </c>
      <c r="B51" s="50" t="s">
        <v>67</v>
      </c>
      <c r="C51" s="143" t="s">
        <v>700</v>
      </c>
      <c r="D51" s="143" t="s">
        <v>701</v>
      </c>
      <c r="E51" s="75" t="s">
        <v>68</v>
      </c>
      <c r="F51" s="117" t="s">
        <v>69</v>
      </c>
      <c r="G51" s="59"/>
      <c r="H51" s="9"/>
    </row>
    <row r="52">
      <c r="A52" s="65">
        <v>44.0</v>
      </c>
      <c r="B52" s="50" t="s">
        <v>67</v>
      </c>
      <c r="C52" s="143" t="s">
        <v>702</v>
      </c>
      <c r="D52" s="143" t="s">
        <v>703</v>
      </c>
      <c r="E52" s="75" t="s">
        <v>68</v>
      </c>
      <c r="F52" s="117" t="s">
        <v>69</v>
      </c>
      <c r="G52" s="59"/>
      <c r="H52" s="9"/>
    </row>
    <row r="53">
      <c r="A53" s="65">
        <v>45.0</v>
      </c>
      <c r="B53" s="50" t="s">
        <v>67</v>
      </c>
      <c r="C53" s="143" t="s">
        <v>704</v>
      </c>
      <c r="D53" s="143" t="s">
        <v>705</v>
      </c>
      <c r="E53" s="75" t="s">
        <v>68</v>
      </c>
      <c r="F53" s="117" t="s">
        <v>69</v>
      </c>
      <c r="G53" s="59"/>
      <c r="H53" s="9"/>
    </row>
    <row r="54">
      <c r="A54" s="65">
        <v>46.0</v>
      </c>
      <c r="B54" s="50" t="s">
        <v>67</v>
      </c>
      <c r="C54" s="143" t="s">
        <v>706</v>
      </c>
      <c r="D54" s="143" t="s">
        <v>707</v>
      </c>
      <c r="E54" s="75" t="s">
        <v>68</v>
      </c>
      <c r="F54" s="117" t="s">
        <v>69</v>
      </c>
      <c r="G54" s="59"/>
      <c r="H54" s="9"/>
    </row>
    <row r="55">
      <c r="A55" s="65">
        <v>47.0</v>
      </c>
      <c r="B55" s="50" t="s">
        <v>67</v>
      </c>
      <c r="C55" s="143" t="s">
        <v>708</v>
      </c>
      <c r="D55" s="143" t="s">
        <v>709</v>
      </c>
      <c r="E55" s="75" t="s">
        <v>68</v>
      </c>
      <c r="F55" s="117" t="s">
        <v>69</v>
      </c>
      <c r="G55" s="59"/>
      <c r="H55" s="9"/>
    </row>
    <row r="56">
      <c r="A56" s="65">
        <v>48.0</v>
      </c>
      <c r="B56" s="50" t="s">
        <v>67</v>
      </c>
      <c r="C56" s="143" t="s">
        <v>710</v>
      </c>
      <c r="D56" s="143" t="s">
        <v>711</v>
      </c>
      <c r="E56" s="75" t="s">
        <v>68</v>
      </c>
      <c r="F56" s="117" t="s">
        <v>69</v>
      </c>
      <c r="G56" s="59"/>
      <c r="H56" s="9"/>
    </row>
    <row r="57">
      <c r="A57" s="127">
        <v>49.0</v>
      </c>
      <c r="B57" s="128" t="s">
        <v>67</v>
      </c>
      <c r="C57" s="150" t="s">
        <v>712</v>
      </c>
      <c r="D57" s="150" t="s">
        <v>713</v>
      </c>
      <c r="E57" s="130" t="s">
        <v>68</v>
      </c>
      <c r="F57" s="131" t="s">
        <v>27</v>
      </c>
      <c r="G57" s="132"/>
      <c r="H57" s="133" t="s">
        <v>291</v>
      </c>
      <c r="I57" s="134"/>
      <c r="J57" s="134"/>
      <c r="K57" s="134"/>
      <c r="L57" s="134"/>
      <c r="M57" s="134"/>
      <c r="N57" s="134"/>
      <c r="O57" s="134"/>
      <c r="P57" s="134"/>
      <c r="Q57" s="134"/>
      <c r="R57" s="134"/>
      <c r="S57" s="134"/>
    </row>
    <row r="58">
      <c r="A58" s="65">
        <v>50.0</v>
      </c>
      <c r="B58" s="50" t="s">
        <v>67</v>
      </c>
      <c r="C58" s="143" t="s">
        <v>714</v>
      </c>
      <c r="D58" s="143" t="s">
        <v>715</v>
      </c>
      <c r="E58" s="75" t="s">
        <v>68</v>
      </c>
      <c r="F58" s="117" t="s">
        <v>69</v>
      </c>
      <c r="G58" s="59"/>
      <c r="H58" s="9"/>
    </row>
    <row r="59">
      <c r="A59" s="65">
        <v>51.0</v>
      </c>
      <c r="B59" s="50" t="s">
        <v>67</v>
      </c>
      <c r="C59" s="143" t="s">
        <v>716</v>
      </c>
      <c r="D59" s="143" t="s">
        <v>717</v>
      </c>
      <c r="E59" s="75" t="s">
        <v>68</v>
      </c>
      <c r="F59" s="117" t="s">
        <v>69</v>
      </c>
      <c r="G59" s="59"/>
      <c r="H59" s="9"/>
    </row>
    <row r="60">
      <c r="A60" s="65">
        <v>52.0</v>
      </c>
      <c r="B60" s="50" t="s">
        <v>67</v>
      </c>
      <c r="C60" s="143" t="s">
        <v>718</v>
      </c>
      <c r="D60" s="143" t="s">
        <v>719</v>
      </c>
      <c r="E60" s="75" t="s">
        <v>68</v>
      </c>
      <c r="F60" s="117" t="s">
        <v>69</v>
      </c>
      <c r="G60" s="59"/>
      <c r="H60" s="9"/>
    </row>
    <row r="61">
      <c r="A61" s="65">
        <v>53.0</v>
      </c>
      <c r="B61" s="50" t="s">
        <v>67</v>
      </c>
      <c r="C61" s="143" t="s">
        <v>720</v>
      </c>
      <c r="D61" s="143" t="s">
        <v>721</v>
      </c>
      <c r="E61" s="75" t="s">
        <v>68</v>
      </c>
      <c r="F61" s="117" t="s">
        <v>69</v>
      </c>
      <c r="G61" s="59"/>
      <c r="H61" s="9"/>
    </row>
    <row r="62">
      <c r="A62" s="65">
        <v>54.0</v>
      </c>
      <c r="B62" s="50" t="s">
        <v>67</v>
      </c>
      <c r="C62" s="143" t="s">
        <v>722</v>
      </c>
      <c r="D62" s="143" t="s">
        <v>723</v>
      </c>
      <c r="E62" s="75" t="s">
        <v>68</v>
      </c>
      <c r="F62" s="117" t="s">
        <v>69</v>
      </c>
      <c r="G62" s="59"/>
      <c r="H62" s="9"/>
    </row>
    <row r="63">
      <c r="A63" s="65">
        <v>55.0</v>
      </c>
      <c r="B63" s="50" t="s">
        <v>67</v>
      </c>
      <c r="C63" s="143" t="s">
        <v>724</v>
      </c>
      <c r="D63" s="143" t="s">
        <v>725</v>
      </c>
      <c r="E63" s="75" t="s">
        <v>68</v>
      </c>
      <c r="F63" s="117" t="s">
        <v>69</v>
      </c>
      <c r="G63" s="59"/>
      <c r="H63" s="9"/>
    </row>
    <row r="64">
      <c r="A64" s="65">
        <v>56.0</v>
      </c>
      <c r="B64" s="50" t="s">
        <v>67</v>
      </c>
      <c r="C64" s="143" t="s">
        <v>726</v>
      </c>
      <c r="D64" s="143" t="s">
        <v>727</v>
      </c>
      <c r="E64" s="75" t="s">
        <v>68</v>
      </c>
      <c r="F64" s="117" t="s">
        <v>69</v>
      </c>
      <c r="G64" s="59"/>
      <c r="H64" s="9"/>
    </row>
    <row r="65">
      <c r="A65" s="65">
        <v>57.0</v>
      </c>
      <c r="B65" s="50" t="s">
        <v>67</v>
      </c>
      <c r="C65" s="143" t="s">
        <v>728</v>
      </c>
      <c r="D65" s="143" t="s">
        <v>729</v>
      </c>
      <c r="E65" s="75" t="s">
        <v>68</v>
      </c>
      <c r="F65" s="117" t="s">
        <v>69</v>
      </c>
      <c r="G65" s="59"/>
      <c r="H65" s="9"/>
    </row>
    <row r="66">
      <c r="A66" s="65">
        <v>58.0</v>
      </c>
      <c r="B66" s="50" t="s">
        <v>67</v>
      </c>
      <c r="C66" s="143" t="s">
        <v>730</v>
      </c>
      <c r="D66" s="143" t="s">
        <v>731</v>
      </c>
      <c r="E66" s="75" t="s">
        <v>68</v>
      </c>
      <c r="F66" s="117" t="s">
        <v>69</v>
      </c>
      <c r="G66" s="59"/>
      <c r="H66" s="9"/>
    </row>
    <row r="67">
      <c r="A67" s="65">
        <v>59.0</v>
      </c>
      <c r="B67" s="50" t="s">
        <v>67</v>
      </c>
      <c r="C67" s="143" t="s">
        <v>394</v>
      </c>
      <c r="D67" s="143" t="s">
        <v>395</v>
      </c>
      <c r="E67" s="75" t="s">
        <v>68</v>
      </c>
      <c r="F67" s="117" t="s">
        <v>69</v>
      </c>
      <c r="G67" s="59"/>
      <c r="H67" s="9"/>
    </row>
    <row r="68">
      <c r="A68" s="65">
        <v>60.0</v>
      </c>
      <c r="B68" s="50" t="s">
        <v>67</v>
      </c>
      <c r="C68" s="143" t="s">
        <v>732</v>
      </c>
      <c r="D68" s="143" t="s">
        <v>733</v>
      </c>
      <c r="E68" s="75" t="s">
        <v>68</v>
      </c>
      <c r="F68" s="117" t="s">
        <v>69</v>
      </c>
      <c r="G68" s="59"/>
      <c r="H68" s="9"/>
    </row>
    <row r="69">
      <c r="A69" s="65">
        <v>61.0</v>
      </c>
      <c r="B69" s="151" t="s">
        <v>734</v>
      </c>
      <c r="C69" s="143" t="s">
        <v>735</v>
      </c>
      <c r="D69" s="143" t="s">
        <v>736</v>
      </c>
      <c r="E69" s="75" t="s">
        <v>68</v>
      </c>
      <c r="F69" s="117" t="s">
        <v>69</v>
      </c>
      <c r="G69" s="59"/>
      <c r="H69" s="9"/>
    </row>
    <row r="70">
      <c r="A70" s="65">
        <v>62.0</v>
      </c>
      <c r="B70" s="151" t="s">
        <v>734</v>
      </c>
      <c r="C70" s="143" t="s">
        <v>144</v>
      </c>
      <c r="D70" s="143" t="s">
        <v>145</v>
      </c>
      <c r="E70" s="75" t="s">
        <v>68</v>
      </c>
      <c r="F70" s="117" t="s">
        <v>69</v>
      </c>
      <c r="G70" s="59"/>
      <c r="H70" s="9"/>
    </row>
    <row r="71">
      <c r="A71" s="65">
        <v>63.0</v>
      </c>
      <c r="B71" s="151" t="s">
        <v>734</v>
      </c>
      <c r="C71" s="143" t="s">
        <v>737</v>
      </c>
      <c r="D71" s="143" t="s">
        <v>738</v>
      </c>
      <c r="E71" s="75" t="s">
        <v>68</v>
      </c>
      <c r="F71" s="117" t="s">
        <v>69</v>
      </c>
      <c r="G71" s="59"/>
      <c r="H71" s="9"/>
    </row>
    <row r="72">
      <c r="A72" s="65">
        <v>64.0</v>
      </c>
      <c r="B72" s="151" t="s">
        <v>734</v>
      </c>
      <c r="C72" s="143" t="s">
        <v>739</v>
      </c>
      <c r="D72" s="143" t="s">
        <v>740</v>
      </c>
      <c r="E72" s="75" t="s">
        <v>68</v>
      </c>
      <c r="F72" s="117" t="s">
        <v>69</v>
      </c>
      <c r="G72" s="59"/>
      <c r="H72" s="9"/>
    </row>
    <row r="73">
      <c r="A73" s="65">
        <v>65.0</v>
      </c>
      <c r="B73" s="151" t="s">
        <v>734</v>
      </c>
      <c r="C73" s="143" t="s">
        <v>741</v>
      </c>
      <c r="D73" s="143" t="s">
        <v>742</v>
      </c>
      <c r="E73" s="75" t="s">
        <v>68</v>
      </c>
      <c r="F73" s="117" t="s">
        <v>69</v>
      </c>
      <c r="G73" s="59"/>
      <c r="H73" s="9"/>
    </row>
    <row r="74">
      <c r="A74" s="65">
        <v>66.0</v>
      </c>
      <c r="B74" s="151" t="s">
        <v>734</v>
      </c>
      <c r="C74" s="143" t="s">
        <v>743</v>
      </c>
      <c r="D74" s="143" t="s">
        <v>744</v>
      </c>
      <c r="E74" s="75" t="s">
        <v>68</v>
      </c>
      <c r="F74" s="117" t="s">
        <v>69</v>
      </c>
      <c r="G74" s="59"/>
      <c r="H74" s="9"/>
    </row>
    <row r="75">
      <c r="A75" s="65">
        <v>67.0</v>
      </c>
      <c r="B75" s="151" t="s">
        <v>734</v>
      </c>
      <c r="C75" s="143" t="s">
        <v>745</v>
      </c>
      <c r="D75" s="143" t="s">
        <v>746</v>
      </c>
      <c r="E75" s="75" t="s">
        <v>68</v>
      </c>
      <c r="F75" s="117" t="s">
        <v>69</v>
      </c>
      <c r="G75" s="59"/>
      <c r="H75" s="9"/>
    </row>
    <row r="76">
      <c r="A76" s="65">
        <v>68.0</v>
      </c>
      <c r="B76" s="151" t="s">
        <v>734</v>
      </c>
      <c r="C76" s="143" t="s">
        <v>285</v>
      </c>
      <c r="D76" s="143" t="s">
        <v>286</v>
      </c>
      <c r="E76" s="75" t="s">
        <v>68</v>
      </c>
      <c r="F76" s="117" t="s">
        <v>69</v>
      </c>
      <c r="G76" s="59"/>
      <c r="H76" s="9"/>
    </row>
    <row r="77">
      <c r="A77" s="65">
        <v>69.0</v>
      </c>
      <c r="B77" s="151" t="s">
        <v>734</v>
      </c>
      <c r="C77" s="143" t="s">
        <v>747</v>
      </c>
      <c r="D77" s="143" t="s">
        <v>748</v>
      </c>
      <c r="E77" s="75" t="s">
        <v>68</v>
      </c>
      <c r="F77" s="117" t="s">
        <v>69</v>
      </c>
      <c r="G77" s="59"/>
      <c r="H77" s="9"/>
    </row>
    <row r="78">
      <c r="A78" s="65">
        <v>70.0</v>
      </c>
      <c r="B78" s="151" t="s">
        <v>734</v>
      </c>
      <c r="C78" s="143" t="s">
        <v>749</v>
      </c>
      <c r="D78" s="143" t="s">
        <v>750</v>
      </c>
      <c r="E78" s="75" t="s">
        <v>68</v>
      </c>
      <c r="F78" s="117" t="s">
        <v>69</v>
      </c>
      <c r="G78" s="59"/>
      <c r="H78" s="9"/>
    </row>
    <row r="79">
      <c r="A79" s="65">
        <v>71.0</v>
      </c>
      <c r="B79" s="151" t="s">
        <v>734</v>
      </c>
      <c r="C79" s="143" t="s">
        <v>751</v>
      </c>
      <c r="D79" s="143" t="s">
        <v>752</v>
      </c>
      <c r="E79" s="75" t="s">
        <v>68</v>
      </c>
      <c r="F79" s="117" t="s">
        <v>69</v>
      </c>
      <c r="G79" s="59"/>
      <c r="H79" s="9"/>
    </row>
    <row r="80">
      <c r="A80" s="65">
        <v>72.0</v>
      </c>
      <c r="B80" s="151" t="s">
        <v>734</v>
      </c>
      <c r="C80" s="143" t="s">
        <v>229</v>
      </c>
      <c r="D80" s="143" t="s">
        <v>230</v>
      </c>
      <c r="E80" s="75" t="s">
        <v>68</v>
      </c>
      <c r="F80" s="117" t="s">
        <v>69</v>
      </c>
      <c r="G80" s="59"/>
      <c r="H80" s="9"/>
    </row>
    <row r="81">
      <c r="A81" s="65">
        <v>73.0</v>
      </c>
      <c r="B81" s="151" t="s">
        <v>734</v>
      </c>
      <c r="C81" s="143" t="s">
        <v>358</v>
      </c>
      <c r="D81" s="143" t="s">
        <v>359</v>
      </c>
      <c r="E81" s="75" t="s">
        <v>68</v>
      </c>
      <c r="F81" s="117" t="s">
        <v>69</v>
      </c>
      <c r="G81" s="59"/>
      <c r="H81" s="9"/>
    </row>
    <row r="82">
      <c r="A82" s="65">
        <v>74.0</v>
      </c>
      <c r="B82" s="151" t="s">
        <v>734</v>
      </c>
      <c r="C82" s="143" t="s">
        <v>753</v>
      </c>
      <c r="D82" s="143" t="s">
        <v>754</v>
      </c>
      <c r="E82" s="75" t="s">
        <v>68</v>
      </c>
      <c r="F82" s="117" t="s">
        <v>69</v>
      </c>
      <c r="G82" s="59"/>
      <c r="H82" s="9"/>
    </row>
    <row r="83">
      <c r="A83" s="65">
        <v>75.0</v>
      </c>
      <c r="B83" s="151" t="s">
        <v>734</v>
      </c>
      <c r="C83" s="143" t="s">
        <v>755</v>
      </c>
      <c r="D83" s="143" t="s">
        <v>756</v>
      </c>
      <c r="E83" s="75" t="s">
        <v>68</v>
      </c>
      <c r="F83" s="117" t="s">
        <v>69</v>
      </c>
      <c r="G83" s="59"/>
      <c r="H83" s="9"/>
    </row>
    <row r="84">
      <c r="A84" s="65">
        <v>76.0</v>
      </c>
      <c r="B84" s="151" t="s">
        <v>734</v>
      </c>
      <c r="C84" s="143" t="s">
        <v>156</v>
      </c>
      <c r="D84" s="143" t="s">
        <v>157</v>
      </c>
      <c r="E84" s="75" t="s">
        <v>68</v>
      </c>
      <c r="F84" s="117" t="s">
        <v>69</v>
      </c>
      <c r="G84" s="59"/>
      <c r="H84" s="9"/>
    </row>
    <row r="85">
      <c r="A85" s="65">
        <v>77.0</v>
      </c>
      <c r="B85" s="151" t="s">
        <v>734</v>
      </c>
      <c r="C85" s="143" t="s">
        <v>757</v>
      </c>
      <c r="D85" s="143" t="s">
        <v>758</v>
      </c>
      <c r="E85" s="75" t="s">
        <v>68</v>
      </c>
      <c r="F85" s="117" t="s">
        <v>69</v>
      </c>
      <c r="G85" s="59"/>
      <c r="H85" s="9"/>
    </row>
    <row r="86">
      <c r="A86" s="65">
        <v>78.0</v>
      </c>
      <c r="B86" s="151" t="s">
        <v>734</v>
      </c>
      <c r="C86" s="143" t="s">
        <v>759</v>
      </c>
      <c r="D86" s="143" t="s">
        <v>760</v>
      </c>
      <c r="E86" s="75" t="s">
        <v>68</v>
      </c>
      <c r="F86" s="117" t="s">
        <v>69</v>
      </c>
      <c r="G86" s="59"/>
      <c r="H86" s="9"/>
    </row>
    <row r="87">
      <c r="A87" s="65">
        <v>79.0</v>
      </c>
      <c r="B87" s="151" t="s">
        <v>734</v>
      </c>
      <c r="C87" s="143" t="s">
        <v>761</v>
      </c>
      <c r="D87" s="143" t="s">
        <v>762</v>
      </c>
      <c r="E87" s="75" t="s">
        <v>68</v>
      </c>
      <c r="F87" s="117" t="s">
        <v>69</v>
      </c>
      <c r="G87" s="59"/>
      <c r="H87" s="9"/>
    </row>
    <row r="88">
      <c r="A88" s="65">
        <v>80.0</v>
      </c>
      <c r="B88" s="151" t="s">
        <v>734</v>
      </c>
      <c r="C88" s="143" t="s">
        <v>763</v>
      </c>
      <c r="D88" s="143" t="s">
        <v>764</v>
      </c>
      <c r="E88" s="75" t="s">
        <v>68</v>
      </c>
      <c r="F88" s="117" t="s">
        <v>69</v>
      </c>
      <c r="G88" s="59"/>
      <c r="H88" s="9"/>
    </row>
    <row r="89">
      <c r="A89" s="65">
        <v>81.0</v>
      </c>
      <c r="B89" s="151" t="s">
        <v>734</v>
      </c>
      <c r="C89" s="143" t="s">
        <v>619</v>
      </c>
      <c r="D89" s="143" t="s">
        <v>620</v>
      </c>
      <c r="E89" s="75" t="s">
        <v>68</v>
      </c>
      <c r="F89" s="117" t="s">
        <v>69</v>
      </c>
      <c r="G89" s="59"/>
      <c r="H89" s="9"/>
    </row>
    <row r="90">
      <c r="A90" s="65">
        <v>82.0</v>
      </c>
      <c r="B90" s="151" t="s">
        <v>734</v>
      </c>
      <c r="C90" s="143" t="s">
        <v>765</v>
      </c>
      <c r="D90" s="143" t="s">
        <v>766</v>
      </c>
      <c r="E90" s="75" t="s">
        <v>68</v>
      </c>
      <c r="F90" s="117" t="s">
        <v>69</v>
      </c>
      <c r="G90" s="59"/>
      <c r="H90" s="9"/>
    </row>
    <row r="91">
      <c r="A91" s="65">
        <v>83.0</v>
      </c>
      <c r="B91" s="151" t="s">
        <v>734</v>
      </c>
      <c r="C91" s="143" t="s">
        <v>767</v>
      </c>
      <c r="D91" s="143" t="s">
        <v>768</v>
      </c>
      <c r="E91" s="75" t="s">
        <v>68</v>
      </c>
      <c r="F91" s="117" t="s">
        <v>69</v>
      </c>
      <c r="G91" s="59"/>
      <c r="H91" s="9"/>
    </row>
    <row r="92">
      <c r="A92" s="65">
        <v>84.0</v>
      </c>
      <c r="B92" s="151" t="s">
        <v>734</v>
      </c>
      <c r="C92" s="143" t="s">
        <v>769</v>
      </c>
      <c r="D92" s="143" t="s">
        <v>770</v>
      </c>
      <c r="E92" s="75" t="s">
        <v>68</v>
      </c>
      <c r="F92" s="117" t="s">
        <v>69</v>
      </c>
      <c r="G92" s="59"/>
      <c r="H92" s="9"/>
    </row>
    <row r="93">
      <c r="A93" s="65">
        <v>85.0</v>
      </c>
      <c r="B93" s="151" t="s">
        <v>734</v>
      </c>
      <c r="C93" s="143" t="s">
        <v>771</v>
      </c>
      <c r="D93" s="143" t="s">
        <v>772</v>
      </c>
      <c r="E93" s="75" t="s">
        <v>68</v>
      </c>
      <c r="F93" s="117" t="s">
        <v>69</v>
      </c>
      <c r="G93" s="59"/>
      <c r="H93" s="9"/>
    </row>
    <row r="94">
      <c r="A94" s="65">
        <v>86.0</v>
      </c>
      <c r="B94" s="151" t="s">
        <v>734</v>
      </c>
      <c r="C94" s="143" t="s">
        <v>510</v>
      </c>
      <c r="D94" s="143" t="s">
        <v>511</v>
      </c>
      <c r="E94" s="75" t="s">
        <v>68</v>
      </c>
      <c r="F94" s="117" t="s">
        <v>69</v>
      </c>
      <c r="G94" s="59"/>
      <c r="H94" s="9"/>
    </row>
    <row r="95">
      <c r="A95" s="65">
        <v>87.0</v>
      </c>
      <c r="B95" s="151" t="s">
        <v>734</v>
      </c>
      <c r="C95" s="143" t="s">
        <v>773</v>
      </c>
      <c r="D95" s="143" t="s">
        <v>774</v>
      </c>
      <c r="E95" s="75" t="s">
        <v>68</v>
      </c>
      <c r="F95" s="117" t="s">
        <v>69</v>
      </c>
      <c r="G95" s="59"/>
      <c r="H95" s="9"/>
    </row>
    <row r="96">
      <c r="A96" s="65">
        <v>88.0</v>
      </c>
      <c r="B96" s="151" t="s">
        <v>734</v>
      </c>
      <c r="C96" s="143" t="s">
        <v>775</v>
      </c>
      <c r="D96" s="143" t="s">
        <v>776</v>
      </c>
      <c r="E96" s="75" t="s">
        <v>68</v>
      </c>
      <c r="F96" s="117" t="s">
        <v>69</v>
      </c>
      <c r="G96" s="59"/>
      <c r="H96" s="9"/>
    </row>
    <row r="97">
      <c r="A97" s="65">
        <v>89.0</v>
      </c>
      <c r="B97" s="151" t="s">
        <v>734</v>
      </c>
      <c r="C97" s="143" t="s">
        <v>777</v>
      </c>
      <c r="D97" s="143" t="s">
        <v>778</v>
      </c>
      <c r="E97" s="75" t="s">
        <v>68</v>
      </c>
      <c r="F97" s="117" t="s">
        <v>69</v>
      </c>
      <c r="G97" s="59"/>
      <c r="H97" s="9"/>
    </row>
    <row r="98">
      <c r="A98" s="65">
        <v>90.0</v>
      </c>
      <c r="B98" s="151" t="s">
        <v>734</v>
      </c>
      <c r="C98" s="143" t="s">
        <v>779</v>
      </c>
      <c r="D98" s="143" t="s">
        <v>780</v>
      </c>
      <c r="E98" s="75" t="s">
        <v>68</v>
      </c>
      <c r="F98" s="117" t="s">
        <v>69</v>
      </c>
      <c r="G98" s="59"/>
      <c r="H98" s="9"/>
    </row>
    <row r="99">
      <c r="A99" s="65">
        <v>91.0</v>
      </c>
      <c r="B99" s="151" t="s">
        <v>734</v>
      </c>
      <c r="C99" s="143" t="s">
        <v>781</v>
      </c>
      <c r="D99" s="143" t="s">
        <v>782</v>
      </c>
      <c r="E99" s="75" t="s">
        <v>68</v>
      </c>
      <c r="F99" s="117" t="s">
        <v>69</v>
      </c>
      <c r="G99" s="59"/>
      <c r="H99" s="9"/>
    </row>
    <row r="100">
      <c r="A100" s="65">
        <v>92.0</v>
      </c>
      <c r="B100" s="151" t="s">
        <v>734</v>
      </c>
      <c r="C100" s="143" t="s">
        <v>783</v>
      </c>
      <c r="D100" s="143" t="s">
        <v>784</v>
      </c>
      <c r="E100" s="75" t="s">
        <v>68</v>
      </c>
      <c r="F100" s="117" t="s">
        <v>69</v>
      </c>
      <c r="G100" s="59"/>
      <c r="H100" s="9"/>
    </row>
    <row r="101">
      <c r="A101" s="65">
        <v>93.0</v>
      </c>
      <c r="B101" s="151" t="s">
        <v>734</v>
      </c>
      <c r="C101" s="143" t="s">
        <v>567</v>
      </c>
      <c r="D101" s="143" t="s">
        <v>568</v>
      </c>
      <c r="E101" s="75" t="s">
        <v>68</v>
      </c>
      <c r="F101" s="117" t="s">
        <v>69</v>
      </c>
      <c r="G101" s="59"/>
      <c r="H101" s="9"/>
    </row>
    <row r="102">
      <c r="A102" s="65">
        <v>94.0</v>
      </c>
      <c r="B102" s="151" t="s">
        <v>734</v>
      </c>
      <c r="C102" s="143" t="s">
        <v>402</v>
      </c>
      <c r="D102" s="143" t="s">
        <v>403</v>
      </c>
      <c r="E102" s="75" t="s">
        <v>68</v>
      </c>
      <c r="F102" s="117" t="s">
        <v>69</v>
      </c>
      <c r="G102" s="59"/>
      <c r="H102" s="9"/>
    </row>
    <row r="103">
      <c r="A103" s="65">
        <v>95.0</v>
      </c>
      <c r="B103" s="151" t="s">
        <v>734</v>
      </c>
      <c r="C103" s="143" t="s">
        <v>785</v>
      </c>
      <c r="D103" s="143" t="s">
        <v>786</v>
      </c>
      <c r="E103" s="75" t="s">
        <v>68</v>
      </c>
      <c r="F103" s="117" t="s">
        <v>69</v>
      </c>
      <c r="G103" s="59"/>
      <c r="H103" s="9"/>
    </row>
    <row r="104">
      <c r="A104" s="65">
        <v>96.0</v>
      </c>
      <c r="B104" s="151" t="s">
        <v>734</v>
      </c>
      <c r="C104" s="143" t="s">
        <v>787</v>
      </c>
      <c r="D104" s="143" t="s">
        <v>788</v>
      </c>
      <c r="E104" s="75" t="s">
        <v>68</v>
      </c>
      <c r="F104" s="117" t="s">
        <v>69</v>
      </c>
      <c r="G104" s="59"/>
      <c r="H104" s="9"/>
    </row>
    <row r="105">
      <c r="A105" s="65">
        <v>97.0</v>
      </c>
      <c r="B105" s="151" t="s">
        <v>734</v>
      </c>
      <c r="C105" s="143" t="s">
        <v>789</v>
      </c>
      <c r="D105" s="143" t="s">
        <v>790</v>
      </c>
      <c r="E105" s="75" t="s">
        <v>68</v>
      </c>
      <c r="F105" s="117" t="s">
        <v>69</v>
      </c>
      <c r="G105" s="59"/>
      <c r="H105" s="9"/>
    </row>
    <row r="106">
      <c r="A106" s="65">
        <v>98.0</v>
      </c>
      <c r="B106" s="151" t="s">
        <v>734</v>
      </c>
      <c r="C106" s="143" t="s">
        <v>791</v>
      </c>
      <c r="D106" s="143" t="s">
        <v>792</v>
      </c>
      <c r="E106" s="75" t="s">
        <v>68</v>
      </c>
      <c r="F106" s="117" t="s">
        <v>69</v>
      </c>
      <c r="G106" s="59"/>
      <c r="H106" s="9"/>
    </row>
    <row r="107">
      <c r="A107" s="65">
        <v>99.0</v>
      </c>
      <c r="B107" s="151" t="s">
        <v>734</v>
      </c>
      <c r="C107" s="143" t="s">
        <v>793</v>
      </c>
      <c r="D107" s="143" t="s">
        <v>794</v>
      </c>
      <c r="E107" s="75" t="s">
        <v>68</v>
      </c>
      <c r="F107" s="117" t="s">
        <v>69</v>
      </c>
      <c r="G107" s="59"/>
      <c r="H107" s="9"/>
    </row>
    <row r="108">
      <c r="A108" s="65">
        <v>100.0</v>
      </c>
      <c r="B108" s="151" t="s">
        <v>734</v>
      </c>
      <c r="C108" s="143" t="s">
        <v>795</v>
      </c>
      <c r="D108" s="143" t="s">
        <v>796</v>
      </c>
      <c r="E108" s="75" t="s">
        <v>68</v>
      </c>
      <c r="F108" s="117" t="s">
        <v>69</v>
      </c>
      <c r="G108" s="59"/>
      <c r="H108" s="9"/>
    </row>
    <row r="109">
      <c r="A109" s="65">
        <v>101.0</v>
      </c>
      <c r="B109" s="151" t="s">
        <v>734</v>
      </c>
      <c r="C109" s="143" t="s">
        <v>797</v>
      </c>
      <c r="D109" s="143" t="s">
        <v>798</v>
      </c>
      <c r="E109" s="75" t="s">
        <v>68</v>
      </c>
      <c r="F109" s="117" t="s">
        <v>69</v>
      </c>
      <c r="G109" s="59"/>
      <c r="H109" s="9"/>
    </row>
    <row r="110">
      <c r="A110" s="65">
        <v>102.0</v>
      </c>
      <c r="B110" s="151" t="s">
        <v>734</v>
      </c>
      <c r="C110" s="143" t="s">
        <v>304</v>
      </c>
      <c r="D110" s="143" t="s">
        <v>305</v>
      </c>
      <c r="E110" s="75" t="s">
        <v>68</v>
      </c>
      <c r="F110" s="117" t="s">
        <v>69</v>
      </c>
      <c r="G110" s="59"/>
      <c r="H110" s="9"/>
    </row>
    <row r="111">
      <c r="A111" s="65">
        <v>103.0</v>
      </c>
      <c r="B111" s="151" t="s">
        <v>734</v>
      </c>
      <c r="C111" s="143" t="s">
        <v>799</v>
      </c>
      <c r="D111" s="143" t="s">
        <v>800</v>
      </c>
      <c r="E111" s="75" t="s">
        <v>68</v>
      </c>
      <c r="F111" s="117" t="s">
        <v>69</v>
      </c>
      <c r="G111" s="59"/>
      <c r="H111" s="9"/>
    </row>
    <row r="112">
      <c r="A112" s="65">
        <v>104.0</v>
      </c>
      <c r="B112" s="151" t="s">
        <v>734</v>
      </c>
      <c r="C112" s="143" t="s">
        <v>166</v>
      </c>
      <c r="D112" s="143" t="s">
        <v>167</v>
      </c>
      <c r="E112" s="75" t="s">
        <v>68</v>
      </c>
      <c r="F112" s="117" t="s">
        <v>69</v>
      </c>
      <c r="G112" s="59"/>
      <c r="H112" s="9"/>
    </row>
    <row r="113">
      <c r="A113" s="65">
        <v>105.0</v>
      </c>
      <c r="B113" s="151" t="s">
        <v>734</v>
      </c>
      <c r="C113" s="143" t="s">
        <v>801</v>
      </c>
      <c r="D113" s="143" t="s">
        <v>802</v>
      </c>
      <c r="E113" s="75" t="s">
        <v>68</v>
      </c>
      <c r="F113" s="117" t="s">
        <v>69</v>
      </c>
      <c r="G113" s="59"/>
      <c r="H113" s="9"/>
    </row>
    <row r="114">
      <c r="A114" s="65">
        <v>106.0</v>
      </c>
      <c r="B114" s="151" t="s">
        <v>734</v>
      </c>
      <c r="C114" s="143" t="s">
        <v>803</v>
      </c>
      <c r="D114" s="143" t="s">
        <v>804</v>
      </c>
      <c r="E114" s="75" t="s">
        <v>68</v>
      </c>
      <c r="F114" s="117" t="s">
        <v>69</v>
      </c>
      <c r="G114" s="59"/>
      <c r="H114" s="9"/>
    </row>
    <row r="115">
      <c r="A115" s="65">
        <v>107.0</v>
      </c>
      <c r="B115" s="151" t="s">
        <v>734</v>
      </c>
      <c r="C115" s="143" t="s">
        <v>805</v>
      </c>
      <c r="D115" s="143" t="s">
        <v>806</v>
      </c>
      <c r="E115" s="75" t="s">
        <v>68</v>
      </c>
      <c r="F115" s="117" t="s">
        <v>69</v>
      </c>
      <c r="G115" s="59"/>
      <c r="H115" s="9"/>
    </row>
    <row r="116">
      <c r="A116" s="65">
        <v>108.0</v>
      </c>
      <c r="B116" s="151" t="s">
        <v>734</v>
      </c>
      <c r="C116" s="143" t="s">
        <v>807</v>
      </c>
      <c r="D116" s="143" t="s">
        <v>808</v>
      </c>
      <c r="E116" s="75" t="s">
        <v>68</v>
      </c>
      <c r="F116" s="117" t="s">
        <v>69</v>
      </c>
      <c r="G116" s="59"/>
      <c r="H116" s="9"/>
    </row>
    <row r="117">
      <c r="A117" s="65">
        <v>109.0</v>
      </c>
      <c r="B117" s="151" t="s">
        <v>734</v>
      </c>
      <c r="C117" s="143" t="s">
        <v>809</v>
      </c>
      <c r="D117" s="143" t="s">
        <v>810</v>
      </c>
      <c r="E117" s="75" t="s">
        <v>68</v>
      </c>
      <c r="F117" s="117" t="s">
        <v>69</v>
      </c>
      <c r="G117" s="59"/>
      <c r="H117" s="9"/>
    </row>
    <row r="118">
      <c r="A118" s="65">
        <v>110.0</v>
      </c>
      <c r="B118" s="151" t="s">
        <v>734</v>
      </c>
      <c r="C118" s="143" t="s">
        <v>811</v>
      </c>
      <c r="D118" s="143" t="s">
        <v>812</v>
      </c>
      <c r="E118" s="75" t="s">
        <v>68</v>
      </c>
      <c r="F118" s="117" t="s">
        <v>69</v>
      </c>
      <c r="G118" s="59"/>
      <c r="H118" s="9"/>
    </row>
    <row r="119">
      <c r="A119" s="65">
        <v>111.0</v>
      </c>
      <c r="B119" s="151" t="s">
        <v>734</v>
      </c>
      <c r="C119" s="143" t="s">
        <v>813</v>
      </c>
      <c r="D119" s="143" t="s">
        <v>814</v>
      </c>
      <c r="E119" s="75" t="s">
        <v>68</v>
      </c>
      <c r="F119" s="117" t="s">
        <v>69</v>
      </c>
      <c r="G119" s="59"/>
      <c r="H119" s="9"/>
    </row>
    <row r="120">
      <c r="A120" s="65">
        <v>112.0</v>
      </c>
      <c r="B120" s="151" t="s">
        <v>734</v>
      </c>
      <c r="C120" s="143" t="s">
        <v>815</v>
      </c>
      <c r="D120" s="143" t="s">
        <v>816</v>
      </c>
      <c r="E120" s="75" t="s">
        <v>68</v>
      </c>
      <c r="F120" s="117" t="s">
        <v>69</v>
      </c>
      <c r="G120" s="59"/>
      <c r="H120" s="9"/>
    </row>
    <row r="121">
      <c r="A121" s="65">
        <v>113.0</v>
      </c>
      <c r="B121" s="151" t="s">
        <v>734</v>
      </c>
      <c r="C121" s="143" t="s">
        <v>817</v>
      </c>
      <c r="D121" s="143" t="s">
        <v>818</v>
      </c>
      <c r="E121" s="75" t="s">
        <v>68</v>
      </c>
      <c r="F121" s="117" t="s">
        <v>69</v>
      </c>
      <c r="G121" s="59"/>
      <c r="H121" s="9"/>
    </row>
    <row r="122">
      <c r="A122" s="65">
        <v>114.0</v>
      </c>
      <c r="B122" s="151" t="s">
        <v>734</v>
      </c>
      <c r="C122" s="143" t="s">
        <v>819</v>
      </c>
      <c r="D122" s="143" t="s">
        <v>820</v>
      </c>
      <c r="E122" s="75" t="s">
        <v>68</v>
      </c>
      <c r="F122" s="117" t="s">
        <v>69</v>
      </c>
      <c r="G122" s="59"/>
      <c r="H122" s="9"/>
    </row>
    <row r="123">
      <c r="A123" s="65">
        <v>115.0</v>
      </c>
      <c r="B123" s="151" t="s">
        <v>734</v>
      </c>
      <c r="C123" s="143" t="s">
        <v>821</v>
      </c>
      <c r="D123" s="143" t="s">
        <v>822</v>
      </c>
      <c r="E123" s="75" t="s">
        <v>68</v>
      </c>
      <c r="F123" s="117" t="s">
        <v>69</v>
      </c>
      <c r="G123" s="59"/>
      <c r="H123" s="9"/>
    </row>
    <row r="124">
      <c r="A124" s="65">
        <v>116.0</v>
      </c>
      <c r="B124" s="151" t="s">
        <v>734</v>
      </c>
      <c r="C124" s="143" t="s">
        <v>823</v>
      </c>
      <c r="D124" s="143" t="s">
        <v>824</v>
      </c>
      <c r="E124" s="75" t="s">
        <v>68</v>
      </c>
      <c r="F124" s="117" t="s">
        <v>69</v>
      </c>
      <c r="G124" s="59"/>
      <c r="H124" s="9"/>
    </row>
    <row r="125">
      <c r="A125" s="65">
        <v>117.0</v>
      </c>
      <c r="B125" s="151" t="s">
        <v>734</v>
      </c>
      <c r="C125" s="143" t="s">
        <v>825</v>
      </c>
      <c r="D125" s="143" t="s">
        <v>826</v>
      </c>
      <c r="E125" s="75" t="s">
        <v>68</v>
      </c>
      <c r="F125" s="117" t="s">
        <v>69</v>
      </c>
      <c r="G125" s="59"/>
      <c r="H125" s="9"/>
    </row>
    <row r="126">
      <c r="A126" s="65">
        <v>118.0</v>
      </c>
      <c r="B126" s="151" t="s">
        <v>734</v>
      </c>
      <c r="C126" s="143" t="s">
        <v>827</v>
      </c>
      <c r="D126" s="143" t="s">
        <v>828</v>
      </c>
      <c r="E126" s="75" t="s">
        <v>68</v>
      </c>
      <c r="F126" s="117" t="s">
        <v>69</v>
      </c>
      <c r="G126" s="59"/>
      <c r="H126" s="9"/>
    </row>
    <row r="127">
      <c r="A127" s="65">
        <v>119.0</v>
      </c>
      <c r="B127" s="151" t="s">
        <v>734</v>
      </c>
      <c r="C127" s="143" t="s">
        <v>829</v>
      </c>
      <c r="D127" s="143" t="s">
        <v>830</v>
      </c>
      <c r="E127" s="75" t="s">
        <v>68</v>
      </c>
      <c r="F127" s="117" t="s">
        <v>69</v>
      </c>
      <c r="G127" s="59"/>
      <c r="H127" s="9"/>
    </row>
    <row r="128">
      <c r="A128" s="65">
        <v>120.0</v>
      </c>
      <c r="B128" s="151" t="s">
        <v>734</v>
      </c>
      <c r="C128" s="143" t="s">
        <v>831</v>
      </c>
      <c r="D128" s="143" t="s">
        <v>832</v>
      </c>
      <c r="E128" s="75" t="s">
        <v>68</v>
      </c>
      <c r="F128" s="117" t="s">
        <v>69</v>
      </c>
      <c r="G128" s="59"/>
      <c r="H128" s="9"/>
    </row>
    <row r="129">
      <c r="A129" s="65">
        <v>121.0</v>
      </c>
      <c r="B129" s="151" t="s">
        <v>734</v>
      </c>
      <c r="C129" s="143" t="s">
        <v>833</v>
      </c>
      <c r="D129" s="143" t="s">
        <v>834</v>
      </c>
      <c r="E129" s="75" t="s">
        <v>68</v>
      </c>
      <c r="F129" s="117" t="s">
        <v>69</v>
      </c>
      <c r="G129" s="59"/>
      <c r="H129" s="9"/>
    </row>
    <row r="130">
      <c r="A130" s="65">
        <v>122.0</v>
      </c>
      <c r="B130" s="151" t="s">
        <v>734</v>
      </c>
      <c r="C130" s="143" t="s">
        <v>835</v>
      </c>
      <c r="D130" s="143" t="s">
        <v>836</v>
      </c>
      <c r="E130" s="75" t="s">
        <v>68</v>
      </c>
      <c r="F130" s="117" t="s">
        <v>69</v>
      </c>
      <c r="G130" s="59"/>
      <c r="H130" s="9"/>
    </row>
    <row r="131">
      <c r="A131" s="65">
        <v>123.0</v>
      </c>
      <c r="B131" s="151" t="s">
        <v>734</v>
      </c>
      <c r="C131" s="143" t="s">
        <v>837</v>
      </c>
      <c r="D131" s="143" t="s">
        <v>838</v>
      </c>
      <c r="E131" s="75" t="s">
        <v>68</v>
      </c>
      <c r="F131" s="117" t="s">
        <v>69</v>
      </c>
      <c r="G131" s="59"/>
      <c r="H131" s="9"/>
    </row>
    <row r="132">
      <c r="A132" s="65">
        <v>124.0</v>
      </c>
      <c r="B132" s="151" t="s">
        <v>734</v>
      </c>
      <c r="C132" s="143" t="s">
        <v>839</v>
      </c>
      <c r="D132" s="143" t="s">
        <v>840</v>
      </c>
      <c r="E132" s="75" t="s">
        <v>68</v>
      </c>
      <c r="F132" s="117" t="s">
        <v>69</v>
      </c>
      <c r="G132" s="59"/>
      <c r="H132" s="9"/>
    </row>
    <row r="133">
      <c r="A133" s="65">
        <v>125.0</v>
      </c>
      <c r="B133" s="151" t="s">
        <v>734</v>
      </c>
      <c r="C133" s="143" t="s">
        <v>203</v>
      </c>
      <c r="D133" s="143" t="s">
        <v>204</v>
      </c>
      <c r="E133" s="75" t="s">
        <v>68</v>
      </c>
      <c r="F133" s="117" t="s">
        <v>69</v>
      </c>
      <c r="G133" s="59"/>
      <c r="H133" s="9"/>
    </row>
    <row r="134">
      <c r="A134" s="65">
        <v>126.0</v>
      </c>
      <c r="B134" s="151" t="s">
        <v>734</v>
      </c>
      <c r="C134" s="143" t="s">
        <v>841</v>
      </c>
      <c r="D134" s="143" t="s">
        <v>842</v>
      </c>
      <c r="E134" s="75" t="s">
        <v>68</v>
      </c>
      <c r="F134" s="117" t="s">
        <v>69</v>
      </c>
      <c r="G134" s="59"/>
      <c r="H134" s="9"/>
    </row>
    <row r="135">
      <c r="A135" s="65">
        <v>127.0</v>
      </c>
      <c r="B135" s="151" t="s">
        <v>734</v>
      </c>
      <c r="C135" s="143" t="s">
        <v>843</v>
      </c>
      <c r="D135" s="143" t="s">
        <v>844</v>
      </c>
      <c r="E135" s="75" t="s">
        <v>68</v>
      </c>
      <c r="F135" s="117" t="s">
        <v>69</v>
      </c>
      <c r="G135" s="59"/>
      <c r="H135" s="9"/>
    </row>
    <row r="136">
      <c r="A136" s="65">
        <v>128.0</v>
      </c>
      <c r="B136" s="151" t="s">
        <v>734</v>
      </c>
      <c r="C136" s="143" t="s">
        <v>625</v>
      </c>
      <c r="D136" s="143" t="s">
        <v>626</v>
      </c>
      <c r="E136" s="75" t="s">
        <v>68</v>
      </c>
      <c r="F136" s="117" t="s">
        <v>69</v>
      </c>
      <c r="G136" s="59"/>
      <c r="H136" s="9"/>
    </row>
    <row r="137">
      <c r="A137" s="65">
        <v>129.0</v>
      </c>
      <c r="B137" s="151" t="s">
        <v>734</v>
      </c>
      <c r="C137" s="143" t="s">
        <v>845</v>
      </c>
      <c r="D137" s="143" t="s">
        <v>846</v>
      </c>
      <c r="E137" s="75" t="s">
        <v>68</v>
      </c>
      <c r="F137" s="117" t="s">
        <v>69</v>
      </c>
      <c r="G137" s="59"/>
      <c r="H137" s="9"/>
    </row>
    <row r="138">
      <c r="A138" s="65">
        <v>130.0</v>
      </c>
      <c r="B138" s="151" t="s">
        <v>734</v>
      </c>
      <c r="C138" s="143" t="s">
        <v>847</v>
      </c>
      <c r="D138" s="143" t="s">
        <v>848</v>
      </c>
      <c r="E138" s="75" t="s">
        <v>68</v>
      </c>
      <c r="F138" s="117" t="s">
        <v>69</v>
      </c>
      <c r="G138" s="59"/>
      <c r="H138" s="9"/>
    </row>
    <row r="139">
      <c r="A139" s="65">
        <v>131.0</v>
      </c>
      <c r="B139" s="151" t="s">
        <v>734</v>
      </c>
      <c r="C139" s="143" t="s">
        <v>849</v>
      </c>
      <c r="D139" s="143" t="s">
        <v>850</v>
      </c>
      <c r="E139" s="75" t="s">
        <v>68</v>
      </c>
      <c r="F139" s="117" t="s">
        <v>69</v>
      </c>
      <c r="G139" s="59"/>
      <c r="H139" s="9"/>
    </row>
    <row r="140">
      <c r="A140" s="127">
        <v>132.0</v>
      </c>
      <c r="B140" s="152" t="s">
        <v>734</v>
      </c>
      <c r="C140" s="150" t="s">
        <v>851</v>
      </c>
      <c r="D140" s="150" t="s">
        <v>852</v>
      </c>
      <c r="E140" s="130" t="s">
        <v>68</v>
      </c>
      <c r="F140" s="131" t="s">
        <v>27</v>
      </c>
      <c r="G140" s="132"/>
      <c r="H140" s="133" t="s">
        <v>291</v>
      </c>
      <c r="I140" s="134"/>
      <c r="J140" s="134"/>
      <c r="K140" s="134"/>
      <c r="L140" s="134"/>
      <c r="M140" s="134"/>
      <c r="N140" s="134"/>
      <c r="O140" s="134"/>
      <c r="P140" s="134"/>
      <c r="Q140" s="134"/>
      <c r="R140" s="134"/>
      <c r="S140" s="134"/>
    </row>
    <row r="141">
      <c r="A141" s="65">
        <v>133.0</v>
      </c>
      <c r="B141" s="151" t="s">
        <v>734</v>
      </c>
      <c r="C141" s="143" t="s">
        <v>853</v>
      </c>
      <c r="D141" s="143" t="s">
        <v>854</v>
      </c>
      <c r="E141" s="75" t="s">
        <v>68</v>
      </c>
      <c r="F141" s="117" t="s">
        <v>69</v>
      </c>
      <c r="G141" s="59"/>
      <c r="H141" s="9"/>
    </row>
    <row r="142">
      <c r="A142" s="65">
        <v>134.0</v>
      </c>
      <c r="B142" s="151" t="s">
        <v>734</v>
      </c>
      <c r="C142" s="143" t="s">
        <v>855</v>
      </c>
      <c r="D142" s="143" t="s">
        <v>856</v>
      </c>
      <c r="E142" s="75" t="s">
        <v>68</v>
      </c>
      <c r="F142" s="117" t="s">
        <v>69</v>
      </c>
      <c r="G142" s="59"/>
      <c r="H142" s="9"/>
    </row>
    <row r="143">
      <c r="A143" s="65">
        <v>135.0</v>
      </c>
      <c r="B143" s="151" t="s">
        <v>734</v>
      </c>
      <c r="C143" s="143" t="s">
        <v>857</v>
      </c>
      <c r="D143" s="143" t="s">
        <v>858</v>
      </c>
      <c r="E143" s="75" t="s">
        <v>68</v>
      </c>
      <c r="F143" s="117" t="s">
        <v>69</v>
      </c>
      <c r="G143" s="59"/>
      <c r="H143" s="9"/>
    </row>
    <row r="144">
      <c r="A144" s="65">
        <v>136.0</v>
      </c>
      <c r="B144" s="151" t="s">
        <v>734</v>
      </c>
      <c r="C144" s="153" t="s">
        <v>859</v>
      </c>
      <c r="D144" s="143" t="s">
        <v>860</v>
      </c>
      <c r="E144" s="75" t="s">
        <v>68</v>
      </c>
      <c r="F144" s="117" t="s">
        <v>69</v>
      </c>
      <c r="G144" s="59"/>
      <c r="H144" s="9"/>
    </row>
    <row r="145">
      <c r="A145" s="65">
        <v>137.0</v>
      </c>
      <c r="B145" s="151" t="s">
        <v>734</v>
      </c>
      <c r="C145" s="143" t="s">
        <v>330</v>
      </c>
      <c r="D145" s="143" t="s">
        <v>331</v>
      </c>
      <c r="E145" s="75" t="s">
        <v>68</v>
      </c>
      <c r="F145" s="117" t="s">
        <v>69</v>
      </c>
      <c r="G145" s="59"/>
      <c r="H145" s="9"/>
    </row>
    <row r="146">
      <c r="A146" s="65">
        <v>138.0</v>
      </c>
      <c r="B146" s="151" t="s">
        <v>734</v>
      </c>
      <c r="C146" s="143" t="s">
        <v>861</v>
      </c>
      <c r="D146" s="143" t="s">
        <v>862</v>
      </c>
      <c r="E146" s="75" t="s">
        <v>68</v>
      </c>
      <c r="F146" s="117" t="s">
        <v>69</v>
      </c>
      <c r="G146" s="59"/>
      <c r="H146" s="9"/>
    </row>
    <row r="147">
      <c r="A147" s="65">
        <v>139.0</v>
      </c>
      <c r="B147" s="151" t="s">
        <v>734</v>
      </c>
      <c r="C147" s="143" t="s">
        <v>863</v>
      </c>
      <c r="D147" s="143" t="s">
        <v>864</v>
      </c>
      <c r="E147" s="75" t="s">
        <v>68</v>
      </c>
      <c r="F147" s="117" t="s">
        <v>69</v>
      </c>
      <c r="G147" s="59"/>
      <c r="H147" s="9"/>
    </row>
    <row r="148">
      <c r="A148" s="65">
        <v>140.0</v>
      </c>
      <c r="B148" s="151" t="s">
        <v>734</v>
      </c>
      <c r="C148" s="143" t="s">
        <v>865</v>
      </c>
      <c r="D148" s="143" t="s">
        <v>866</v>
      </c>
      <c r="E148" s="75" t="s">
        <v>68</v>
      </c>
      <c r="F148" s="117" t="s">
        <v>69</v>
      </c>
      <c r="G148" s="59"/>
      <c r="H148" s="9"/>
    </row>
    <row r="149">
      <c r="A149" s="65">
        <v>141.0</v>
      </c>
      <c r="B149" s="151" t="s">
        <v>734</v>
      </c>
      <c r="C149" s="143" t="s">
        <v>867</v>
      </c>
      <c r="D149" s="143" t="s">
        <v>868</v>
      </c>
      <c r="E149" s="75" t="s">
        <v>68</v>
      </c>
      <c r="F149" s="117" t="s">
        <v>69</v>
      </c>
      <c r="G149" s="59"/>
      <c r="H149" s="9"/>
    </row>
    <row r="150">
      <c r="A150" s="65">
        <v>142.0</v>
      </c>
      <c r="B150" s="151" t="s">
        <v>734</v>
      </c>
      <c r="C150" s="143" t="s">
        <v>869</v>
      </c>
      <c r="D150" s="143" t="s">
        <v>870</v>
      </c>
      <c r="E150" s="75" t="s">
        <v>68</v>
      </c>
      <c r="F150" s="117" t="s">
        <v>69</v>
      </c>
      <c r="G150" s="59"/>
      <c r="H150" s="9"/>
    </row>
    <row r="151">
      <c r="A151" s="65">
        <v>143.0</v>
      </c>
      <c r="B151" s="151" t="s">
        <v>734</v>
      </c>
      <c r="C151" s="143" t="s">
        <v>871</v>
      </c>
      <c r="D151" s="143" t="s">
        <v>872</v>
      </c>
      <c r="E151" s="75" t="s">
        <v>68</v>
      </c>
      <c r="F151" s="117" t="s">
        <v>69</v>
      </c>
      <c r="G151" s="59"/>
      <c r="H151" s="9"/>
    </row>
    <row r="152">
      <c r="A152" s="65">
        <v>144.0</v>
      </c>
      <c r="B152" s="151" t="s">
        <v>734</v>
      </c>
      <c r="C152" s="143" t="s">
        <v>873</v>
      </c>
      <c r="D152" s="143" t="s">
        <v>874</v>
      </c>
      <c r="E152" s="75" t="s">
        <v>68</v>
      </c>
      <c r="F152" s="117" t="s">
        <v>69</v>
      </c>
      <c r="G152" s="59"/>
      <c r="H152" s="9"/>
    </row>
    <row r="153">
      <c r="A153" s="65">
        <v>145.0</v>
      </c>
      <c r="B153" s="151" t="s">
        <v>734</v>
      </c>
      <c r="C153" s="143" t="s">
        <v>571</v>
      </c>
      <c r="D153" s="143" t="s">
        <v>572</v>
      </c>
      <c r="E153" s="75" t="s">
        <v>68</v>
      </c>
      <c r="F153" s="117" t="s">
        <v>69</v>
      </c>
      <c r="G153" s="59"/>
      <c r="H153" s="9"/>
    </row>
    <row r="154">
      <c r="A154" s="65">
        <v>146.0</v>
      </c>
      <c r="B154" s="151" t="s">
        <v>734</v>
      </c>
      <c r="C154" s="143" t="s">
        <v>454</v>
      </c>
      <c r="D154" s="143" t="s">
        <v>455</v>
      </c>
      <c r="E154" s="75" t="s">
        <v>68</v>
      </c>
      <c r="F154" s="117" t="s">
        <v>69</v>
      </c>
      <c r="G154" s="59"/>
      <c r="H154" s="9"/>
    </row>
    <row r="155">
      <c r="A155" s="65">
        <v>147.0</v>
      </c>
      <c r="B155" s="151" t="s">
        <v>734</v>
      </c>
      <c r="C155" s="143" t="s">
        <v>875</v>
      </c>
      <c r="D155" s="143" t="s">
        <v>876</v>
      </c>
      <c r="E155" s="75" t="s">
        <v>68</v>
      </c>
      <c r="F155" s="117" t="s">
        <v>69</v>
      </c>
      <c r="G155" s="59"/>
      <c r="H155" s="9"/>
    </row>
    <row r="156">
      <c r="A156" s="65">
        <v>148.0</v>
      </c>
      <c r="B156" s="151" t="s">
        <v>734</v>
      </c>
      <c r="C156" s="143" t="s">
        <v>877</v>
      </c>
      <c r="D156" s="143" t="s">
        <v>878</v>
      </c>
      <c r="E156" s="75" t="s">
        <v>68</v>
      </c>
      <c r="F156" s="117" t="s">
        <v>69</v>
      </c>
      <c r="G156" s="59"/>
      <c r="H156" s="9"/>
    </row>
    <row r="157">
      <c r="A157" s="127">
        <v>149.0</v>
      </c>
      <c r="B157" s="152" t="s">
        <v>734</v>
      </c>
      <c r="C157" s="150" t="s">
        <v>879</v>
      </c>
      <c r="D157" s="150" t="s">
        <v>880</v>
      </c>
      <c r="E157" s="130" t="s">
        <v>68</v>
      </c>
      <c r="F157" s="131" t="s">
        <v>27</v>
      </c>
      <c r="G157" s="132"/>
      <c r="H157" s="133" t="s">
        <v>291</v>
      </c>
      <c r="I157" s="134"/>
      <c r="J157" s="134"/>
      <c r="K157" s="134"/>
      <c r="L157" s="134"/>
      <c r="M157" s="134"/>
      <c r="N157" s="134"/>
      <c r="O157" s="134"/>
      <c r="P157" s="134"/>
      <c r="Q157" s="134"/>
      <c r="R157" s="134"/>
      <c r="S157" s="134"/>
    </row>
    <row r="158">
      <c r="A158" s="65">
        <v>150.0</v>
      </c>
      <c r="B158" s="151" t="s">
        <v>734</v>
      </c>
      <c r="C158" s="143" t="s">
        <v>881</v>
      </c>
      <c r="D158" s="143" t="s">
        <v>882</v>
      </c>
      <c r="E158" s="75" t="s">
        <v>68</v>
      </c>
      <c r="F158" s="117" t="s">
        <v>69</v>
      </c>
      <c r="G158" s="59"/>
      <c r="H158" s="9"/>
    </row>
    <row r="159">
      <c r="A159" s="65">
        <v>151.0</v>
      </c>
      <c r="B159" s="151" t="s">
        <v>734</v>
      </c>
      <c r="C159" s="143" t="s">
        <v>883</v>
      </c>
      <c r="D159" s="143" t="s">
        <v>884</v>
      </c>
      <c r="E159" s="75" t="s">
        <v>68</v>
      </c>
      <c r="F159" s="117" t="s">
        <v>69</v>
      </c>
      <c r="G159" s="59"/>
      <c r="H159" s="9"/>
    </row>
    <row r="160">
      <c r="A160" s="65">
        <v>152.0</v>
      </c>
      <c r="B160" s="151" t="s">
        <v>734</v>
      </c>
      <c r="C160" s="143" t="s">
        <v>448</v>
      </c>
      <c r="D160" s="143" t="s">
        <v>449</v>
      </c>
      <c r="E160" s="75" t="s">
        <v>68</v>
      </c>
      <c r="F160" s="117" t="s">
        <v>69</v>
      </c>
      <c r="G160" s="59"/>
      <c r="H160" s="9"/>
    </row>
    <row r="161">
      <c r="A161" s="65">
        <v>153.0</v>
      </c>
      <c r="B161" s="151" t="s">
        <v>734</v>
      </c>
      <c r="C161" s="143" t="s">
        <v>885</v>
      </c>
      <c r="D161" s="143" t="s">
        <v>886</v>
      </c>
      <c r="E161" s="75" t="s">
        <v>68</v>
      </c>
      <c r="F161" s="117" t="s">
        <v>69</v>
      </c>
      <c r="G161" s="59"/>
      <c r="H161" s="9"/>
    </row>
    <row r="162">
      <c r="A162" s="65">
        <v>154.0</v>
      </c>
      <c r="B162" s="151" t="s">
        <v>734</v>
      </c>
      <c r="C162" s="143" t="s">
        <v>887</v>
      </c>
      <c r="D162" s="143" t="s">
        <v>888</v>
      </c>
      <c r="E162" s="75" t="s">
        <v>68</v>
      </c>
      <c r="F162" s="117" t="s">
        <v>69</v>
      </c>
      <c r="G162" s="59"/>
      <c r="H162" s="9"/>
    </row>
    <row r="163">
      <c r="A163" s="65">
        <v>155.0</v>
      </c>
      <c r="B163" s="151" t="s">
        <v>734</v>
      </c>
      <c r="C163" s="143" t="s">
        <v>889</v>
      </c>
      <c r="D163" s="143" t="s">
        <v>890</v>
      </c>
      <c r="E163" s="75" t="s">
        <v>68</v>
      </c>
      <c r="F163" s="117" t="s">
        <v>69</v>
      </c>
      <c r="G163" s="59"/>
      <c r="H163" s="9"/>
    </row>
    <row r="164">
      <c r="A164" s="65">
        <v>156.0</v>
      </c>
      <c r="B164" s="151" t="s">
        <v>734</v>
      </c>
      <c r="C164" s="143" t="s">
        <v>891</v>
      </c>
      <c r="D164" s="143" t="s">
        <v>892</v>
      </c>
      <c r="E164" s="75" t="s">
        <v>68</v>
      </c>
      <c r="F164" s="117" t="s">
        <v>69</v>
      </c>
      <c r="G164" s="59"/>
      <c r="H164" s="9"/>
    </row>
    <row r="165">
      <c r="A165" s="65">
        <v>157.0</v>
      </c>
      <c r="B165" s="151" t="s">
        <v>734</v>
      </c>
      <c r="C165" s="143" t="s">
        <v>424</v>
      </c>
      <c r="D165" s="143" t="s">
        <v>425</v>
      </c>
      <c r="E165" s="75" t="s">
        <v>68</v>
      </c>
      <c r="F165" s="117" t="s">
        <v>69</v>
      </c>
      <c r="G165" s="59"/>
      <c r="H165" s="9"/>
    </row>
    <row r="166">
      <c r="A166" s="65">
        <v>158.0</v>
      </c>
      <c r="B166" s="151" t="s">
        <v>734</v>
      </c>
      <c r="C166" s="143" t="s">
        <v>893</v>
      </c>
      <c r="D166" s="143" t="s">
        <v>894</v>
      </c>
      <c r="E166" s="75" t="s">
        <v>68</v>
      </c>
      <c r="F166" s="117" t="s">
        <v>69</v>
      </c>
      <c r="G166" s="59"/>
      <c r="H166" s="9"/>
    </row>
    <row r="167">
      <c r="A167" s="65">
        <v>159.0</v>
      </c>
      <c r="B167" s="151" t="s">
        <v>734</v>
      </c>
      <c r="C167" s="143" t="s">
        <v>414</v>
      </c>
      <c r="D167" s="143" t="s">
        <v>415</v>
      </c>
      <c r="E167" s="75" t="s">
        <v>68</v>
      </c>
      <c r="F167" s="117" t="s">
        <v>69</v>
      </c>
      <c r="G167" s="59"/>
      <c r="H167" s="9"/>
    </row>
    <row r="168">
      <c r="A168" s="65">
        <v>160.0</v>
      </c>
      <c r="B168" s="151" t="s">
        <v>734</v>
      </c>
      <c r="C168" s="143" t="s">
        <v>283</v>
      </c>
      <c r="D168" s="143" t="s">
        <v>284</v>
      </c>
      <c r="E168" s="75" t="s">
        <v>68</v>
      </c>
      <c r="F168" s="117" t="s">
        <v>69</v>
      </c>
      <c r="G168" s="59"/>
      <c r="H168" s="9"/>
    </row>
    <row r="169">
      <c r="A169" s="65">
        <v>161.0</v>
      </c>
      <c r="B169" s="151" t="s">
        <v>734</v>
      </c>
      <c r="C169" s="143" t="s">
        <v>895</v>
      </c>
      <c r="D169" s="143" t="s">
        <v>896</v>
      </c>
      <c r="E169" s="75" t="s">
        <v>68</v>
      </c>
      <c r="F169" s="117" t="s">
        <v>69</v>
      </c>
      <c r="G169" s="59"/>
      <c r="H169" s="9"/>
    </row>
    <row r="170">
      <c r="A170" s="65">
        <v>162.0</v>
      </c>
      <c r="B170" s="151" t="s">
        <v>734</v>
      </c>
      <c r="C170" s="143" t="s">
        <v>897</v>
      </c>
      <c r="D170" s="143" t="s">
        <v>898</v>
      </c>
      <c r="E170" s="75" t="s">
        <v>68</v>
      </c>
      <c r="F170" s="117" t="s">
        <v>69</v>
      </c>
      <c r="G170" s="59"/>
      <c r="H170" s="9"/>
    </row>
    <row r="171">
      <c r="A171" s="65">
        <v>163.0</v>
      </c>
      <c r="B171" s="151" t="s">
        <v>734</v>
      </c>
      <c r="C171" s="143" t="s">
        <v>249</v>
      </c>
      <c r="D171" s="143" t="s">
        <v>250</v>
      </c>
      <c r="E171" s="75" t="s">
        <v>68</v>
      </c>
      <c r="F171" s="117" t="s">
        <v>69</v>
      </c>
      <c r="G171" s="59"/>
      <c r="H171" s="9"/>
    </row>
    <row r="172">
      <c r="A172" s="65">
        <v>164.0</v>
      </c>
      <c r="B172" s="151" t="s">
        <v>734</v>
      </c>
      <c r="C172" s="143" t="s">
        <v>348</v>
      </c>
      <c r="D172" s="143" t="s">
        <v>349</v>
      </c>
      <c r="E172" s="75" t="s">
        <v>68</v>
      </c>
      <c r="F172" s="117" t="s">
        <v>69</v>
      </c>
      <c r="G172" s="59"/>
      <c r="H172" s="9"/>
    </row>
    <row r="173">
      <c r="A173" s="65">
        <v>165.0</v>
      </c>
      <c r="B173" s="151" t="s">
        <v>734</v>
      </c>
      <c r="C173" s="143" t="s">
        <v>899</v>
      </c>
      <c r="D173" s="143" t="s">
        <v>900</v>
      </c>
      <c r="E173" s="75" t="s">
        <v>68</v>
      </c>
      <c r="F173" s="117" t="s">
        <v>69</v>
      </c>
      <c r="G173" s="59"/>
      <c r="H173" s="9"/>
    </row>
    <row r="174">
      <c r="A174" s="65">
        <v>166.0</v>
      </c>
      <c r="B174" s="151" t="s">
        <v>734</v>
      </c>
      <c r="C174" s="143" t="s">
        <v>901</v>
      </c>
      <c r="D174" s="143" t="s">
        <v>902</v>
      </c>
      <c r="E174" s="75" t="s">
        <v>68</v>
      </c>
      <c r="F174" s="117" t="s">
        <v>69</v>
      </c>
      <c r="G174" s="59"/>
      <c r="H174" s="9"/>
    </row>
    <row r="175">
      <c r="A175" s="65">
        <v>167.0</v>
      </c>
      <c r="B175" s="151" t="s">
        <v>734</v>
      </c>
      <c r="C175" s="143" t="s">
        <v>247</v>
      </c>
      <c r="D175" s="143" t="s">
        <v>248</v>
      </c>
      <c r="E175" s="75" t="s">
        <v>68</v>
      </c>
      <c r="F175" s="117" t="s">
        <v>69</v>
      </c>
      <c r="G175" s="59"/>
      <c r="H175" s="9"/>
    </row>
    <row r="176">
      <c r="A176" s="127">
        <v>168.0</v>
      </c>
      <c r="B176" s="152" t="s">
        <v>734</v>
      </c>
      <c r="C176" s="150" t="s">
        <v>903</v>
      </c>
      <c r="D176" s="150" t="s">
        <v>904</v>
      </c>
      <c r="E176" s="130" t="s">
        <v>68</v>
      </c>
      <c r="F176" s="131" t="s">
        <v>27</v>
      </c>
      <c r="G176" s="132"/>
      <c r="H176" s="133" t="s">
        <v>291</v>
      </c>
      <c r="I176" s="134"/>
      <c r="J176" s="134"/>
      <c r="K176" s="134"/>
      <c r="L176" s="134"/>
      <c r="M176" s="134"/>
      <c r="N176" s="134"/>
      <c r="O176" s="134"/>
      <c r="P176" s="134"/>
      <c r="Q176" s="134"/>
      <c r="R176" s="134"/>
      <c r="S176" s="134"/>
    </row>
    <row r="177">
      <c r="A177" s="65">
        <v>169.0</v>
      </c>
      <c r="B177" s="151" t="s">
        <v>734</v>
      </c>
      <c r="C177" s="143" t="s">
        <v>905</v>
      </c>
      <c r="D177" s="143" t="s">
        <v>906</v>
      </c>
      <c r="E177" s="75" t="s">
        <v>68</v>
      </c>
      <c r="F177" s="117" t="s">
        <v>69</v>
      </c>
      <c r="G177" s="59"/>
      <c r="H177" s="9"/>
    </row>
    <row r="178">
      <c r="A178" s="65">
        <v>170.0</v>
      </c>
      <c r="B178" s="151" t="s">
        <v>734</v>
      </c>
      <c r="C178" s="143" t="s">
        <v>907</v>
      </c>
      <c r="D178" s="143" t="s">
        <v>908</v>
      </c>
      <c r="E178" s="75" t="s">
        <v>68</v>
      </c>
      <c r="F178" s="117" t="s">
        <v>69</v>
      </c>
      <c r="G178" s="59"/>
      <c r="H178" s="9"/>
    </row>
    <row r="179">
      <c r="A179" s="65">
        <v>171.0</v>
      </c>
      <c r="B179" s="151" t="s">
        <v>734</v>
      </c>
      <c r="C179" s="143" t="s">
        <v>909</v>
      </c>
      <c r="D179" s="143" t="s">
        <v>910</v>
      </c>
      <c r="E179" s="75" t="s">
        <v>68</v>
      </c>
      <c r="F179" s="117" t="s">
        <v>69</v>
      </c>
      <c r="G179" s="59"/>
      <c r="H179" s="9"/>
    </row>
    <row r="180">
      <c r="A180" s="65">
        <v>172.0</v>
      </c>
      <c r="B180" s="151" t="s">
        <v>734</v>
      </c>
      <c r="C180" s="143" t="s">
        <v>911</v>
      </c>
      <c r="D180" s="143" t="s">
        <v>912</v>
      </c>
      <c r="E180" s="75" t="s">
        <v>68</v>
      </c>
      <c r="F180" s="117" t="s">
        <v>69</v>
      </c>
      <c r="G180" s="59"/>
      <c r="H180" s="9"/>
    </row>
    <row r="181">
      <c r="A181" s="65">
        <v>173.0</v>
      </c>
      <c r="B181" s="151" t="s">
        <v>734</v>
      </c>
      <c r="C181" s="143" t="s">
        <v>913</v>
      </c>
      <c r="D181" s="143" t="s">
        <v>914</v>
      </c>
      <c r="E181" s="75" t="s">
        <v>68</v>
      </c>
      <c r="F181" s="117" t="s">
        <v>69</v>
      </c>
      <c r="G181" s="59"/>
      <c r="H181" s="9"/>
    </row>
    <row r="182">
      <c r="A182" s="65">
        <v>174.0</v>
      </c>
      <c r="B182" s="151" t="s">
        <v>734</v>
      </c>
      <c r="C182" s="143" t="s">
        <v>915</v>
      </c>
      <c r="D182" s="143" t="s">
        <v>916</v>
      </c>
      <c r="E182" s="75" t="s">
        <v>68</v>
      </c>
      <c r="F182" s="117" t="s">
        <v>69</v>
      </c>
      <c r="G182" s="59"/>
      <c r="H182" s="9"/>
    </row>
    <row r="183">
      <c r="A183" s="65">
        <v>175.0</v>
      </c>
      <c r="B183" s="151" t="s">
        <v>734</v>
      </c>
      <c r="C183" s="143" t="s">
        <v>917</v>
      </c>
      <c r="D183" s="143" t="s">
        <v>918</v>
      </c>
      <c r="E183" s="75" t="s">
        <v>68</v>
      </c>
      <c r="F183" s="117" t="s">
        <v>69</v>
      </c>
      <c r="G183" s="59"/>
      <c r="H183" s="9"/>
    </row>
    <row r="184">
      <c r="A184" s="65">
        <v>176.0</v>
      </c>
      <c r="B184" s="151" t="s">
        <v>734</v>
      </c>
      <c r="C184" s="143" t="s">
        <v>919</v>
      </c>
      <c r="D184" s="143" t="s">
        <v>920</v>
      </c>
      <c r="E184" s="75" t="s">
        <v>68</v>
      </c>
      <c r="F184" s="117" t="s">
        <v>69</v>
      </c>
      <c r="G184" s="59"/>
      <c r="H184" s="9"/>
    </row>
    <row r="185">
      <c r="A185" s="65">
        <v>177.0</v>
      </c>
      <c r="B185" s="151" t="s">
        <v>734</v>
      </c>
      <c r="C185" s="143" t="s">
        <v>921</v>
      </c>
      <c r="D185" s="143" t="s">
        <v>922</v>
      </c>
      <c r="E185" s="75" t="s">
        <v>68</v>
      </c>
      <c r="F185" s="117" t="s">
        <v>69</v>
      </c>
      <c r="G185" s="59"/>
      <c r="H185" s="9"/>
    </row>
    <row r="186">
      <c r="A186" s="65">
        <v>178.0</v>
      </c>
      <c r="B186" s="151" t="s">
        <v>734</v>
      </c>
      <c r="C186" s="143" t="s">
        <v>261</v>
      </c>
      <c r="D186" s="143" t="s">
        <v>262</v>
      </c>
      <c r="E186" s="75" t="s">
        <v>68</v>
      </c>
      <c r="F186" s="117" t="s">
        <v>69</v>
      </c>
      <c r="G186" s="59"/>
      <c r="H186" s="9"/>
    </row>
    <row r="187">
      <c r="A187" s="65">
        <v>179.0</v>
      </c>
      <c r="B187" s="151" t="s">
        <v>734</v>
      </c>
      <c r="C187" s="143" t="s">
        <v>562</v>
      </c>
      <c r="D187" s="143" t="s">
        <v>563</v>
      </c>
      <c r="E187" s="75" t="s">
        <v>68</v>
      </c>
      <c r="F187" s="117" t="s">
        <v>69</v>
      </c>
      <c r="G187" s="59"/>
      <c r="H187" s="9"/>
    </row>
    <row r="188">
      <c r="A188" s="65">
        <v>180.0</v>
      </c>
      <c r="B188" s="151" t="s">
        <v>734</v>
      </c>
      <c r="C188" s="143" t="s">
        <v>923</v>
      </c>
      <c r="D188" s="143" t="s">
        <v>924</v>
      </c>
      <c r="E188" s="75" t="s">
        <v>68</v>
      </c>
      <c r="F188" s="117" t="s">
        <v>69</v>
      </c>
      <c r="G188" s="59"/>
      <c r="H188" s="9"/>
    </row>
    <row r="189">
      <c r="A189" s="65">
        <v>181.0</v>
      </c>
      <c r="B189" s="151" t="s">
        <v>734</v>
      </c>
      <c r="C189" s="143" t="s">
        <v>925</v>
      </c>
      <c r="D189" s="143" t="s">
        <v>926</v>
      </c>
      <c r="E189" s="75" t="s">
        <v>68</v>
      </c>
      <c r="F189" s="117" t="s">
        <v>69</v>
      </c>
      <c r="G189" s="59"/>
      <c r="H189" s="9"/>
    </row>
    <row r="190">
      <c r="A190" s="65">
        <v>182.0</v>
      </c>
      <c r="B190" s="151" t="s">
        <v>734</v>
      </c>
      <c r="C190" s="143" t="s">
        <v>927</v>
      </c>
      <c r="D190" s="143" t="s">
        <v>928</v>
      </c>
      <c r="E190" s="75" t="s">
        <v>68</v>
      </c>
      <c r="F190" s="117" t="s">
        <v>69</v>
      </c>
      <c r="G190" s="59"/>
      <c r="H190" s="9"/>
    </row>
    <row r="191">
      <c r="A191" s="65">
        <v>183.0</v>
      </c>
      <c r="B191" s="151" t="s">
        <v>734</v>
      </c>
      <c r="C191" s="143" t="s">
        <v>929</v>
      </c>
      <c r="D191" s="143" t="s">
        <v>930</v>
      </c>
      <c r="E191" s="75" t="s">
        <v>68</v>
      </c>
      <c r="F191" s="117" t="s">
        <v>69</v>
      </c>
      <c r="G191" s="59"/>
      <c r="H191" s="9"/>
    </row>
    <row r="192">
      <c r="A192" s="65">
        <v>184.0</v>
      </c>
      <c r="B192" s="151" t="s">
        <v>734</v>
      </c>
      <c r="C192" s="143" t="s">
        <v>931</v>
      </c>
      <c r="D192" s="143" t="s">
        <v>932</v>
      </c>
      <c r="E192" s="75" t="s">
        <v>68</v>
      </c>
      <c r="F192" s="117" t="s">
        <v>69</v>
      </c>
      <c r="G192" s="59"/>
      <c r="H192" s="9"/>
    </row>
    <row r="193">
      <c r="A193" s="65">
        <v>185.0</v>
      </c>
      <c r="B193" s="151" t="s">
        <v>734</v>
      </c>
      <c r="C193" s="143" t="s">
        <v>322</v>
      </c>
      <c r="D193" s="143" t="s">
        <v>323</v>
      </c>
      <c r="E193" s="75" t="s">
        <v>68</v>
      </c>
      <c r="F193" s="117" t="s">
        <v>69</v>
      </c>
      <c r="G193" s="59"/>
      <c r="H193" s="9"/>
    </row>
    <row r="194">
      <c r="A194" s="65">
        <v>186.0</v>
      </c>
      <c r="B194" s="151" t="s">
        <v>734</v>
      </c>
      <c r="C194" s="143" t="s">
        <v>152</v>
      </c>
      <c r="D194" s="143" t="s">
        <v>153</v>
      </c>
      <c r="E194" s="75" t="s">
        <v>68</v>
      </c>
      <c r="F194" s="117" t="s">
        <v>69</v>
      </c>
      <c r="G194" s="59"/>
      <c r="H194" s="9"/>
    </row>
    <row r="195">
      <c r="A195" s="65">
        <v>187.0</v>
      </c>
      <c r="B195" s="151" t="s">
        <v>734</v>
      </c>
      <c r="C195" s="143" t="s">
        <v>933</v>
      </c>
      <c r="D195" s="143" t="s">
        <v>934</v>
      </c>
      <c r="E195" s="75" t="s">
        <v>68</v>
      </c>
      <c r="F195" s="117" t="s">
        <v>69</v>
      </c>
      <c r="G195" s="59"/>
      <c r="H195" s="9"/>
    </row>
    <row r="196">
      <c r="A196" s="65">
        <v>188.0</v>
      </c>
      <c r="B196" s="151" t="s">
        <v>734</v>
      </c>
      <c r="C196" s="143" t="s">
        <v>609</v>
      </c>
      <c r="D196" s="143" t="s">
        <v>610</v>
      </c>
      <c r="E196" s="75" t="s">
        <v>68</v>
      </c>
      <c r="F196" s="117" t="s">
        <v>69</v>
      </c>
      <c r="G196" s="59"/>
      <c r="H196" s="9"/>
    </row>
    <row r="197">
      <c r="A197" s="65">
        <v>189.0</v>
      </c>
      <c r="B197" s="151" t="s">
        <v>734</v>
      </c>
      <c r="C197" s="143" t="s">
        <v>935</v>
      </c>
      <c r="D197" s="143" t="s">
        <v>936</v>
      </c>
      <c r="E197" s="75" t="s">
        <v>68</v>
      </c>
      <c r="F197" s="117" t="s">
        <v>69</v>
      </c>
      <c r="G197" s="59"/>
      <c r="H197" s="9"/>
    </row>
    <row r="198">
      <c r="A198" s="65">
        <v>190.0</v>
      </c>
      <c r="B198" s="151" t="s">
        <v>734</v>
      </c>
      <c r="C198" s="143" t="s">
        <v>428</v>
      </c>
      <c r="D198" s="143" t="s">
        <v>429</v>
      </c>
      <c r="E198" s="75" t="s">
        <v>68</v>
      </c>
      <c r="F198" s="117" t="s">
        <v>69</v>
      </c>
      <c r="G198" s="59"/>
      <c r="H198" s="9"/>
    </row>
    <row r="199">
      <c r="A199" s="65">
        <v>191.0</v>
      </c>
      <c r="B199" s="151" t="s">
        <v>734</v>
      </c>
      <c r="C199" s="143" t="s">
        <v>937</v>
      </c>
      <c r="D199" s="143" t="s">
        <v>938</v>
      </c>
      <c r="E199" s="75" t="s">
        <v>68</v>
      </c>
      <c r="F199" s="117" t="s">
        <v>69</v>
      </c>
      <c r="G199" s="59"/>
      <c r="H199" s="9"/>
    </row>
    <row r="200">
      <c r="A200" s="65">
        <v>192.0</v>
      </c>
      <c r="B200" s="151" t="s">
        <v>734</v>
      </c>
      <c r="C200" s="143" t="s">
        <v>939</v>
      </c>
      <c r="D200" s="143" t="s">
        <v>940</v>
      </c>
      <c r="E200" s="75" t="s">
        <v>68</v>
      </c>
      <c r="F200" s="117" t="s">
        <v>69</v>
      </c>
      <c r="G200" s="59"/>
      <c r="H200" s="9"/>
    </row>
    <row r="201">
      <c r="A201" s="65">
        <v>193.0</v>
      </c>
      <c r="B201" s="151" t="s">
        <v>734</v>
      </c>
      <c r="C201" s="143" t="s">
        <v>941</v>
      </c>
      <c r="D201" s="143" t="s">
        <v>942</v>
      </c>
      <c r="E201" s="75" t="s">
        <v>68</v>
      </c>
      <c r="F201" s="117" t="s">
        <v>69</v>
      </c>
      <c r="G201" s="59"/>
      <c r="H201" s="9"/>
    </row>
    <row r="202">
      <c r="A202" s="127">
        <v>194.0</v>
      </c>
      <c r="B202" s="152" t="s">
        <v>734</v>
      </c>
      <c r="C202" s="150" t="s">
        <v>446</v>
      </c>
      <c r="D202" s="150" t="s">
        <v>943</v>
      </c>
      <c r="E202" s="130" t="s">
        <v>68</v>
      </c>
      <c r="F202" s="131" t="s">
        <v>27</v>
      </c>
      <c r="G202" s="132"/>
      <c r="H202" s="133" t="s">
        <v>291</v>
      </c>
      <c r="I202" s="134"/>
      <c r="J202" s="134"/>
      <c r="K202" s="134"/>
      <c r="L202" s="134"/>
      <c r="M202" s="134"/>
      <c r="N202" s="134"/>
      <c r="O202" s="134"/>
      <c r="P202" s="134"/>
      <c r="Q202" s="134"/>
      <c r="R202" s="134"/>
      <c r="S202" s="134"/>
    </row>
    <row r="203">
      <c r="A203" s="65">
        <v>195.0</v>
      </c>
      <c r="B203" s="151" t="s">
        <v>734</v>
      </c>
      <c r="C203" s="143" t="s">
        <v>944</v>
      </c>
      <c r="D203" s="143" t="s">
        <v>945</v>
      </c>
      <c r="E203" s="75" t="s">
        <v>68</v>
      </c>
      <c r="F203" s="117" t="s">
        <v>69</v>
      </c>
      <c r="G203" s="59"/>
      <c r="H203" s="9"/>
    </row>
    <row r="204">
      <c r="A204" s="65">
        <v>196.0</v>
      </c>
      <c r="B204" s="151" t="s">
        <v>734</v>
      </c>
      <c r="C204" s="143" t="s">
        <v>946</v>
      </c>
      <c r="D204" s="143" t="s">
        <v>947</v>
      </c>
      <c r="E204" s="75" t="s">
        <v>68</v>
      </c>
      <c r="F204" s="117" t="s">
        <v>69</v>
      </c>
      <c r="G204" s="59"/>
      <c r="H204" s="9"/>
    </row>
    <row r="205">
      <c r="A205" s="65">
        <v>197.0</v>
      </c>
      <c r="B205" s="151" t="s">
        <v>734</v>
      </c>
      <c r="C205" s="143" t="s">
        <v>586</v>
      </c>
      <c r="D205" s="143" t="s">
        <v>587</v>
      </c>
      <c r="E205" s="75" t="s">
        <v>68</v>
      </c>
      <c r="F205" s="117" t="s">
        <v>69</v>
      </c>
      <c r="G205" s="59"/>
      <c r="H205" s="9"/>
    </row>
    <row r="206">
      <c r="A206" s="65">
        <v>198.0</v>
      </c>
      <c r="B206" s="151" t="s">
        <v>734</v>
      </c>
      <c r="C206" s="143" t="s">
        <v>948</v>
      </c>
      <c r="D206" s="143" t="s">
        <v>949</v>
      </c>
      <c r="E206" s="75" t="s">
        <v>68</v>
      </c>
      <c r="F206" s="117" t="s">
        <v>69</v>
      </c>
      <c r="G206" s="59"/>
      <c r="H206" s="9"/>
    </row>
    <row r="207">
      <c r="A207" s="65">
        <v>199.0</v>
      </c>
      <c r="B207" s="151" t="s">
        <v>734</v>
      </c>
      <c r="C207" s="143" t="s">
        <v>950</v>
      </c>
      <c r="D207" s="143" t="s">
        <v>951</v>
      </c>
      <c r="E207" s="75" t="s">
        <v>68</v>
      </c>
      <c r="F207" s="117" t="s">
        <v>69</v>
      </c>
      <c r="G207" s="59"/>
      <c r="H207" s="9"/>
    </row>
    <row r="208">
      <c r="A208" s="65">
        <v>200.0</v>
      </c>
      <c r="B208" s="151" t="s">
        <v>734</v>
      </c>
      <c r="C208" s="143" t="s">
        <v>952</v>
      </c>
      <c r="D208" s="143" t="s">
        <v>953</v>
      </c>
      <c r="E208" s="75" t="s">
        <v>68</v>
      </c>
      <c r="F208" s="117" t="s">
        <v>69</v>
      </c>
      <c r="G208" s="59"/>
      <c r="H208" s="9"/>
    </row>
    <row r="209">
      <c r="A209" s="65">
        <v>201.0</v>
      </c>
      <c r="B209" s="151" t="s">
        <v>734</v>
      </c>
      <c r="C209" s="143" t="s">
        <v>314</v>
      </c>
      <c r="D209" s="143" t="s">
        <v>315</v>
      </c>
      <c r="E209" s="75" t="s">
        <v>68</v>
      </c>
      <c r="F209" s="117" t="s">
        <v>69</v>
      </c>
      <c r="G209" s="59"/>
      <c r="H209" s="9"/>
    </row>
    <row r="210">
      <c r="A210" s="65">
        <v>202.0</v>
      </c>
      <c r="B210" s="151" t="s">
        <v>734</v>
      </c>
      <c r="C210" s="143" t="s">
        <v>954</v>
      </c>
      <c r="D210" s="143" t="s">
        <v>955</v>
      </c>
      <c r="E210" s="75" t="s">
        <v>68</v>
      </c>
      <c r="F210" s="117" t="s">
        <v>69</v>
      </c>
      <c r="G210" s="59"/>
      <c r="H210" s="9"/>
    </row>
    <row r="211">
      <c r="A211" s="65">
        <v>203.0</v>
      </c>
      <c r="B211" s="151" t="s">
        <v>734</v>
      </c>
      <c r="C211" s="143" t="s">
        <v>956</v>
      </c>
      <c r="D211" s="143" t="s">
        <v>957</v>
      </c>
      <c r="E211" s="75" t="s">
        <v>68</v>
      </c>
      <c r="F211" s="117" t="s">
        <v>69</v>
      </c>
      <c r="G211" s="59"/>
      <c r="H211" s="9"/>
    </row>
    <row r="212">
      <c r="A212" s="65">
        <v>204.0</v>
      </c>
      <c r="B212" s="151" t="s">
        <v>734</v>
      </c>
      <c r="C212" s="143" t="s">
        <v>958</v>
      </c>
      <c r="D212" s="143" t="s">
        <v>959</v>
      </c>
      <c r="E212" s="75" t="s">
        <v>68</v>
      </c>
      <c r="F212" s="117" t="s">
        <v>69</v>
      </c>
      <c r="G212" s="59"/>
      <c r="H212" s="9"/>
    </row>
    <row r="213">
      <c r="A213" s="65">
        <v>205.0</v>
      </c>
      <c r="B213" s="151" t="s">
        <v>734</v>
      </c>
      <c r="C213" s="143" t="s">
        <v>960</v>
      </c>
      <c r="D213" s="143" t="s">
        <v>961</v>
      </c>
      <c r="E213" s="75" t="s">
        <v>68</v>
      </c>
      <c r="F213" s="117" t="s">
        <v>69</v>
      </c>
      <c r="G213" s="59"/>
      <c r="H213" s="9"/>
    </row>
    <row r="214">
      <c r="A214" s="65">
        <v>206.0</v>
      </c>
      <c r="B214" s="151" t="s">
        <v>734</v>
      </c>
      <c r="C214" s="143" t="s">
        <v>962</v>
      </c>
      <c r="D214" s="143" t="s">
        <v>963</v>
      </c>
      <c r="E214" s="75" t="s">
        <v>68</v>
      </c>
      <c r="F214" s="117" t="s">
        <v>69</v>
      </c>
      <c r="G214" s="59"/>
      <c r="H214" s="9"/>
    </row>
    <row r="215">
      <c r="A215" s="65">
        <v>207.0</v>
      </c>
      <c r="B215" s="151" t="s">
        <v>734</v>
      </c>
      <c r="C215" s="143" t="s">
        <v>964</v>
      </c>
      <c r="D215" s="143" t="s">
        <v>965</v>
      </c>
      <c r="E215" s="75" t="s">
        <v>68</v>
      </c>
      <c r="F215" s="117" t="s">
        <v>69</v>
      </c>
      <c r="G215" s="59"/>
      <c r="H215" s="9"/>
    </row>
    <row r="216">
      <c r="A216" s="65">
        <v>208.0</v>
      </c>
      <c r="B216" s="151" t="s">
        <v>734</v>
      </c>
      <c r="C216" s="143" t="s">
        <v>966</v>
      </c>
      <c r="D216" s="143" t="s">
        <v>967</v>
      </c>
      <c r="E216" s="75" t="s">
        <v>68</v>
      </c>
      <c r="F216" s="117" t="s">
        <v>69</v>
      </c>
      <c r="G216" s="59"/>
      <c r="H216" s="9"/>
    </row>
    <row r="217">
      <c r="A217" s="65">
        <v>209.0</v>
      </c>
      <c r="B217" s="151" t="s">
        <v>734</v>
      </c>
      <c r="C217" s="143" t="s">
        <v>968</v>
      </c>
      <c r="D217" s="143" t="s">
        <v>969</v>
      </c>
      <c r="E217" s="75" t="s">
        <v>68</v>
      </c>
      <c r="F217" s="117" t="s">
        <v>69</v>
      </c>
      <c r="G217" s="59"/>
      <c r="H217" s="9"/>
    </row>
    <row r="218">
      <c r="A218" s="65">
        <v>210.0</v>
      </c>
      <c r="B218" s="151" t="s">
        <v>734</v>
      </c>
      <c r="C218" s="143" t="s">
        <v>970</v>
      </c>
      <c r="D218" s="143" t="s">
        <v>971</v>
      </c>
      <c r="E218" s="75" t="s">
        <v>68</v>
      </c>
      <c r="F218" s="117" t="s">
        <v>69</v>
      </c>
      <c r="G218" s="59"/>
      <c r="H218" s="9"/>
    </row>
    <row r="219">
      <c r="A219" s="65">
        <v>211.0</v>
      </c>
      <c r="B219" s="151" t="s">
        <v>734</v>
      </c>
      <c r="C219" s="143" t="s">
        <v>267</v>
      </c>
      <c r="D219" s="143" t="s">
        <v>268</v>
      </c>
      <c r="E219" s="75" t="s">
        <v>68</v>
      </c>
      <c r="F219" s="117" t="s">
        <v>69</v>
      </c>
      <c r="G219" s="59"/>
      <c r="H219" s="9"/>
    </row>
    <row r="220">
      <c r="A220" s="65">
        <v>212.0</v>
      </c>
      <c r="B220" s="151" t="s">
        <v>734</v>
      </c>
      <c r="C220" s="143" t="s">
        <v>179</v>
      </c>
      <c r="D220" s="143" t="s">
        <v>180</v>
      </c>
      <c r="E220" s="75" t="s">
        <v>68</v>
      </c>
      <c r="F220" s="117" t="s">
        <v>69</v>
      </c>
      <c r="G220" s="59"/>
      <c r="H220" s="9"/>
    </row>
    <row r="221">
      <c r="A221" s="65">
        <v>213.0</v>
      </c>
      <c r="B221" s="151" t="s">
        <v>734</v>
      </c>
      <c r="C221" s="143" t="s">
        <v>972</v>
      </c>
      <c r="D221" s="143" t="s">
        <v>973</v>
      </c>
      <c r="E221" s="75" t="s">
        <v>68</v>
      </c>
      <c r="F221" s="117" t="s">
        <v>69</v>
      </c>
      <c r="G221" s="59"/>
      <c r="H221" s="9"/>
    </row>
    <row r="222">
      <c r="A222" s="65">
        <v>214.0</v>
      </c>
      <c r="B222" s="151" t="s">
        <v>734</v>
      </c>
      <c r="C222" s="143" t="s">
        <v>974</v>
      </c>
      <c r="D222" s="143" t="s">
        <v>975</v>
      </c>
      <c r="E222" s="75" t="s">
        <v>68</v>
      </c>
      <c r="F222" s="117" t="s">
        <v>69</v>
      </c>
      <c r="G222" s="59"/>
      <c r="H222" s="9"/>
    </row>
    <row r="223">
      <c r="A223" s="65">
        <v>215.0</v>
      </c>
      <c r="B223" s="151" t="s">
        <v>734</v>
      </c>
      <c r="C223" s="143" t="s">
        <v>976</v>
      </c>
      <c r="D223" s="143" t="s">
        <v>977</v>
      </c>
      <c r="E223" s="75" t="s">
        <v>68</v>
      </c>
      <c r="F223" s="117" t="s">
        <v>69</v>
      </c>
      <c r="G223" s="59"/>
      <c r="H223" s="9"/>
    </row>
    <row r="224">
      <c r="A224" s="65">
        <v>216.0</v>
      </c>
      <c r="B224" s="151" t="s">
        <v>734</v>
      </c>
      <c r="C224" s="143" t="s">
        <v>978</v>
      </c>
      <c r="D224" s="143" t="s">
        <v>979</v>
      </c>
      <c r="E224" s="75" t="s">
        <v>68</v>
      </c>
      <c r="F224" s="117" t="s">
        <v>69</v>
      </c>
      <c r="G224" s="59"/>
      <c r="H224" s="9"/>
    </row>
    <row r="225">
      <c r="A225" s="65">
        <v>217.0</v>
      </c>
      <c r="B225" s="151" t="s">
        <v>734</v>
      </c>
      <c r="C225" s="143" t="s">
        <v>980</v>
      </c>
      <c r="D225" s="143" t="s">
        <v>981</v>
      </c>
      <c r="E225" s="75" t="s">
        <v>68</v>
      </c>
      <c r="F225" s="117" t="s">
        <v>69</v>
      </c>
      <c r="G225" s="59"/>
      <c r="H225" s="9"/>
    </row>
    <row r="226">
      <c r="A226" s="65">
        <v>218.0</v>
      </c>
      <c r="B226" s="151" t="s">
        <v>734</v>
      </c>
      <c r="C226" s="143" t="s">
        <v>982</v>
      </c>
      <c r="D226" s="143" t="s">
        <v>983</v>
      </c>
      <c r="E226" s="75" t="s">
        <v>68</v>
      </c>
      <c r="F226" s="117" t="s">
        <v>69</v>
      </c>
      <c r="G226" s="59"/>
      <c r="H226" s="9"/>
    </row>
    <row r="227">
      <c r="A227" s="65">
        <v>219.0</v>
      </c>
      <c r="B227" s="151" t="s">
        <v>734</v>
      </c>
      <c r="C227" s="143" t="s">
        <v>984</v>
      </c>
      <c r="D227" s="143" t="s">
        <v>985</v>
      </c>
      <c r="E227" s="75" t="s">
        <v>68</v>
      </c>
      <c r="F227" s="117" t="s">
        <v>69</v>
      </c>
      <c r="G227" s="59"/>
      <c r="H227" s="9"/>
    </row>
    <row r="228">
      <c r="A228" s="65">
        <v>220.0</v>
      </c>
      <c r="B228" s="151" t="s">
        <v>734</v>
      </c>
      <c r="C228" s="143" t="s">
        <v>986</v>
      </c>
      <c r="D228" s="143" t="s">
        <v>987</v>
      </c>
      <c r="E228" s="75" t="s">
        <v>68</v>
      </c>
      <c r="F228" s="117" t="s">
        <v>69</v>
      </c>
      <c r="G228" s="59"/>
      <c r="H228" s="9"/>
    </row>
    <row r="229">
      <c r="A229" s="65">
        <v>221.0</v>
      </c>
      <c r="B229" s="151" t="s">
        <v>734</v>
      </c>
      <c r="C229" s="143" t="s">
        <v>988</v>
      </c>
      <c r="D229" s="143" t="s">
        <v>989</v>
      </c>
      <c r="E229" s="75" t="s">
        <v>68</v>
      </c>
      <c r="F229" s="117" t="s">
        <v>69</v>
      </c>
      <c r="G229" s="59"/>
      <c r="H229" s="9"/>
    </row>
    <row r="230">
      <c r="A230" s="65">
        <v>222.0</v>
      </c>
      <c r="B230" s="151" t="s">
        <v>734</v>
      </c>
      <c r="C230" s="143" t="s">
        <v>990</v>
      </c>
      <c r="D230" s="143" t="s">
        <v>991</v>
      </c>
      <c r="E230" s="75" t="s">
        <v>68</v>
      </c>
      <c r="F230" s="117" t="s">
        <v>69</v>
      </c>
      <c r="G230" s="59"/>
      <c r="H230" s="9"/>
    </row>
    <row r="231">
      <c r="A231" s="65">
        <v>223.0</v>
      </c>
      <c r="B231" s="151" t="s">
        <v>734</v>
      </c>
      <c r="C231" s="143" t="s">
        <v>992</v>
      </c>
      <c r="D231" s="143" t="s">
        <v>993</v>
      </c>
      <c r="E231" s="75" t="s">
        <v>68</v>
      </c>
      <c r="F231" s="117" t="s">
        <v>69</v>
      </c>
      <c r="G231" s="59"/>
      <c r="H231" s="9"/>
    </row>
    <row r="232">
      <c r="A232" s="65">
        <v>224.0</v>
      </c>
      <c r="B232" s="151" t="s">
        <v>734</v>
      </c>
      <c r="C232" s="143" t="s">
        <v>318</v>
      </c>
      <c r="D232" s="143" t="s">
        <v>319</v>
      </c>
      <c r="E232" s="75" t="s">
        <v>68</v>
      </c>
      <c r="F232" s="117" t="s">
        <v>69</v>
      </c>
      <c r="G232" s="59"/>
      <c r="H232" s="9"/>
    </row>
    <row r="233">
      <c r="A233" s="65">
        <v>225.0</v>
      </c>
      <c r="B233" s="151" t="s">
        <v>734</v>
      </c>
      <c r="C233" s="143" t="s">
        <v>994</v>
      </c>
      <c r="D233" s="143" t="s">
        <v>995</v>
      </c>
      <c r="E233" s="75" t="s">
        <v>68</v>
      </c>
      <c r="F233" s="117" t="s">
        <v>69</v>
      </c>
      <c r="G233" s="59"/>
      <c r="H233" s="9"/>
    </row>
    <row r="234">
      <c r="A234" s="65">
        <v>226.0</v>
      </c>
      <c r="B234" s="151" t="s">
        <v>734</v>
      </c>
      <c r="C234" s="143" t="s">
        <v>996</v>
      </c>
      <c r="D234" s="143" t="s">
        <v>997</v>
      </c>
      <c r="E234" s="75" t="s">
        <v>68</v>
      </c>
      <c r="F234" s="117" t="s">
        <v>69</v>
      </c>
      <c r="G234" s="59"/>
      <c r="H234" s="9"/>
    </row>
    <row r="235">
      <c r="A235" s="65">
        <v>227.0</v>
      </c>
      <c r="B235" s="151" t="s">
        <v>734</v>
      </c>
      <c r="C235" s="143" t="s">
        <v>998</v>
      </c>
      <c r="D235" s="143" t="s">
        <v>999</v>
      </c>
      <c r="E235" s="75" t="s">
        <v>68</v>
      </c>
      <c r="F235" s="117" t="s">
        <v>69</v>
      </c>
      <c r="G235" s="59"/>
      <c r="H235" s="9"/>
    </row>
    <row r="236">
      <c r="A236" s="65">
        <v>228.0</v>
      </c>
      <c r="B236" s="151" t="s">
        <v>734</v>
      </c>
      <c r="C236" s="143" t="s">
        <v>1000</v>
      </c>
      <c r="D236" s="143" t="s">
        <v>1001</v>
      </c>
      <c r="E236" s="75" t="s">
        <v>68</v>
      </c>
      <c r="F236" s="117" t="s">
        <v>69</v>
      </c>
      <c r="G236" s="59"/>
      <c r="H236" s="9"/>
    </row>
    <row r="237">
      <c r="A237" s="65">
        <v>229.0</v>
      </c>
      <c r="B237" s="151" t="s">
        <v>734</v>
      </c>
      <c r="C237" s="143" t="s">
        <v>1002</v>
      </c>
      <c r="D237" s="143" t="s">
        <v>1003</v>
      </c>
      <c r="E237" s="75" t="s">
        <v>68</v>
      </c>
      <c r="F237" s="117" t="s">
        <v>69</v>
      </c>
      <c r="G237" s="59"/>
      <c r="H237" s="9"/>
    </row>
    <row r="238">
      <c r="A238" s="65">
        <v>230.0</v>
      </c>
      <c r="B238" s="151" t="s">
        <v>734</v>
      </c>
      <c r="C238" s="143" t="s">
        <v>1004</v>
      </c>
      <c r="D238" s="143" t="s">
        <v>1005</v>
      </c>
      <c r="E238" s="75" t="s">
        <v>68</v>
      </c>
      <c r="F238" s="117" t="s">
        <v>69</v>
      </c>
      <c r="G238" s="59"/>
      <c r="H238" s="9"/>
    </row>
    <row r="239">
      <c r="A239" s="65">
        <v>231.0</v>
      </c>
      <c r="B239" s="151" t="s">
        <v>734</v>
      </c>
      <c r="C239" s="143" t="s">
        <v>1006</v>
      </c>
      <c r="D239" s="143" t="s">
        <v>1007</v>
      </c>
      <c r="E239" s="75" t="s">
        <v>68</v>
      </c>
      <c r="F239" s="117" t="s">
        <v>69</v>
      </c>
      <c r="G239" s="59"/>
      <c r="H239" s="9"/>
    </row>
    <row r="240">
      <c r="A240" s="65">
        <v>232.0</v>
      </c>
      <c r="B240" s="151" t="s">
        <v>734</v>
      </c>
      <c r="C240" s="143" t="s">
        <v>1008</v>
      </c>
      <c r="D240" s="143" t="s">
        <v>1009</v>
      </c>
      <c r="E240" s="75" t="s">
        <v>68</v>
      </c>
      <c r="F240" s="117" t="s">
        <v>69</v>
      </c>
      <c r="G240" s="59"/>
      <c r="H240" s="9"/>
    </row>
    <row r="241">
      <c r="A241" s="65">
        <v>233.0</v>
      </c>
      <c r="B241" s="151" t="s">
        <v>734</v>
      </c>
      <c r="C241" s="143" t="s">
        <v>275</v>
      </c>
      <c r="D241" s="143" t="s">
        <v>276</v>
      </c>
      <c r="E241" s="75" t="s">
        <v>68</v>
      </c>
      <c r="F241" s="117" t="s">
        <v>69</v>
      </c>
      <c r="G241" s="59"/>
      <c r="H241" s="9"/>
    </row>
    <row r="242">
      <c r="A242" s="65">
        <v>234.0</v>
      </c>
      <c r="B242" s="151" t="s">
        <v>734</v>
      </c>
      <c r="C242" s="143" t="s">
        <v>1010</v>
      </c>
      <c r="D242" s="143" t="s">
        <v>1011</v>
      </c>
      <c r="E242" s="75" t="s">
        <v>68</v>
      </c>
      <c r="F242" s="117" t="s">
        <v>69</v>
      </c>
      <c r="G242" s="59"/>
      <c r="H242" s="9"/>
    </row>
    <row r="243">
      <c r="A243" s="65">
        <v>235.0</v>
      </c>
      <c r="B243" s="151" t="s">
        <v>734</v>
      </c>
      <c r="C243" s="143" t="s">
        <v>1012</v>
      </c>
      <c r="D243" s="143" t="s">
        <v>1013</v>
      </c>
      <c r="E243" s="75" t="s">
        <v>68</v>
      </c>
      <c r="F243" s="117" t="s">
        <v>69</v>
      </c>
      <c r="G243" s="59"/>
      <c r="H243" s="9"/>
    </row>
    <row r="244">
      <c r="A244" s="65">
        <v>236.0</v>
      </c>
      <c r="B244" s="151" t="s">
        <v>734</v>
      </c>
      <c r="C244" s="143" t="s">
        <v>1014</v>
      </c>
      <c r="D244" s="143" t="s">
        <v>1015</v>
      </c>
      <c r="E244" s="75" t="s">
        <v>68</v>
      </c>
      <c r="F244" s="117" t="s">
        <v>69</v>
      </c>
      <c r="G244" s="59"/>
      <c r="H244" s="9"/>
    </row>
    <row r="245">
      <c r="A245" s="65">
        <v>237.0</v>
      </c>
      <c r="B245" s="151" t="s">
        <v>734</v>
      </c>
      <c r="C245" s="143" t="s">
        <v>1016</v>
      </c>
      <c r="D245" s="143" t="s">
        <v>1017</v>
      </c>
      <c r="E245" s="75" t="s">
        <v>68</v>
      </c>
      <c r="F245" s="117" t="s">
        <v>69</v>
      </c>
      <c r="G245" s="59"/>
      <c r="H245" s="9"/>
    </row>
    <row r="246">
      <c r="A246" s="65">
        <v>238.0</v>
      </c>
      <c r="B246" s="151" t="s">
        <v>734</v>
      </c>
      <c r="C246" s="143" t="s">
        <v>1018</v>
      </c>
      <c r="D246" s="143" t="s">
        <v>1019</v>
      </c>
      <c r="E246" s="75" t="s">
        <v>68</v>
      </c>
      <c r="F246" s="117" t="s">
        <v>69</v>
      </c>
      <c r="G246" s="59"/>
      <c r="H246" s="9"/>
    </row>
    <row r="247">
      <c r="A247" s="65">
        <v>239.0</v>
      </c>
      <c r="B247" s="151" t="s">
        <v>734</v>
      </c>
      <c r="C247" s="143" t="s">
        <v>1020</v>
      </c>
      <c r="D247" s="143" t="s">
        <v>1021</v>
      </c>
      <c r="E247" s="75" t="s">
        <v>68</v>
      </c>
      <c r="F247" s="117" t="s">
        <v>69</v>
      </c>
      <c r="G247" s="59"/>
      <c r="H247" s="9"/>
    </row>
    <row r="248">
      <c r="A248" s="65">
        <v>240.0</v>
      </c>
      <c r="B248" s="151" t="s">
        <v>734</v>
      </c>
      <c r="C248" s="143" t="s">
        <v>1022</v>
      </c>
      <c r="D248" s="143" t="s">
        <v>1023</v>
      </c>
      <c r="E248" s="75" t="s">
        <v>68</v>
      </c>
      <c r="F248" s="117" t="s">
        <v>69</v>
      </c>
      <c r="G248" s="59"/>
      <c r="H248" s="9"/>
    </row>
    <row r="249">
      <c r="A249" s="65">
        <v>241.0</v>
      </c>
      <c r="B249" s="151" t="s">
        <v>734</v>
      </c>
      <c r="C249" s="143" t="s">
        <v>1024</v>
      </c>
      <c r="D249" s="143" t="s">
        <v>1025</v>
      </c>
      <c r="E249" s="75" t="s">
        <v>68</v>
      </c>
      <c r="F249" s="117" t="s">
        <v>69</v>
      </c>
      <c r="G249" s="59"/>
      <c r="H249" s="9"/>
    </row>
    <row r="250">
      <c r="A250" s="65">
        <v>242.0</v>
      </c>
      <c r="B250" s="151" t="s">
        <v>734</v>
      </c>
      <c r="C250" s="143" t="s">
        <v>1026</v>
      </c>
      <c r="D250" s="143" t="s">
        <v>1027</v>
      </c>
      <c r="E250" s="75" t="s">
        <v>68</v>
      </c>
      <c r="F250" s="117" t="s">
        <v>69</v>
      </c>
      <c r="G250" s="59"/>
      <c r="H250" s="9"/>
    </row>
    <row r="251">
      <c r="A251" s="65">
        <v>243.0</v>
      </c>
      <c r="B251" s="151" t="s">
        <v>734</v>
      </c>
      <c r="C251" s="143" t="s">
        <v>1028</v>
      </c>
      <c r="D251" s="143" t="s">
        <v>1029</v>
      </c>
      <c r="E251" s="75" t="s">
        <v>68</v>
      </c>
      <c r="F251" s="117" t="s">
        <v>69</v>
      </c>
      <c r="G251" s="59"/>
      <c r="H251" s="9"/>
    </row>
    <row r="252">
      <c r="A252" s="65">
        <v>244.0</v>
      </c>
      <c r="B252" s="151" t="s">
        <v>734</v>
      </c>
      <c r="C252" s="143" t="s">
        <v>1030</v>
      </c>
      <c r="D252" s="143" t="s">
        <v>1031</v>
      </c>
      <c r="E252" s="75" t="s">
        <v>68</v>
      </c>
      <c r="F252" s="117" t="s">
        <v>69</v>
      </c>
      <c r="G252" s="59"/>
      <c r="H252" s="9"/>
    </row>
    <row r="253">
      <c r="A253" s="65">
        <v>245.0</v>
      </c>
      <c r="B253" s="151" t="s">
        <v>734</v>
      </c>
      <c r="C253" s="143" t="s">
        <v>294</v>
      </c>
      <c r="D253" s="143" t="s">
        <v>295</v>
      </c>
      <c r="E253" s="75" t="s">
        <v>68</v>
      </c>
      <c r="F253" s="117" t="s">
        <v>69</v>
      </c>
      <c r="G253" s="59"/>
      <c r="H253" s="9"/>
    </row>
    <row r="254">
      <c r="A254" s="65">
        <v>246.0</v>
      </c>
      <c r="B254" s="151" t="s">
        <v>734</v>
      </c>
      <c r="C254" s="143" t="s">
        <v>1032</v>
      </c>
      <c r="D254" s="143" t="s">
        <v>1033</v>
      </c>
      <c r="E254" s="75" t="s">
        <v>68</v>
      </c>
      <c r="F254" s="117" t="s">
        <v>69</v>
      </c>
      <c r="G254" s="59"/>
      <c r="H254" s="9"/>
    </row>
    <row r="255">
      <c r="A255" s="65">
        <v>247.0</v>
      </c>
      <c r="B255" s="151" t="s">
        <v>734</v>
      </c>
      <c r="C255" s="143" t="s">
        <v>1034</v>
      </c>
      <c r="D255" s="143" t="s">
        <v>1035</v>
      </c>
      <c r="E255" s="75" t="s">
        <v>68</v>
      </c>
      <c r="F255" s="117" t="s">
        <v>69</v>
      </c>
      <c r="G255" s="59"/>
      <c r="H255" s="9"/>
    </row>
    <row r="256">
      <c r="A256" s="65">
        <v>248.0</v>
      </c>
      <c r="B256" s="151" t="s">
        <v>734</v>
      </c>
      <c r="C256" s="143" t="s">
        <v>183</v>
      </c>
      <c r="D256" s="143" t="s">
        <v>1036</v>
      </c>
      <c r="E256" s="75" t="s">
        <v>68</v>
      </c>
      <c r="F256" s="117" t="s">
        <v>69</v>
      </c>
      <c r="G256" s="59"/>
      <c r="H256" s="9"/>
    </row>
    <row r="257">
      <c r="A257" s="65">
        <v>249.0</v>
      </c>
      <c r="B257" s="151" t="s">
        <v>734</v>
      </c>
      <c r="C257" s="143" t="s">
        <v>185</v>
      </c>
      <c r="D257" s="143" t="s">
        <v>186</v>
      </c>
      <c r="E257" s="75" t="s">
        <v>68</v>
      </c>
      <c r="F257" s="117" t="s">
        <v>69</v>
      </c>
      <c r="G257" s="59"/>
      <c r="H257" s="9"/>
    </row>
    <row r="258">
      <c r="A258" s="65">
        <v>250.0</v>
      </c>
      <c r="B258" s="151" t="s">
        <v>734</v>
      </c>
      <c r="C258" s="143" t="s">
        <v>1037</v>
      </c>
      <c r="D258" s="143" t="s">
        <v>1038</v>
      </c>
      <c r="E258" s="75" t="s">
        <v>68</v>
      </c>
      <c r="F258" s="117" t="s">
        <v>69</v>
      </c>
      <c r="G258" s="59"/>
      <c r="H258" s="9"/>
    </row>
    <row r="259">
      <c r="A259" s="65">
        <v>251.0</v>
      </c>
      <c r="B259" s="151" t="s">
        <v>734</v>
      </c>
      <c r="C259" s="143" t="s">
        <v>1039</v>
      </c>
      <c r="D259" s="143" t="s">
        <v>1040</v>
      </c>
      <c r="E259" s="75" t="s">
        <v>68</v>
      </c>
      <c r="F259" s="117" t="s">
        <v>69</v>
      </c>
      <c r="G259" s="59"/>
      <c r="H259" s="9"/>
    </row>
    <row r="260">
      <c r="A260" s="65">
        <v>252.0</v>
      </c>
      <c r="B260" s="151" t="s">
        <v>734</v>
      </c>
      <c r="C260" s="143" t="s">
        <v>1041</v>
      </c>
      <c r="D260" s="143" t="s">
        <v>1042</v>
      </c>
      <c r="E260" s="75" t="s">
        <v>68</v>
      </c>
      <c r="F260" s="117" t="s">
        <v>69</v>
      </c>
      <c r="G260" s="59"/>
      <c r="H260" s="9"/>
    </row>
    <row r="261">
      <c r="A261" s="65">
        <v>253.0</v>
      </c>
      <c r="B261" s="151" t="s">
        <v>734</v>
      </c>
      <c r="C261" s="143" t="s">
        <v>1043</v>
      </c>
      <c r="D261" s="143" t="s">
        <v>1044</v>
      </c>
      <c r="E261" s="75" t="s">
        <v>68</v>
      </c>
      <c r="F261" s="117" t="s">
        <v>69</v>
      </c>
      <c r="G261" s="59"/>
      <c r="H261" s="9"/>
    </row>
    <row r="262">
      <c r="A262" s="65">
        <v>254.0</v>
      </c>
      <c r="B262" s="151" t="s">
        <v>734</v>
      </c>
      <c r="C262" s="143" t="s">
        <v>1045</v>
      </c>
      <c r="D262" s="143" t="s">
        <v>1046</v>
      </c>
      <c r="E262" s="75" t="s">
        <v>68</v>
      </c>
      <c r="F262" s="117" t="s">
        <v>69</v>
      </c>
      <c r="G262" s="59"/>
      <c r="H262" s="9"/>
    </row>
    <row r="263">
      <c r="A263" s="65">
        <v>255.0</v>
      </c>
      <c r="B263" s="151" t="s">
        <v>734</v>
      </c>
      <c r="C263" s="143" t="s">
        <v>1047</v>
      </c>
      <c r="D263" s="143" t="s">
        <v>1048</v>
      </c>
      <c r="E263" s="75" t="s">
        <v>68</v>
      </c>
      <c r="F263" s="117" t="s">
        <v>69</v>
      </c>
      <c r="G263" s="59"/>
      <c r="H263" s="9"/>
    </row>
    <row r="264">
      <c r="A264" s="65">
        <v>256.0</v>
      </c>
      <c r="B264" s="151" t="s">
        <v>734</v>
      </c>
      <c r="C264" s="143" t="s">
        <v>1049</v>
      </c>
      <c r="D264" s="143" t="s">
        <v>1050</v>
      </c>
      <c r="E264" s="75" t="s">
        <v>68</v>
      </c>
      <c r="F264" s="117" t="s">
        <v>69</v>
      </c>
      <c r="G264" s="59"/>
      <c r="H264" s="9"/>
    </row>
    <row r="265">
      <c r="A265" s="65">
        <v>257.0</v>
      </c>
      <c r="B265" s="151" t="s">
        <v>734</v>
      </c>
      <c r="C265" s="143" t="s">
        <v>1051</v>
      </c>
      <c r="D265" s="143" t="s">
        <v>1052</v>
      </c>
      <c r="E265" s="75" t="s">
        <v>68</v>
      </c>
      <c r="F265" s="117" t="s">
        <v>69</v>
      </c>
      <c r="G265" s="59"/>
      <c r="H265" s="9"/>
    </row>
    <row r="266">
      <c r="A266" s="65">
        <v>258.0</v>
      </c>
      <c r="B266" s="151" t="s">
        <v>734</v>
      </c>
      <c r="C266" s="143" t="s">
        <v>205</v>
      </c>
      <c r="D266" s="143" t="s">
        <v>206</v>
      </c>
      <c r="E266" s="75" t="s">
        <v>68</v>
      </c>
      <c r="F266" s="117" t="s">
        <v>69</v>
      </c>
      <c r="G266" s="59"/>
      <c r="H266" s="9"/>
    </row>
    <row r="267">
      <c r="A267" s="65">
        <v>259.0</v>
      </c>
      <c r="B267" s="151" t="s">
        <v>734</v>
      </c>
      <c r="C267" s="143" t="s">
        <v>1053</v>
      </c>
      <c r="D267" s="143" t="s">
        <v>1054</v>
      </c>
      <c r="E267" s="75" t="s">
        <v>68</v>
      </c>
      <c r="F267" s="117" t="s">
        <v>69</v>
      </c>
      <c r="G267" s="59"/>
      <c r="H267" s="9"/>
    </row>
    <row r="268">
      <c r="A268" s="65">
        <v>260.0</v>
      </c>
      <c r="B268" s="151" t="s">
        <v>734</v>
      </c>
      <c r="C268" s="143" t="s">
        <v>298</v>
      </c>
      <c r="D268" s="143" t="s">
        <v>299</v>
      </c>
      <c r="E268" s="75" t="s">
        <v>68</v>
      </c>
      <c r="F268" s="117" t="s">
        <v>69</v>
      </c>
      <c r="G268" s="59"/>
      <c r="H268" s="9"/>
    </row>
    <row r="269">
      <c r="A269" s="65">
        <v>261.0</v>
      </c>
      <c r="B269" s="151" t="s">
        <v>734</v>
      </c>
      <c r="C269" s="143" t="s">
        <v>1055</v>
      </c>
      <c r="D269" s="143" t="s">
        <v>1056</v>
      </c>
      <c r="E269" s="75" t="s">
        <v>68</v>
      </c>
      <c r="F269" s="117" t="s">
        <v>69</v>
      </c>
      <c r="G269" s="59"/>
      <c r="H269" s="9"/>
    </row>
    <row r="270">
      <c r="A270" s="65">
        <v>262.0</v>
      </c>
      <c r="B270" s="151" t="s">
        <v>734</v>
      </c>
      <c r="C270" s="143" t="s">
        <v>1057</v>
      </c>
      <c r="D270" s="143" t="s">
        <v>1058</v>
      </c>
      <c r="E270" s="75" t="s">
        <v>68</v>
      </c>
      <c r="F270" s="117" t="s">
        <v>69</v>
      </c>
      <c r="G270" s="59"/>
      <c r="H270" s="9"/>
    </row>
    <row r="271">
      <c r="A271" s="65">
        <v>263.0</v>
      </c>
      <c r="B271" s="151" t="s">
        <v>734</v>
      </c>
      <c r="C271" s="143" t="s">
        <v>1059</v>
      </c>
      <c r="D271" s="143" t="s">
        <v>1060</v>
      </c>
      <c r="E271" s="75" t="s">
        <v>68</v>
      </c>
      <c r="F271" s="117" t="s">
        <v>69</v>
      </c>
      <c r="G271" s="59"/>
      <c r="H271" s="9"/>
    </row>
    <row r="272">
      <c r="A272" s="65">
        <v>264.0</v>
      </c>
      <c r="B272" s="151" t="s">
        <v>734</v>
      </c>
      <c r="C272" s="143" t="s">
        <v>1061</v>
      </c>
      <c r="D272" s="143" t="s">
        <v>1062</v>
      </c>
      <c r="E272" s="75" t="s">
        <v>68</v>
      </c>
      <c r="F272" s="117" t="s">
        <v>69</v>
      </c>
      <c r="G272" s="59"/>
      <c r="H272" s="9"/>
    </row>
    <row r="273">
      <c r="A273" s="65">
        <v>265.0</v>
      </c>
      <c r="B273" s="151" t="s">
        <v>734</v>
      </c>
      <c r="C273" s="143" t="s">
        <v>1063</v>
      </c>
      <c r="D273" s="143" t="s">
        <v>1064</v>
      </c>
      <c r="E273" s="75" t="s">
        <v>68</v>
      </c>
      <c r="F273" s="117" t="s">
        <v>69</v>
      </c>
      <c r="G273" s="59"/>
      <c r="H273" s="9"/>
    </row>
    <row r="274">
      <c r="A274" s="65">
        <v>266.0</v>
      </c>
      <c r="B274" s="151" t="s">
        <v>734</v>
      </c>
      <c r="C274" s="143" t="s">
        <v>1065</v>
      </c>
      <c r="D274" s="143" t="s">
        <v>1066</v>
      </c>
      <c r="E274" s="75" t="s">
        <v>68</v>
      </c>
      <c r="F274" s="117" t="s">
        <v>69</v>
      </c>
      <c r="G274" s="59"/>
      <c r="H274" s="9"/>
    </row>
    <row r="275">
      <c r="A275" s="65">
        <v>267.0</v>
      </c>
      <c r="B275" s="151" t="s">
        <v>734</v>
      </c>
      <c r="C275" s="143" t="s">
        <v>1067</v>
      </c>
      <c r="D275" s="143" t="s">
        <v>1068</v>
      </c>
      <c r="E275" s="75" t="s">
        <v>68</v>
      </c>
      <c r="F275" s="117" t="s">
        <v>69</v>
      </c>
      <c r="G275" s="59"/>
      <c r="H275" s="9"/>
    </row>
    <row r="276">
      <c r="A276" s="65">
        <v>268.0</v>
      </c>
      <c r="B276" s="151" t="s">
        <v>734</v>
      </c>
      <c r="C276" s="143" t="s">
        <v>1069</v>
      </c>
      <c r="D276" s="143" t="s">
        <v>1070</v>
      </c>
      <c r="E276" s="75" t="s">
        <v>68</v>
      </c>
      <c r="F276" s="117" t="s">
        <v>69</v>
      </c>
      <c r="G276" s="59"/>
      <c r="H276" s="9"/>
    </row>
    <row r="277">
      <c r="A277" s="65">
        <v>269.0</v>
      </c>
      <c r="B277" s="151" t="s">
        <v>734</v>
      </c>
      <c r="C277" s="143" t="s">
        <v>1071</v>
      </c>
      <c r="D277" s="143" t="s">
        <v>1072</v>
      </c>
      <c r="E277" s="75" t="s">
        <v>68</v>
      </c>
      <c r="F277" s="117" t="s">
        <v>69</v>
      </c>
      <c r="G277" s="59"/>
      <c r="H277" s="9"/>
    </row>
    <row r="278">
      <c r="A278" s="65">
        <v>270.0</v>
      </c>
      <c r="B278" s="151" t="s">
        <v>734</v>
      </c>
      <c r="C278" s="143" t="s">
        <v>1073</v>
      </c>
      <c r="D278" s="143" t="s">
        <v>1074</v>
      </c>
      <c r="E278" s="75" t="s">
        <v>68</v>
      </c>
      <c r="F278" s="117" t="s">
        <v>69</v>
      </c>
      <c r="G278" s="59"/>
      <c r="H278" s="9"/>
    </row>
    <row r="279">
      <c r="A279" s="65">
        <v>271.0</v>
      </c>
      <c r="B279" s="151" t="s">
        <v>734</v>
      </c>
      <c r="C279" s="143" t="s">
        <v>1075</v>
      </c>
      <c r="D279" s="143" t="s">
        <v>1076</v>
      </c>
      <c r="E279" s="75" t="s">
        <v>68</v>
      </c>
      <c r="F279" s="117" t="s">
        <v>69</v>
      </c>
      <c r="G279" s="59"/>
      <c r="H279" s="9"/>
    </row>
    <row r="280">
      <c r="A280" s="65">
        <v>272.0</v>
      </c>
      <c r="B280" s="151" t="s">
        <v>734</v>
      </c>
      <c r="C280" s="143" t="s">
        <v>1077</v>
      </c>
      <c r="D280" s="143" t="s">
        <v>1078</v>
      </c>
      <c r="E280" s="75" t="s">
        <v>68</v>
      </c>
      <c r="F280" s="117" t="s">
        <v>69</v>
      </c>
      <c r="G280" s="59"/>
      <c r="H280" s="9"/>
    </row>
    <row r="281">
      <c r="A281" s="65">
        <v>273.0</v>
      </c>
      <c r="B281" s="151" t="s">
        <v>734</v>
      </c>
      <c r="C281" s="143" t="s">
        <v>1079</v>
      </c>
      <c r="D281" s="143" t="s">
        <v>1080</v>
      </c>
      <c r="E281" s="75" t="s">
        <v>68</v>
      </c>
      <c r="F281" s="117" t="s">
        <v>69</v>
      </c>
      <c r="G281" s="59"/>
      <c r="H281" s="9"/>
    </row>
    <row r="282">
      <c r="A282" s="65">
        <v>274.0</v>
      </c>
      <c r="B282" s="151" t="s">
        <v>734</v>
      </c>
      <c r="C282" s="143" t="s">
        <v>1081</v>
      </c>
      <c r="D282" s="143" t="s">
        <v>1082</v>
      </c>
      <c r="E282" s="75" t="s">
        <v>68</v>
      </c>
      <c r="F282" s="117" t="s">
        <v>69</v>
      </c>
      <c r="G282" s="59"/>
      <c r="H282" s="9"/>
    </row>
    <row r="283">
      <c r="A283" s="65">
        <v>275.0</v>
      </c>
      <c r="B283" s="151" t="s">
        <v>734</v>
      </c>
      <c r="C283" s="143" t="s">
        <v>1083</v>
      </c>
      <c r="D283" s="143" t="s">
        <v>1084</v>
      </c>
      <c r="E283" s="75" t="s">
        <v>68</v>
      </c>
      <c r="F283" s="117" t="s">
        <v>69</v>
      </c>
      <c r="G283" s="59"/>
      <c r="H283" s="9"/>
    </row>
    <row r="284">
      <c r="A284" s="65">
        <v>276.0</v>
      </c>
      <c r="B284" s="151" t="s">
        <v>734</v>
      </c>
      <c r="C284" s="143" t="s">
        <v>1085</v>
      </c>
      <c r="D284" s="143" t="s">
        <v>1086</v>
      </c>
      <c r="E284" s="75" t="s">
        <v>68</v>
      </c>
      <c r="F284" s="117" t="s">
        <v>69</v>
      </c>
      <c r="G284" s="59"/>
      <c r="H284" s="9"/>
    </row>
    <row r="285">
      <c r="A285" s="65">
        <v>277.0</v>
      </c>
      <c r="B285" s="151" t="s">
        <v>734</v>
      </c>
      <c r="C285" s="143" t="s">
        <v>1087</v>
      </c>
      <c r="D285" s="143" t="s">
        <v>1088</v>
      </c>
      <c r="E285" s="75" t="s">
        <v>68</v>
      </c>
      <c r="F285" s="117" t="s">
        <v>69</v>
      </c>
      <c r="G285" s="59"/>
      <c r="H285" s="9"/>
    </row>
    <row r="286">
      <c r="A286" s="65">
        <v>278.0</v>
      </c>
      <c r="B286" s="151" t="s">
        <v>734</v>
      </c>
      <c r="C286" s="143" t="s">
        <v>1089</v>
      </c>
      <c r="D286" s="143" t="s">
        <v>1090</v>
      </c>
      <c r="E286" s="75" t="s">
        <v>68</v>
      </c>
      <c r="F286" s="117" t="s">
        <v>69</v>
      </c>
      <c r="G286" s="59"/>
      <c r="H286" s="9"/>
    </row>
    <row r="287">
      <c r="A287" s="65">
        <v>279.0</v>
      </c>
      <c r="B287" s="151" t="s">
        <v>734</v>
      </c>
      <c r="C287" s="143" t="s">
        <v>1091</v>
      </c>
      <c r="D287" s="143" t="s">
        <v>1092</v>
      </c>
      <c r="E287" s="75" t="s">
        <v>68</v>
      </c>
      <c r="F287" s="117" t="s">
        <v>69</v>
      </c>
      <c r="G287" s="59"/>
      <c r="H287" s="9"/>
    </row>
    <row r="288">
      <c r="A288" s="65">
        <v>280.0</v>
      </c>
      <c r="B288" s="151" t="s">
        <v>734</v>
      </c>
      <c r="C288" s="143" t="s">
        <v>1093</v>
      </c>
      <c r="D288" s="143" t="s">
        <v>1094</v>
      </c>
      <c r="E288" s="75" t="s">
        <v>68</v>
      </c>
      <c r="F288" s="117" t="s">
        <v>69</v>
      </c>
      <c r="G288" s="59"/>
      <c r="H288" s="9"/>
    </row>
    <row r="289">
      <c r="A289" s="65">
        <v>281.0</v>
      </c>
      <c r="B289" s="151" t="s">
        <v>734</v>
      </c>
      <c r="C289" s="143" t="s">
        <v>1095</v>
      </c>
      <c r="D289" s="143" t="s">
        <v>1096</v>
      </c>
      <c r="E289" s="75" t="s">
        <v>68</v>
      </c>
      <c r="F289" s="117" t="s">
        <v>69</v>
      </c>
      <c r="G289" s="59"/>
      <c r="H289" s="9"/>
    </row>
    <row r="290">
      <c r="A290" s="65">
        <v>282.0</v>
      </c>
      <c r="B290" s="151" t="s">
        <v>734</v>
      </c>
      <c r="C290" s="143" t="s">
        <v>1097</v>
      </c>
      <c r="D290" s="143" t="s">
        <v>1098</v>
      </c>
      <c r="E290" s="75" t="s">
        <v>68</v>
      </c>
      <c r="F290" s="117" t="s">
        <v>69</v>
      </c>
      <c r="G290" s="59"/>
      <c r="H290" s="9"/>
    </row>
    <row r="291">
      <c r="A291" s="65">
        <v>283.0</v>
      </c>
      <c r="B291" s="151" t="s">
        <v>734</v>
      </c>
      <c r="C291" s="143" t="s">
        <v>1099</v>
      </c>
      <c r="D291" s="143" t="s">
        <v>1100</v>
      </c>
      <c r="E291" s="75" t="s">
        <v>68</v>
      </c>
      <c r="F291" s="117" t="s">
        <v>69</v>
      </c>
      <c r="G291" s="59"/>
      <c r="H291" s="9"/>
    </row>
    <row r="292">
      <c r="A292" s="65">
        <v>284.0</v>
      </c>
      <c r="B292" s="151" t="s">
        <v>734</v>
      </c>
      <c r="C292" s="143" t="s">
        <v>1101</v>
      </c>
      <c r="D292" s="143" t="s">
        <v>1102</v>
      </c>
      <c r="E292" s="75" t="s">
        <v>68</v>
      </c>
      <c r="F292" s="117" t="s">
        <v>69</v>
      </c>
      <c r="G292" s="59"/>
      <c r="H292" s="9"/>
    </row>
    <row r="293">
      <c r="A293" s="65">
        <v>285.0</v>
      </c>
      <c r="B293" s="151" t="s">
        <v>734</v>
      </c>
      <c r="C293" s="143" t="s">
        <v>1103</v>
      </c>
      <c r="D293" s="143" t="s">
        <v>1104</v>
      </c>
      <c r="E293" s="75" t="s">
        <v>68</v>
      </c>
      <c r="F293" s="117" t="s">
        <v>69</v>
      </c>
      <c r="G293" s="59"/>
      <c r="H293" s="9"/>
    </row>
    <row r="294">
      <c r="A294" s="65">
        <v>286.0</v>
      </c>
      <c r="B294" s="151" t="s">
        <v>734</v>
      </c>
      <c r="C294" s="143" t="s">
        <v>1105</v>
      </c>
      <c r="D294" s="143" t="s">
        <v>1106</v>
      </c>
      <c r="E294" s="75" t="s">
        <v>68</v>
      </c>
      <c r="F294" s="117" t="s">
        <v>69</v>
      </c>
      <c r="G294" s="59"/>
      <c r="H294" s="9"/>
    </row>
    <row r="295">
      <c r="A295" s="65">
        <v>287.0</v>
      </c>
      <c r="B295" s="151" t="s">
        <v>734</v>
      </c>
      <c r="C295" s="143" t="s">
        <v>1107</v>
      </c>
      <c r="D295" s="143" t="s">
        <v>1108</v>
      </c>
      <c r="E295" s="75" t="s">
        <v>68</v>
      </c>
      <c r="F295" s="117" t="s">
        <v>69</v>
      </c>
      <c r="G295" s="59"/>
      <c r="H295" s="9"/>
    </row>
    <row r="296">
      <c r="A296" s="65">
        <v>288.0</v>
      </c>
      <c r="B296" s="151" t="s">
        <v>734</v>
      </c>
      <c r="C296" s="143" t="s">
        <v>1109</v>
      </c>
      <c r="D296" s="143" t="s">
        <v>1110</v>
      </c>
      <c r="E296" s="75" t="s">
        <v>68</v>
      </c>
      <c r="F296" s="117" t="s">
        <v>69</v>
      </c>
      <c r="G296" s="59"/>
      <c r="H296" s="9"/>
    </row>
    <row r="297">
      <c r="A297" s="65">
        <v>289.0</v>
      </c>
      <c r="B297" s="151" t="s">
        <v>734</v>
      </c>
      <c r="C297" s="143" t="s">
        <v>1111</v>
      </c>
      <c r="D297" s="143" t="s">
        <v>1112</v>
      </c>
      <c r="E297" s="75" t="s">
        <v>68</v>
      </c>
      <c r="F297" s="117" t="s">
        <v>69</v>
      </c>
      <c r="G297" s="59"/>
      <c r="H297" s="9"/>
    </row>
    <row r="298">
      <c r="A298" s="65">
        <v>290.0</v>
      </c>
      <c r="B298" s="151" t="s">
        <v>734</v>
      </c>
      <c r="C298" s="143" t="s">
        <v>1113</v>
      </c>
      <c r="D298" s="143" t="s">
        <v>1114</v>
      </c>
      <c r="E298" s="75" t="s">
        <v>68</v>
      </c>
      <c r="F298" s="117" t="s">
        <v>69</v>
      </c>
      <c r="G298" s="59"/>
      <c r="H298" s="9"/>
    </row>
    <row r="299">
      <c r="A299" s="65">
        <v>291.0</v>
      </c>
      <c r="B299" s="151" t="s">
        <v>734</v>
      </c>
      <c r="C299" s="143" t="s">
        <v>1115</v>
      </c>
      <c r="D299" s="143" t="s">
        <v>1116</v>
      </c>
      <c r="E299" s="75" t="s">
        <v>68</v>
      </c>
      <c r="F299" s="117" t="s">
        <v>69</v>
      </c>
      <c r="G299" s="59"/>
      <c r="H299" s="9"/>
    </row>
    <row r="300">
      <c r="A300" s="127">
        <v>292.0</v>
      </c>
      <c r="B300" s="152" t="s">
        <v>734</v>
      </c>
      <c r="C300" s="150" t="s">
        <v>1117</v>
      </c>
      <c r="D300" s="150" t="s">
        <v>1118</v>
      </c>
      <c r="E300" s="130" t="s">
        <v>68</v>
      </c>
      <c r="F300" s="131" t="s">
        <v>27</v>
      </c>
      <c r="G300" s="132"/>
      <c r="H300" s="133" t="s">
        <v>291</v>
      </c>
      <c r="I300" s="134"/>
      <c r="J300" s="134"/>
      <c r="K300" s="134"/>
      <c r="L300" s="134"/>
      <c r="M300" s="134"/>
      <c r="N300" s="134"/>
      <c r="O300" s="134"/>
      <c r="P300" s="134"/>
      <c r="Q300" s="134"/>
      <c r="R300" s="134"/>
      <c r="S300" s="134"/>
    </row>
    <row r="301">
      <c r="A301" s="65">
        <v>293.0</v>
      </c>
      <c r="B301" s="151" t="s">
        <v>734</v>
      </c>
      <c r="C301" s="143" t="s">
        <v>1119</v>
      </c>
      <c r="D301" s="143" t="s">
        <v>1120</v>
      </c>
      <c r="E301" s="75" t="s">
        <v>68</v>
      </c>
      <c r="F301" s="117" t="s">
        <v>69</v>
      </c>
      <c r="G301" s="59"/>
      <c r="H301" s="9"/>
    </row>
    <row r="302">
      <c r="A302" s="65">
        <v>294.0</v>
      </c>
      <c r="B302" s="151" t="s">
        <v>734</v>
      </c>
      <c r="C302" s="143" t="s">
        <v>1121</v>
      </c>
      <c r="D302" s="143" t="s">
        <v>1122</v>
      </c>
      <c r="E302" s="75" t="s">
        <v>68</v>
      </c>
      <c r="F302" s="117" t="s">
        <v>69</v>
      </c>
      <c r="G302" s="59"/>
      <c r="H302" s="9"/>
    </row>
    <row r="303">
      <c r="A303" s="65">
        <v>295.0</v>
      </c>
      <c r="B303" s="151" t="s">
        <v>734</v>
      </c>
      <c r="C303" s="143" t="s">
        <v>1123</v>
      </c>
      <c r="D303" s="143" t="s">
        <v>1124</v>
      </c>
      <c r="E303" s="75" t="s">
        <v>68</v>
      </c>
      <c r="F303" s="117" t="s">
        <v>69</v>
      </c>
      <c r="G303" s="59"/>
      <c r="H303" s="9"/>
    </row>
    <row r="304">
      <c r="A304" s="65">
        <v>296.0</v>
      </c>
      <c r="B304" s="151" t="s">
        <v>734</v>
      </c>
      <c r="C304" s="143" t="s">
        <v>1125</v>
      </c>
      <c r="D304" s="143" t="s">
        <v>1126</v>
      </c>
      <c r="E304" s="75" t="s">
        <v>68</v>
      </c>
      <c r="F304" s="117" t="s">
        <v>69</v>
      </c>
      <c r="G304" s="59"/>
      <c r="H304" s="9"/>
    </row>
    <row r="305">
      <c r="A305" s="65">
        <v>297.0</v>
      </c>
      <c r="B305" s="151" t="s">
        <v>734</v>
      </c>
      <c r="C305" s="143" t="s">
        <v>1127</v>
      </c>
      <c r="D305" s="143" t="s">
        <v>1128</v>
      </c>
      <c r="E305" s="75" t="s">
        <v>68</v>
      </c>
      <c r="F305" s="117" t="s">
        <v>69</v>
      </c>
      <c r="G305" s="59"/>
      <c r="H305" s="9"/>
    </row>
    <row r="306">
      <c r="A306" s="65">
        <v>298.0</v>
      </c>
      <c r="B306" s="151" t="s">
        <v>734</v>
      </c>
      <c r="C306" s="143" t="s">
        <v>1129</v>
      </c>
      <c r="D306" s="143" t="s">
        <v>1130</v>
      </c>
      <c r="E306" s="75" t="s">
        <v>68</v>
      </c>
      <c r="F306" s="117" t="s">
        <v>69</v>
      </c>
      <c r="G306" s="59"/>
      <c r="H306" s="9"/>
    </row>
    <row r="307">
      <c r="A307" s="65">
        <v>299.0</v>
      </c>
      <c r="B307" s="151" t="s">
        <v>734</v>
      </c>
      <c r="C307" s="143" t="s">
        <v>1131</v>
      </c>
      <c r="D307" s="143" t="s">
        <v>1132</v>
      </c>
      <c r="E307" s="75" t="s">
        <v>68</v>
      </c>
      <c r="F307" s="117" t="s">
        <v>69</v>
      </c>
      <c r="G307" s="59"/>
      <c r="H307" s="9"/>
    </row>
    <row r="308">
      <c r="A308" s="65">
        <v>300.0</v>
      </c>
      <c r="B308" s="151" t="s">
        <v>734</v>
      </c>
      <c r="C308" s="143" t="s">
        <v>1133</v>
      </c>
      <c r="D308" s="143" t="s">
        <v>1134</v>
      </c>
      <c r="E308" s="75" t="s">
        <v>68</v>
      </c>
      <c r="F308" s="117" t="s">
        <v>69</v>
      </c>
      <c r="G308" s="59"/>
      <c r="H308" s="9"/>
    </row>
    <row r="309">
      <c r="A309" s="65">
        <v>301.0</v>
      </c>
      <c r="B309" s="151" t="s">
        <v>734</v>
      </c>
      <c r="C309" s="143" t="s">
        <v>1135</v>
      </c>
      <c r="D309" s="143" t="s">
        <v>1136</v>
      </c>
      <c r="E309" s="75" t="s">
        <v>68</v>
      </c>
      <c r="F309" s="117" t="s">
        <v>69</v>
      </c>
      <c r="G309" s="59"/>
      <c r="H309" s="9"/>
    </row>
    <row r="310">
      <c r="A310" s="65">
        <v>302.0</v>
      </c>
      <c r="B310" s="151" t="s">
        <v>734</v>
      </c>
      <c r="C310" s="143" t="s">
        <v>1137</v>
      </c>
      <c r="D310" s="143" t="s">
        <v>1138</v>
      </c>
      <c r="E310" s="75" t="s">
        <v>68</v>
      </c>
      <c r="F310" s="117" t="s">
        <v>69</v>
      </c>
      <c r="G310" s="59"/>
      <c r="H310" s="9"/>
    </row>
    <row r="311">
      <c r="A311" s="65">
        <v>303.0</v>
      </c>
      <c r="B311" s="151" t="s">
        <v>734</v>
      </c>
      <c r="C311" s="143" t="s">
        <v>1139</v>
      </c>
      <c r="D311" s="143" t="s">
        <v>1140</v>
      </c>
      <c r="E311" s="75" t="s">
        <v>68</v>
      </c>
      <c r="F311" s="117" t="s">
        <v>69</v>
      </c>
      <c r="G311" s="59"/>
      <c r="H311" s="9"/>
    </row>
    <row r="312">
      <c r="A312" s="65">
        <v>304.0</v>
      </c>
      <c r="B312" s="151" t="s">
        <v>734</v>
      </c>
      <c r="C312" s="143" t="s">
        <v>1141</v>
      </c>
      <c r="D312" s="143" t="s">
        <v>1142</v>
      </c>
      <c r="E312" s="75" t="s">
        <v>68</v>
      </c>
      <c r="F312" s="117" t="s">
        <v>69</v>
      </c>
      <c r="G312" s="59"/>
      <c r="H312" s="9"/>
    </row>
    <row r="313">
      <c r="A313" s="65">
        <v>305.0</v>
      </c>
      <c r="B313" s="151" t="s">
        <v>734</v>
      </c>
      <c r="C313" s="143" t="s">
        <v>1143</v>
      </c>
      <c r="D313" s="143" t="s">
        <v>1144</v>
      </c>
      <c r="E313" s="75" t="s">
        <v>68</v>
      </c>
      <c r="F313" s="117" t="s">
        <v>69</v>
      </c>
      <c r="G313" s="59"/>
      <c r="H313" s="9"/>
    </row>
    <row r="314">
      <c r="A314" s="65">
        <v>306.0</v>
      </c>
      <c r="B314" s="151" t="s">
        <v>734</v>
      </c>
      <c r="C314" s="143" t="s">
        <v>615</v>
      </c>
      <c r="D314" s="143" t="s">
        <v>616</v>
      </c>
      <c r="E314" s="75" t="s">
        <v>68</v>
      </c>
      <c r="F314" s="117" t="s">
        <v>69</v>
      </c>
      <c r="G314" s="59"/>
      <c r="H314" s="9"/>
    </row>
    <row r="315">
      <c r="A315" s="65">
        <v>307.0</v>
      </c>
      <c r="B315" s="151" t="s">
        <v>734</v>
      </c>
      <c r="C315" s="143" t="s">
        <v>1145</v>
      </c>
      <c r="D315" s="154" t="s">
        <v>1146</v>
      </c>
      <c r="E315" s="75" t="s">
        <v>68</v>
      </c>
      <c r="F315" s="117" t="s">
        <v>69</v>
      </c>
      <c r="G315" s="59"/>
      <c r="H315" s="9"/>
    </row>
    <row r="316">
      <c r="A316" s="65">
        <v>308.0</v>
      </c>
      <c r="B316" s="151" t="s">
        <v>734</v>
      </c>
      <c r="C316" s="143" t="s">
        <v>1147</v>
      </c>
      <c r="D316" s="154" t="s">
        <v>1148</v>
      </c>
      <c r="E316" s="75" t="s">
        <v>68</v>
      </c>
      <c r="F316" s="117" t="s">
        <v>69</v>
      </c>
      <c r="G316" s="59"/>
      <c r="H316" s="9"/>
    </row>
    <row r="317">
      <c r="A317" s="65">
        <v>309.0</v>
      </c>
      <c r="B317" s="151" t="s">
        <v>734</v>
      </c>
      <c r="C317" s="143" t="s">
        <v>115</v>
      </c>
      <c r="D317" s="154" t="s">
        <v>116</v>
      </c>
      <c r="E317" s="75" t="s">
        <v>68</v>
      </c>
      <c r="F317" s="117" t="s">
        <v>69</v>
      </c>
      <c r="G317" s="59"/>
      <c r="H317" s="9"/>
    </row>
    <row r="318">
      <c r="A318" s="65">
        <v>310.0</v>
      </c>
      <c r="B318" s="151" t="s">
        <v>734</v>
      </c>
      <c r="C318" s="143" t="s">
        <v>1149</v>
      </c>
      <c r="D318" s="154" t="s">
        <v>1150</v>
      </c>
      <c r="E318" s="75" t="s">
        <v>68</v>
      </c>
      <c r="F318" s="117" t="s">
        <v>69</v>
      </c>
      <c r="G318" s="59"/>
      <c r="H318" s="9"/>
    </row>
    <row r="319">
      <c r="A319" s="65">
        <v>311.0</v>
      </c>
      <c r="B319" s="151" t="s">
        <v>734</v>
      </c>
      <c r="C319" s="143" t="s">
        <v>1151</v>
      </c>
      <c r="D319" s="154" t="s">
        <v>1152</v>
      </c>
      <c r="E319" s="75" t="s">
        <v>68</v>
      </c>
      <c r="F319" s="117" t="s">
        <v>69</v>
      </c>
      <c r="G319" s="59"/>
      <c r="H319" s="9"/>
    </row>
    <row r="320">
      <c r="A320" s="65">
        <v>312.0</v>
      </c>
      <c r="B320" s="151" t="s">
        <v>734</v>
      </c>
      <c r="C320" s="143" t="s">
        <v>1153</v>
      </c>
      <c r="D320" s="154" t="s">
        <v>1154</v>
      </c>
      <c r="E320" s="75" t="s">
        <v>68</v>
      </c>
      <c r="F320" s="117" t="s">
        <v>69</v>
      </c>
      <c r="G320" s="59"/>
      <c r="H320" s="9"/>
    </row>
    <row r="321">
      <c r="A321" s="65">
        <v>313.0</v>
      </c>
      <c r="B321" s="151" t="s">
        <v>734</v>
      </c>
      <c r="C321" s="143" t="s">
        <v>1155</v>
      </c>
      <c r="D321" s="154" t="s">
        <v>1156</v>
      </c>
      <c r="E321" s="75" t="s">
        <v>68</v>
      </c>
      <c r="F321" s="117" t="s">
        <v>69</v>
      </c>
      <c r="G321" s="59"/>
      <c r="H321" s="9"/>
    </row>
    <row r="322">
      <c r="A322" s="65">
        <v>314.0</v>
      </c>
      <c r="B322" s="151" t="s">
        <v>734</v>
      </c>
      <c r="C322" s="143" t="s">
        <v>1157</v>
      </c>
      <c r="D322" s="154" t="s">
        <v>1158</v>
      </c>
      <c r="E322" s="75" t="s">
        <v>68</v>
      </c>
      <c r="F322" s="117" t="s">
        <v>69</v>
      </c>
      <c r="G322" s="59"/>
      <c r="H322" s="9"/>
    </row>
    <row r="323">
      <c r="A323" s="65">
        <v>315.0</v>
      </c>
      <c r="B323" s="151" t="s">
        <v>734</v>
      </c>
      <c r="C323" s="143" t="s">
        <v>1159</v>
      </c>
      <c r="D323" s="154" t="s">
        <v>1160</v>
      </c>
      <c r="E323" s="75" t="s">
        <v>68</v>
      </c>
      <c r="F323" s="117" t="s">
        <v>69</v>
      </c>
      <c r="G323" s="59"/>
      <c r="H323" s="9"/>
    </row>
    <row r="324">
      <c r="A324" s="65">
        <v>316.0</v>
      </c>
      <c r="B324" s="151" t="s">
        <v>734</v>
      </c>
      <c r="C324" s="143" t="s">
        <v>1161</v>
      </c>
      <c r="D324" s="154" t="s">
        <v>1162</v>
      </c>
      <c r="E324" s="75" t="s">
        <v>68</v>
      </c>
      <c r="F324" s="117" t="s">
        <v>69</v>
      </c>
      <c r="G324" s="59"/>
      <c r="H324" s="9"/>
    </row>
    <row r="325">
      <c r="A325" s="65">
        <v>317.0</v>
      </c>
      <c r="B325" s="151" t="s">
        <v>734</v>
      </c>
      <c r="C325" s="143" t="s">
        <v>1163</v>
      </c>
      <c r="D325" s="154" t="s">
        <v>1164</v>
      </c>
      <c r="E325" s="75" t="s">
        <v>68</v>
      </c>
      <c r="F325" s="117" t="s">
        <v>69</v>
      </c>
      <c r="G325" s="59"/>
      <c r="H325" s="9"/>
    </row>
    <row r="326">
      <c r="A326" s="65">
        <v>318.0</v>
      </c>
      <c r="B326" s="151" t="s">
        <v>734</v>
      </c>
      <c r="C326" s="143" t="s">
        <v>1165</v>
      </c>
      <c r="D326" s="154" t="s">
        <v>1166</v>
      </c>
      <c r="E326" s="75" t="s">
        <v>68</v>
      </c>
      <c r="F326" s="117" t="s">
        <v>69</v>
      </c>
      <c r="G326" s="59"/>
      <c r="H326" s="9"/>
    </row>
    <row r="327">
      <c r="A327" s="65">
        <v>319.0</v>
      </c>
      <c r="B327" s="151" t="s">
        <v>734</v>
      </c>
      <c r="C327" s="143" t="s">
        <v>1167</v>
      </c>
      <c r="D327" s="154" t="s">
        <v>1168</v>
      </c>
      <c r="E327" s="75" t="s">
        <v>68</v>
      </c>
      <c r="F327" s="117" t="s">
        <v>69</v>
      </c>
      <c r="G327" s="59"/>
      <c r="H327" s="9"/>
    </row>
    <row r="328">
      <c r="A328" s="65">
        <v>320.0</v>
      </c>
      <c r="B328" s="151" t="s">
        <v>734</v>
      </c>
      <c r="C328" s="143" t="s">
        <v>1169</v>
      </c>
      <c r="D328" s="154" t="s">
        <v>1170</v>
      </c>
      <c r="E328" s="75" t="s">
        <v>68</v>
      </c>
      <c r="F328" s="117" t="s">
        <v>69</v>
      </c>
      <c r="G328" s="59"/>
      <c r="H328" s="9"/>
    </row>
    <row r="329">
      <c r="A329" s="65">
        <v>321.0</v>
      </c>
      <c r="B329" s="151" t="s">
        <v>734</v>
      </c>
      <c r="C329" s="143" t="s">
        <v>1171</v>
      </c>
      <c r="D329" s="154" t="s">
        <v>1172</v>
      </c>
      <c r="E329" s="75" t="s">
        <v>68</v>
      </c>
      <c r="F329" s="117" t="s">
        <v>69</v>
      </c>
      <c r="G329" s="59"/>
      <c r="H329" s="9"/>
    </row>
    <row r="330">
      <c r="A330" s="65">
        <v>322.0</v>
      </c>
      <c r="B330" s="151" t="s">
        <v>734</v>
      </c>
      <c r="C330" s="143" t="s">
        <v>1173</v>
      </c>
      <c r="D330" s="154" t="s">
        <v>1174</v>
      </c>
      <c r="E330" s="75" t="s">
        <v>68</v>
      </c>
      <c r="F330" s="117" t="s">
        <v>69</v>
      </c>
      <c r="G330" s="59"/>
      <c r="H330" s="9"/>
    </row>
    <row r="331">
      <c r="A331" s="65">
        <v>323.0</v>
      </c>
      <c r="B331" s="151" t="s">
        <v>734</v>
      </c>
      <c r="C331" s="143" t="s">
        <v>1175</v>
      </c>
      <c r="D331" s="154" t="s">
        <v>1176</v>
      </c>
      <c r="E331" s="75" t="s">
        <v>68</v>
      </c>
      <c r="F331" s="117" t="s">
        <v>69</v>
      </c>
      <c r="G331" s="59"/>
      <c r="H331" s="9"/>
    </row>
    <row r="332">
      <c r="A332" s="65">
        <v>324.0</v>
      </c>
      <c r="B332" s="151" t="s">
        <v>734</v>
      </c>
      <c r="C332" s="143" t="s">
        <v>1177</v>
      </c>
      <c r="D332" s="154" t="s">
        <v>1178</v>
      </c>
      <c r="E332" s="75" t="s">
        <v>68</v>
      </c>
      <c r="F332" s="117" t="s">
        <v>69</v>
      </c>
      <c r="G332" s="59"/>
      <c r="H332" s="9"/>
    </row>
    <row r="333">
      <c r="A333" s="65">
        <v>325.0</v>
      </c>
      <c r="B333" s="151" t="s">
        <v>734</v>
      </c>
      <c r="C333" s="143" t="s">
        <v>279</v>
      </c>
      <c r="D333" s="154" t="s">
        <v>280</v>
      </c>
      <c r="E333" s="75" t="s">
        <v>68</v>
      </c>
      <c r="F333" s="117" t="s">
        <v>69</v>
      </c>
      <c r="G333" s="59"/>
      <c r="H333" s="9"/>
    </row>
    <row r="334">
      <c r="A334" s="65">
        <v>326.0</v>
      </c>
      <c r="B334" s="151" t="s">
        <v>734</v>
      </c>
      <c r="C334" s="143" t="s">
        <v>1179</v>
      </c>
      <c r="D334" s="154" t="s">
        <v>1180</v>
      </c>
      <c r="E334" s="75" t="s">
        <v>68</v>
      </c>
      <c r="F334" s="117" t="s">
        <v>69</v>
      </c>
      <c r="G334" s="59"/>
      <c r="H334" s="9"/>
    </row>
    <row r="335">
      <c r="A335" s="65">
        <v>327.0</v>
      </c>
      <c r="B335" s="151" t="s">
        <v>734</v>
      </c>
      <c r="C335" s="143" t="s">
        <v>1181</v>
      </c>
      <c r="D335" s="154" t="s">
        <v>1182</v>
      </c>
      <c r="E335" s="75" t="s">
        <v>68</v>
      </c>
      <c r="F335" s="117" t="s">
        <v>69</v>
      </c>
      <c r="G335" s="59"/>
      <c r="H335" s="9"/>
    </row>
    <row r="336">
      <c r="A336" s="65">
        <v>328.0</v>
      </c>
      <c r="B336" s="151" t="s">
        <v>734</v>
      </c>
      <c r="C336" s="143" t="s">
        <v>1183</v>
      </c>
      <c r="D336" s="154" t="s">
        <v>1184</v>
      </c>
      <c r="E336" s="75" t="s">
        <v>68</v>
      </c>
      <c r="F336" s="117" t="s">
        <v>69</v>
      </c>
      <c r="G336" s="59"/>
      <c r="H336" s="9"/>
    </row>
    <row r="337">
      <c r="A337" s="65">
        <v>329.0</v>
      </c>
      <c r="B337" s="151" t="s">
        <v>734</v>
      </c>
      <c r="C337" s="143" t="s">
        <v>1185</v>
      </c>
      <c r="D337" s="154" t="s">
        <v>1186</v>
      </c>
      <c r="E337" s="75" t="s">
        <v>68</v>
      </c>
      <c r="F337" s="117" t="s">
        <v>69</v>
      </c>
      <c r="G337" s="59"/>
      <c r="H337" s="9"/>
    </row>
    <row r="338">
      <c r="A338" s="65">
        <v>330.0</v>
      </c>
      <c r="B338" s="151" t="s">
        <v>734</v>
      </c>
      <c r="C338" s="143" t="s">
        <v>1187</v>
      </c>
      <c r="D338" s="154" t="s">
        <v>1188</v>
      </c>
      <c r="E338" s="75" t="s">
        <v>68</v>
      </c>
      <c r="F338" s="117" t="s">
        <v>69</v>
      </c>
      <c r="G338" s="59"/>
      <c r="H338" s="9"/>
    </row>
    <row r="339">
      <c r="A339" s="65">
        <v>331.0</v>
      </c>
      <c r="B339" s="151" t="s">
        <v>734</v>
      </c>
      <c r="C339" s="143" t="s">
        <v>1189</v>
      </c>
      <c r="D339" s="154" t="s">
        <v>1190</v>
      </c>
      <c r="E339" s="75" t="s">
        <v>68</v>
      </c>
      <c r="F339" s="117" t="s">
        <v>69</v>
      </c>
      <c r="G339" s="59"/>
      <c r="H339" s="9"/>
    </row>
    <row r="340">
      <c r="A340" s="65">
        <v>332.0</v>
      </c>
      <c r="B340" s="155" t="s">
        <v>1191</v>
      </c>
      <c r="C340" s="156" t="s">
        <v>1192</v>
      </c>
      <c r="D340" s="157"/>
      <c r="E340" s="75"/>
      <c r="F340" s="117" t="s">
        <v>1193</v>
      </c>
      <c r="G340" s="59"/>
      <c r="H340" s="9"/>
    </row>
    <row r="341">
      <c r="A341" s="65">
        <v>333.0</v>
      </c>
      <c r="B341" s="155" t="s">
        <v>1191</v>
      </c>
      <c r="C341" s="156" t="s">
        <v>1194</v>
      </c>
      <c r="D341" s="158" t="s">
        <v>1195</v>
      </c>
      <c r="E341" s="75"/>
      <c r="F341" s="117" t="s">
        <v>1193</v>
      </c>
      <c r="G341" s="59"/>
      <c r="H341" s="9"/>
    </row>
    <row r="342">
      <c r="A342" s="65">
        <v>334.0</v>
      </c>
      <c r="B342" s="155" t="s">
        <v>1191</v>
      </c>
      <c r="C342" s="156" t="s">
        <v>712</v>
      </c>
      <c r="D342" s="158" t="s">
        <v>1196</v>
      </c>
      <c r="E342" s="75"/>
      <c r="F342" s="117" t="s">
        <v>1193</v>
      </c>
      <c r="G342" s="59"/>
      <c r="H342" s="9"/>
    </row>
    <row r="343">
      <c r="A343" s="65">
        <v>335.0</v>
      </c>
      <c r="B343" s="155" t="s">
        <v>1191</v>
      </c>
      <c r="C343" s="156" t="s">
        <v>1197</v>
      </c>
      <c r="D343" s="158" t="s">
        <v>1198</v>
      </c>
      <c r="E343" s="75"/>
      <c r="F343" s="117" t="s">
        <v>1193</v>
      </c>
      <c r="G343" s="59"/>
      <c r="H343" s="9"/>
    </row>
    <row r="344">
      <c r="A344" s="65">
        <v>336.0</v>
      </c>
      <c r="B344" s="155" t="s">
        <v>1191</v>
      </c>
      <c r="C344" s="156" t="s">
        <v>1199</v>
      </c>
      <c r="D344" s="158" t="s">
        <v>1200</v>
      </c>
      <c r="E344" s="75"/>
      <c r="F344" s="117" t="s">
        <v>1193</v>
      </c>
      <c r="G344" s="59"/>
      <c r="H344" s="9"/>
    </row>
    <row r="345">
      <c r="A345" s="65">
        <v>337.0</v>
      </c>
      <c r="B345" s="155" t="s">
        <v>1191</v>
      </c>
      <c r="C345" s="156" t="s">
        <v>1201</v>
      </c>
      <c r="D345" s="158" t="s">
        <v>1202</v>
      </c>
      <c r="E345" s="75"/>
      <c r="F345" s="117" t="s">
        <v>1193</v>
      </c>
      <c r="G345" s="59"/>
      <c r="H345" s="9"/>
    </row>
    <row r="346">
      <c r="A346" s="65">
        <v>338.0</v>
      </c>
      <c r="B346" s="155" t="s">
        <v>1191</v>
      </c>
      <c r="C346" s="156" t="s">
        <v>1203</v>
      </c>
      <c r="D346" s="158" t="s">
        <v>1204</v>
      </c>
      <c r="E346" s="75"/>
      <c r="F346" s="117" t="s">
        <v>1193</v>
      </c>
      <c r="G346" s="59"/>
      <c r="H346" s="9"/>
    </row>
    <row r="347">
      <c r="A347" s="65">
        <v>339.0</v>
      </c>
      <c r="B347" s="155" t="s">
        <v>1191</v>
      </c>
      <c r="C347" s="156" t="s">
        <v>1205</v>
      </c>
      <c r="D347" s="158" t="s">
        <v>1206</v>
      </c>
      <c r="E347" s="75"/>
      <c r="F347" s="117" t="s">
        <v>1193</v>
      </c>
      <c r="G347" s="59"/>
      <c r="H347" s="9"/>
    </row>
    <row r="348">
      <c r="A348" s="65">
        <v>340.0</v>
      </c>
      <c r="B348" s="155" t="s">
        <v>1191</v>
      </c>
      <c r="C348" s="156" t="s">
        <v>1207</v>
      </c>
      <c r="D348" s="158" t="s">
        <v>1208</v>
      </c>
      <c r="E348" s="75"/>
      <c r="F348" s="117" t="s">
        <v>1193</v>
      </c>
      <c r="G348" s="59"/>
      <c r="H348" s="9"/>
    </row>
    <row r="349">
      <c r="A349" s="65">
        <v>341.0</v>
      </c>
      <c r="B349" s="155" t="s">
        <v>1191</v>
      </c>
      <c r="C349" s="156" t="s">
        <v>1209</v>
      </c>
      <c r="D349" s="158" t="s">
        <v>1210</v>
      </c>
      <c r="E349" s="75"/>
      <c r="F349" s="117" t="s">
        <v>1193</v>
      </c>
      <c r="G349" s="59"/>
      <c r="H349" s="9"/>
    </row>
    <row r="350">
      <c r="A350" s="65">
        <v>342.0</v>
      </c>
      <c r="B350" s="155" t="s">
        <v>1191</v>
      </c>
      <c r="C350" s="156" t="s">
        <v>1211</v>
      </c>
      <c r="D350" s="158" t="s">
        <v>1212</v>
      </c>
      <c r="E350" s="75"/>
      <c r="F350" s="117" t="s">
        <v>1193</v>
      </c>
      <c r="G350" s="59"/>
      <c r="H350" s="9"/>
    </row>
    <row r="351">
      <c r="A351" s="65">
        <v>343.0</v>
      </c>
      <c r="B351" s="155" t="s">
        <v>1191</v>
      </c>
      <c r="C351" s="156" t="s">
        <v>1213</v>
      </c>
      <c r="D351" s="158" t="s">
        <v>1214</v>
      </c>
      <c r="E351" s="75"/>
      <c r="F351" s="117" t="s">
        <v>1193</v>
      </c>
      <c r="G351" s="59"/>
      <c r="H351" s="9"/>
    </row>
    <row r="352">
      <c r="A352" s="65">
        <v>344.0</v>
      </c>
      <c r="B352" s="155" t="s">
        <v>1191</v>
      </c>
      <c r="C352" s="156" t="s">
        <v>1215</v>
      </c>
      <c r="D352" s="158" t="s">
        <v>1216</v>
      </c>
      <c r="E352" s="75"/>
      <c r="F352" s="117" t="s">
        <v>1193</v>
      </c>
      <c r="G352" s="59"/>
      <c r="H352" s="9"/>
    </row>
    <row r="353">
      <c r="A353" s="65">
        <v>345.0</v>
      </c>
      <c r="B353" s="155" t="s">
        <v>1191</v>
      </c>
      <c r="C353" s="156" t="s">
        <v>1217</v>
      </c>
      <c r="D353" s="158" t="s">
        <v>1218</v>
      </c>
      <c r="E353" s="75"/>
      <c r="F353" s="117" t="s">
        <v>1193</v>
      </c>
      <c r="G353" s="59"/>
      <c r="H353" s="9"/>
    </row>
    <row r="354">
      <c r="A354" s="65">
        <v>346.0</v>
      </c>
      <c r="B354" s="155" t="s">
        <v>1191</v>
      </c>
      <c r="C354" s="156" t="s">
        <v>1219</v>
      </c>
      <c r="D354" s="158" t="s">
        <v>1220</v>
      </c>
      <c r="E354" s="75"/>
      <c r="F354" s="117" t="s">
        <v>1193</v>
      </c>
      <c r="G354" s="59"/>
      <c r="H354" s="9"/>
    </row>
    <row r="355">
      <c r="A355" s="65">
        <v>347.0</v>
      </c>
      <c r="B355" s="155" t="s">
        <v>1191</v>
      </c>
      <c r="C355" s="156" t="s">
        <v>1221</v>
      </c>
      <c r="D355" s="158" t="s">
        <v>1222</v>
      </c>
      <c r="E355" s="75"/>
      <c r="F355" s="117" t="s">
        <v>1193</v>
      </c>
      <c r="G355" s="59"/>
      <c r="H355" s="9"/>
    </row>
    <row r="356">
      <c r="A356" s="65">
        <v>348.0</v>
      </c>
      <c r="B356" s="155" t="s">
        <v>1191</v>
      </c>
      <c r="C356" s="156" t="s">
        <v>1223</v>
      </c>
      <c r="D356" s="158" t="s">
        <v>1224</v>
      </c>
      <c r="E356" s="75"/>
      <c r="F356" s="117" t="s">
        <v>1193</v>
      </c>
      <c r="G356" s="59"/>
      <c r="H356" s="9"/>
    </row>
    <row r="357">
      <c r="A357" s="65">
        <v>349.0</v>
      </c>
      <c r="B357" s="155" t="s">
        <v>1191</v>
      </c>
      <c r="C357" s="156" t="s">
        <v>1225</v>
      </c>
      <c r="D357" s="158" t="s">
        <v>1226</v>
      </c>
      <c r="E357" s="75"/>
      <c r="F357" s="117" t="s">
        <v>1193</v>
      </c>
      <c r="G357" s="59"/>
      <c r="H357" s="9"/>
    </row>
    <row r="358">
      <c r="A358" s="65">
        <v>350.0</v>
      </c>
      <c r="B358" s="155" t="s">
        <v>1191</v>
      </c>
      <c r="C358" s="156" t="s">
        <v>1227</v>
      </c>
      <c r="D358" s="158" t="s">
        <v>1228</v>
      </c>
      <c r="E358" s="75"/>
      <c r="F358" s="117" t="s">
        <v>1193</v>
      </c>
      <c r="G358" s="59"/>
      <c r="H358" s="9"/>
    </row>
    <row r="359">
      <c r="A359" s="65">
        <v>351.0</v>
      </c>
      <c r="B359" s="155" t="s">
        <v>1191</v>
      </c>
      <c r="C359" s="156" t="s">
        <v>1229</v>
      </c>
      <c r="D359" s="158" t="s">
        <v>1230</v>
      </c>
      <c r="E359" s="75"/>
      <c r="F359" s="117" t="s">
        <v>1193</v>
      </c>
      <c r="G359" s="59"/>
      <c r="H359" s="9"/>
    </row>
    <row r="360">
      <c r="A360" s="65">
        <v>352.0</v>
      </c>
      <c r="B360" s="155" t="s">
        <v>1191</v>
      </c>
      <c r="C360" s="156" t="s">
        <v>1231</v>
      </c>
      <c r="D360" s="159"/>
      <c r="E360" s="75"/>
      <c r="F360" s="117" t="s">
        <v>1193</v>
      </c>
      <c r="G360" s="59"/>
      <c r="H360" s="9"/>
    </row>
    <row r="361">
      <c r="A361" s="65">
        <v>353.0</v>
      </c>
      <c r="B361" s="155" t="s">
        <v>1191</v>
      </c>
      <c r="C361" s="156" t="s">
        <v>1232</v>
      </c>
      <c r="D361" s="158" t="s">
        <v>1233</v>
      </c>
      <c r="E361" s="75"/>
      <c r="F361" s="117" t="s">
        <v>1193</v>
      </c>
      <c r="G361" s="59"/>
      <c r="H361" s="9"/>
    </row>
    <row r="362">
      <c r="A362" s="65">
        <v>354.0</v>
      </c>
      <c r="B362" s="155" t="s">
        <v>1191</v>
      </c>
      <c r="C362" s="156" t="s">
        <v>1234</v>
      </c>
      <c r="D362" s="158" t="s">
        <v>1235</v>
      </c>
      <c r="E362" s="75"/>
      <c r="F362" s="117" t="s">
        <v>1193</v>
      </c>
      <c r="G362" s="59"/>
      <c r="H362" s="9"/>
    </row>
    <row r="363">
      <c r="A363" s="65">
        <v>355.0</v>
      </c>
      <c r="B363" s="155" t="s">
        <v>1191</v>
      </c>
      <c r="C363" s="156" t="s">
        <v>584</v>
      </c>
      <c r="D363" s="158" t="s">
        <v>1236</v>
      </c>
      <c r="E363" s="75"/>
      <c r="F363" s="117" t="s">
        <v>1193</v>
      </c>
      <c r="G363" s="59"/>
      <c r="H363" s="9"/>
    </row>
    <row r="364">
      <c r="A364" s="65">
        <v>356.0</v>
      </c>
      <c r="B364" s="155" t="s">
        <v>1191</v>
      </c>
      <c r="C364" s="156" t="s">
        <v>1237</v>
      </c>
      <c r="D364" s="158" t="s">
        <v>1238</v>
      </c>
      <c r="E364" s="75"/>
      <c r="F364" s="117" t="s">
        <v>1193</v>
      </c>
      <c r="G364" s="59"/>
      <c r="H364" s="9"/>
    </row>
    <row r="365">
      <c r="A365" s="65">
        <v>357.0</v>
      </c>
      <c r="B365" s="155" t="s">
        <v>1191</v>
      </c>
      <c r="C365" s="156" t="s">
        <v>1239</v>
      </c>
      <c r="D365" s="158" t="s">
        <v>1240</v>
      </c>
      <c r="E365" s="75"/>
      <c r="F365" s="117" t="s">
        <v>1193</v>
      </c>
      <c r="G365" s="59"/>
      <c r="H365" s="9"/>
    </row>
    <row r="366">
      <c r="A366" s="65">
        <v>358.0</v>
      </c>
      <c r="B366" s="155" t="s">
        <v>1191</v>
      </c>
      <c r="C366" s="156" t="s">
        <v>1241</v>
      </c>
      <c r="D366" s="159"/>
      <c r="E366" s="75"/>
      <c r="F366" s="117" t="s">
        <v>1193</v>
      </c>
      <c r="G366" s="59"/>
      <c r="H366" s="9"/>
    </row>
    <row r="367">
      <c r="A367" s="65">
        <v>359.0</v>
      </c>
      <c r="B367" s="155" t="s">
        <v>1191</v>
      </c>
      <c r="C367" s="156" t="s">
        <v>1242</v>
      </c>
      <c r="D367" s="158" t="s">
        <v>1243</v>
      </c>
      <c r="E367" s="75"/>
      <c r="F367" s="117" t="s">
        <v>1193</v>
      </c>
      <c r="G367" s="59"/>
      <c r="H367" s="9"/>
    </row>
    <row r="368">
      <c r="A368" s="65">
        <v>360.0</v>
      </c>
      <c r="B368" s="155" t="s">
        <v>1191</v>
      </c>
      <c r="C368" s="156" t="s">
        <v>672</v>
      </c>
      <c r="D368" s="158" t="s">
        <v>1244</v>
      </c>
      <c r="E368" s="75"/>
      <c r="F368" s="117" t="s">
        <v>1193</v>
      </c>
      <c r="G368" s="59"/>
      <c r="H368" s="9"/>
    </row>
    <row r="369">
      <c r="A369" s="65">
        <v>361.0</v>
      </c>
      <c r="B369" s="155" t="s">
        <v>1191</v>
      </c>
      <c r="C369" s="156" t="s">
        <v>1245</v>
      </c>
      <c r="D369" s="158" t="s">
        <v>1246</v>
      </c>
      <c r="E369" s="75"/>
      <c r="F369" s="117" t="s">
        <v>1193</v>
      </c>
      <c r="G369" s="59"/>
      <c r="H369" s="9"/>
    </row>
    <row r="370">
      <c r="A370" s="65">
        <v>362.0</v>
      </c>
      <c r="B370" s="155" t="s">
        <v>1191</v>
      </c>
      <c r="C370" s="156" t="s">
        <v>915</v>
      </c>
      <c r="D370" s="158" t="s">
        <v>1247</v>
      </c>
      <c r="E370" s="75"/>
      <c r="F370" s="117" t="s">
        <v>1193</v>
      </c>
      <c r="G370" s="59"/>
      <c r="H370" s="9"/>
    </row>
    <row r="371">
      <c r="A371" s="65">
        <v>363.0</v>
      </c>
      <c r="B371" s="155" t="s">
        <v>1191</v>
      </c>
      <c r="C371" s="156" t="s">
        <v>1248</v>
      </c>
      <c r="D371" s="158" t="s">
        <v>1249</v>
      </c>
      <c r="E371" s="75"/>
      <c r="F371" s="117" t="s">
        <v>1193</v>
      </c>
      <c r="G371" s="59"/>
      <c r="H371" s="9"/>
    </row>
    <row r="372">
      <c r="A372" s="65">
        <v>364.0</v>
      </c>
      <c r="B372" s="155" t="s">
        <v>1191</v>
      </c>
      <c r="C372" s="156" t="s">
        <v>1248</v>
      </c>
      <c r="D372" s="158" t="s">
        <v>1249</v>
      </c>
      <c r="E372" s="75"/>
      <c r="F372" s="117" t="s">
        <v>1193</v>
      </c>
      <c r="G372" s="59"/>
      <c r="H372" s="9"/>
    </row>
    <row r="373">
      <c r="A373" s="65">
        <v>365.0</v>
      </c>
      <c r="B373" s="155" t="s">
        <v>1191</v>
      </c>
      <c r="C373" s="156" t="s">
        <v>1250</v>
      </c>
      <c r="D373" s="158" t="s">
        <v>1251</v>
      </c>
      <c r="E373" s="75"/>
      <c r="F373" s="117" t="s">
        <v>1193</v>
      </c>
      <c r="G373" s="59"/>
      <c r="H373" s="9"/>
    </row>
    <row r="374">
      <c r="A374" s="65">
        <v>366.0</v>
      </c>
      <c r="B374" s="155" t="s">
        <v>1191</v>
      </c>
      <c r="C374" s="156" t="s">
        <v>1252</v>
      </c>
      <c r="D374" s="159"/>
      <c r="E374" s="75"/>
      <c r="F374" s="117" t="s">
        <v>1193</v>
      </c>
      <c r="G374" s="59"/>
      <c r="H374" s="9"/>
    </row>
    <row r="375">
      <c r="A375" s="9"/>
      <c r="B375" s="9"/>
      <c r="C375" s="9"/>
      <c r="D375" s="9"/>
      <c r="E375" s="9"/>
      <c r="F375" s="9"/>
      <c r="G375" s="59"/>
      <c r="H375" s="9"/>
    </row>
    <row r="376">
      <c r="A376" s="9"/>
      <c r="B376" s="9"/>
      <c r="C376" s="9"/>
      <c r="D376" s="9"/>
      <c r="E376" s="9"/>
      <c r="F376" s="9"/>
      <c r="G376" s="59"/>
      <c r="H376" s="9"/>
    </row>
    <row r="377">
      <c r="A377" s="9"/>
      <c r="B377" s="9"/>
      <c r="C377" s="9"/>
      <c r="D377" s="9"/>
      <c r="E377" s="9"/>
      <c r="F377" s="9"/>
      <c r="G377" s="59"/>
      <c r="H377" s="9"/>
    </row>
    <row r="378">
      <c r="A378" s="9"/>
      <c r="B378" s="9"/>
      <c r="C378" s="9"/>
      <c r="D378" s="9"/>
      <c r="E378" s="9"/>
      <c r="F378" s="9"/>
      <c r="G378" s="59"/>
      <c r="H378" s="9"/>
    </row>
    <row r="379">
      <c r="A379" s="9"/>
      <c r="B379" s="9"/>
      <c r="C379" s="9"/>
      <c r="D379" s="9"/>
      <c r="E379" s="9"/>
      <c r="F379" s="9"/>
      <c r="G379" s="59"/>
      <c r="H379" s="9"/>
    </row>
    <row r="380">
      <c r="A380" s="9"/>
      <c r="B380" s="9"/>
      <c r="C380" s="9"/>
      <c r="D380" s="9"/>
      <c r="E380" s="9"/>
      <c r="F380" s="9"/>
      <c r="G380" s="59"/>
      <c r="H380" s="9"/>
    </row>
    <row r="381">
      <c r="A381" s="9"/>
      <c r="B381" s="9"/>
      <c r="C381" s="9"/>
      <c r="D381" s="9"/>
      <c r="E381" s="9"/>
      <c r="F381" s="9"/>
      <c r="G381" s="59"/>
      <c r="H381" s="9"/>
    </row>
    <row r="382">
      <c r="A382" s="9"/>
      <c r="B382" s="9"/>
      <c r="C382" s="9"/>
      <c r="D382" s="9"/>
      <c r="E382" s="9"/>
      <c r="F382" s="9"/>
      <c r="G382" s="59"/>
      <c r="H382" s="9"/>
    </row>
    <row r="383">
      <c r="A383" s="9"/>
      <c r="B383" s="9"/>
      <c r="C383" s="9"/>
      <c r="D383" s="9"/>
      <c r="E383" s="9"/>
      <c r="F383" s="9"/>
      <c r="G383" s="59"/>
      <c r="H383" s="9"/>
    </row>
    <row r="384">
      <c r="A384" s="9"/>
      <c r="B384" s="9"/>
      <c r="C384" s="9"/>
      <c r="D384" s="9"/>
      <c r="E384" s="9"/>
      <c r="F384" s="9"/>
      <c r="G384" s="59"/>
      <c r="H384" s="9"/>
    </row>
    <row r="385">
      <c r="A385" s="9"/>
      <c r="B385" s="9"/>
      <c r="C385" s="9"/>
      <c r="D385" s="9"/>
      <c r="E385" s="9"/>
      <c r="F385" s="9"/>
      <c r="G385" s="59"/>
      <c r="H385" s="9"/>
    </row>
    <row r="386">
      <c r="A386" s="9"/>
      <c r="B386" s="9"/>
      <c r="C386" s="9"/>
      <c r="D386" s="9"/>
      <c r="E386" s="9"/>
      <c r="F386" s="9"/>
      <c r="G386" s="59"/>
      <c r="H386" s="9"/>
    </row>
    <row r="387">
      <c r="A387" s="9"/>
      <c r="B387" s="9"/>
      <c r="C387" s="9"/>
      <c r="D387" s="9"/>
      <c r="E387" s="9"/>
      <c r="F387" s="9"/>
      <c r="G387" s="59"/>
      <c r="H387" s="9"/>
    </row>
    <row r="388">
      <c r="A388" s="9"/>
      <c r="B388" s="9"/>
      <c r="C388" s="9"/>
      <c r="D388" s="9"/>
      <c r="E388" s="9"/>
      <c r="F388" s="9"/>
      <c r="G388" s="59"/>
      <c r="H388" s="9"/>
    </row>
    <row r="389">
      <c r="A389" s="9"/>
      <c r="B389" s="9"/>
      <c r="C389" s="9"/>
      <c r="D389" s="9"/>
      <c r="E389" s="9"/>
      <c r="F389" s="9"/>
      <c r="G389" s="59"/>
      <c r="H389" s="9"/>
    </row>
    <row r="390">
      <c r="A390" s="9"/>
      <c r="B390" s="9"/>
      <c r="C390" s="9"/>
      <c r="D390" s="9"/>
      <c r="E390" s="9"/>
      <c r="F390" s="9"/>
      <c r="G390" s="59"/>
      <c r="H390" s="9"/>
    </row>
    <row r="391">
      <c r="A391" s="9"/>
      <c r="B391" s="9"/>
      <c r="C391" s="9"/>
      <c r="D391" s="9"/>
      <c r="E391" s="9"/>
      <c r="F391" s="9"/>
      <c r="G391" s="59"/>
      <c r="H391" s="9"/>
    </row>
    <row r="392">
      <c r="A392" s="9"/>
      <c r="B392" s="9"/>
      <c r="C392" s="9"/>
      <c r="D392" s="9"/>
      <c r="E392" s="9"/>
      <c r="F392" s="9"/>
      <c r="G392" s="59"/>
      <c r="H392" s="9"/>
    </row>
    <row r="393">
      <c r="A393" s="9"/>
      <c r="B393" s="9"/>
      <c r="C393" s="9"/>
      <c r="D393" s="9"/>
      <c r="E393" s="9"/>
      <c r="F393" s="9"/>
      <c r="G393" s="59"/>
      <c r="H393" s="9"/>
    </row>
    <row r="394">
      <c r="A394" s="9"/>
      <c r="B394" s="9"/>
      <c r="C394" s="9"/>
      <c r="D394" s="9"/>
      <c r="E394" s="9"/>
      <c r="F394" s="9"/>
      <c r="G394" s="59"/>
      <c r="H394" s="9"/>
    </row>
    <row r="395">
      <c r="A395" s="9"/>
      <c r="B395" s="9"/>
      <c r="C395" s="9"/>
      <c r="D395" s="9"/>
      <c r="E395" s="9"/>
      <c r="F395" s="9"/>
      <c r="G395" s="59"/>
      <c r="H395" s="9"/>
    </row>
    <row r="396">
      <c r="A396" s="9"/>
      <c r="B396" s="9"/>
      <c r="C396" s="9"/>
      <c r="D396" s="9"/>
      <c r="E396" s="9"/>
      <c r="F396" s="9"/>
      <c r="G396" s="59"/>
      <c r="H396" s="9"/>
    </row>
    <row r="397">
      <c r="A397" s="9"/>
      <c r="B397" s="9"/>
      <c r="C397" s="9"/>
      <c r="D397" s="9"/>
      <c r="E397" s="9"/>
      <c r="F397" s="9"/>
      <c r="G397" s="59"/>
      <c r="H397" s="9"/>
    </row>
    <row r="398">
      <c r="A398" s="9"/>
      <c r="B398" s="9"/>
      <c r="C398" s="9"/>
      <c r="D398" s="9"/>
      <c r="E398" s="9"/>
      <c r="F398" s="9"/>
      <c r="G398" s="59"/>
      <c r="H398" s="9"/>
    </row>
    <row r="399">
      <c r="A399" s="9"/>
      <c r="B399" s="9"/>
      <c r="C399" s="9"/>
      <c r="D399" s="9"/>
      <c r="E399" s="9"/>
      <c r="F399" s="9"/>
      <c r="G399" s="59"/>
      <c r="H399" s="9"/>
    </row>
    <row r="400">
      <c r="A400" s="9"/>
      <c r="B400" s="9"/>
      <c r="C400" s="9"/>
      <c r="D400" s="9"/>
      <c r="E400" s="9"/>
      <c r="F400" s="9"/>
      <c r="G400" s="59"/>
      <c r="H400" s="9"/>
    </row>
    <row r="401">
      <c r="A401" s="9"/>
      <c r="B401" s="9"/>
      <c r="C401" s="9"/>
      <c r="D401" s="9"/>
      <c r="E401" s="9"/>
      <c r="F401" s="9"/>
      <c r="G401" s="59"/>
      <c r="H401" s="9"/>
    </row>
    <row r="402">
      <c r="A402" s="9"/>
      <c r="B402" s="9"/>
      <c r="C402" s="9"/>
      <c r="D402" s="9"/>
      <c r="E402" s="9"/>
      <c r="F402" s="9"/>
      <c r="G402" s="59"/>
      <c r="H402" s="9"/>
    </row>
    <row r="403">
      <c r="A403" s="9"/>
      <c r="B403" s="9"/>
      <c r="C403" s="9"/>
      <c r="D403" s="9"/>
      <c r="E403" s="9"/>
      <c r="F403" s="9"/>
      <c r="G403" s="59"/>
      <c r="H403" s="9"/>
    </row>
    <row r="404">
      <c r="A404" s="9"/>
      <c r="B404" s="9"/>
      <c r="C404" s="9"/>
      <c r="D404" s="9"/>
      <c r="E404" s="9"/>
      <c r="F404" s="9"/>
      <c r="G404" s="59"/>
      <c r="H404" s="9"/>
    </row>
    <row r="405">
      <c r="A405" s="9"/>
      <c r="B405" s="9"/>
      <c r="C405" s="9"/>
      <c r="D405" s="9"/>
      <c r="E405" s="9"/>
      <c r="F405" s="9"/>
      <c r="G405" s="59"/>
      <c r="H405" s="9"/>
    </row>
    <row r="406">
      <c r="A406" s="9"/>
      <c r="B406" s="9"/>
      <c r="C406" s="9"/>
      <c r="D406" s="9"/>
      <c r="E406" s="9"/>
      <c r="F406" s="9"/>
      <c r="G406" s="59"/>
      <c r="H406" s="9"/>
    </row>
    <row r="407">
      <c r="A407" s="9"/>
      <c r="B407" s="9"/>
      <c r="C407" s="9"/>
      <c r="D407" s="9"/>
      <c r="E407" s="9"/>
      <c r="F407" s="9"/>
      <c r="G407" s="59"/>
      <c r="H407" s="9"/>
    </row>
    <row r="408">
      <c r="A408" s="9"/>
      <c r="B408" s="9"/>
      <c r="C408" s="9"/>
      <c r="D408" s="9"/>
      <c r="E408" s="9"/>
      <c r="F408" s="9"/>
      <c r="G408" s="59"/>
      <c r="H408" s="9"/>
    </row>
    <row r="409">
      <c r="A409" s="9"/>
      <c r="B409" s="9"/>
      <c r="C409" s="9"/>
      <c r="D409" s="9"/>
      <c r="E409" s="9"/>
      <c r="F409" s="9"/>
      <c r="G409" s="59"/>
      <c r="H409" s="9"/>
    </row>
    <row r="410">
      <c r="A410" s="9"/>
      <c r="B410" s="9"/>
      <c r="C410" s="9"/>
      <c r="D410" s="9"/>
      <c r="E410" s="9"/>
      <c r="F410" s="9"/>
      <c r="G410" s="59"/>
      <c r="H410" s="9"/>
    </row>
    <row r="411">
      <c r="A411" s="9"/>
      <c r="B411" s="9"/>
      <c r="C411" s="9"/>
      <c r="D411" s="9"/>
      <c r="E411" s="9"/>
      <c r="F411" s="9"/>
      <c r="G411" s="59"/>
      <c r="H411" s="9"/>
    </row>
    <row r="412">
      <c r="A412" s="9"/>
      <c r="B412" s="9"/>
      <c r="C412" s="9"/>
      <c r="D412" s="9"/>
      <c r="E412" s="9"/>
      <c r="F412" s="9"/>
      <c r="G412" s="59"/>
      <c r="H412" s="9"/>
    </row>
    <row r="413">
      <c r="A413" s="9"/>
      <c r="B413" s="9"/>
      <c r="C413" s="9"/>
      <c r="D413" s="9"/>
      <c r="E413" s="9"/>
      <c r="F413" s="9"/>
      <c r="G413" s="59"/>
      <c r="H413" s="9"/>
    </row>
    <row r="414">
      <c r="A414" s="9"/>
      <c r="B414" s="9"/>
      <c r="C414" s="9"/>
      <c r="D414" s="9"/>
      <c r="E414" s="9"/>
      <c r="F414" s="9"/>
      <c r="G414" s="59"/>
      <c r="H414" s="9"/>
    </row>
    <row r="415">
      <c r="A415" s="9"/>
      <c r="B415" s="9"/>
      <c r="C415" s="9"/>
      <c r="D415" s="9"/>
      <c r="E415" s="9"/>
      <c r="F415" s="9"/>
      <c r="G415" s="59"/>
      <c r="H415" s="9"/>
    </row>
    <row r="416">
      <c r="A416" s="9"/>
      <c r="B416" s="9"/>
      <c r="C416" s="9"/>
      <c r="D416" s="9"/>
      <c r="E416" s="9"/>
      <c r="F416" s="9"/>
      <c r="G416" s="59"/>
      <c r="H416" s="9"/>
    </row>
    <row r="417">
      <c r="A417" s="9"/>
      <c r="B417" s="9"/>
      <c r="C417" s="9"/>
      <c r="D417" s="9"/>
      <c r="E417" s="9"/>
      <c r="F417" s="9"/>
      <c r="G417" s="59"/>
      <c r="H417" s="9"/>
    </row>
    <row r="418">
      <c r="A418" s="9"/>
      <c r="B418" s="9"/>
      <c r="C418" s="9"/>
      <c r="D418" s="9"/>
      <c r="E418" s="9"/>
      <c r="F418" s="9"/>
      <c r="G418" s="59"/>
      <c r="H418" s="9"/>
    </row>
    <row r="419">
      <c r="A419" s="9"/>
      <c r="B419" s="9"/>
      <c r="C419" s="9"/>
      <c r="D419" s="9"/>
      <c r="E419" s="9"/>
      <c r="F419" s="9"/>
      <c r="G419" s="59"/>
      <c r="H419" s="9"/>
    </row>
    <row r="420">
      <c r="A420" s="9"/>
      <c r="B420" s="9"/>
      <c r="C420" s="9"/>
      <c r="D420" s="9"/>
      <c r="E420" s="9"/>
      <c r="F420" s="9"/>
      <c r="G420" s="59"/>
      <c r="H420" s="9"/>
    </row>
    <row r="421">
      <c r="A421" s="9"/>
      <c r="B421" s="9"/>
      <c r="C421" s="9"/>
      <c r="D421" s="9"/>
      <c r="E421" s="9"/>
      <c r="F421" s="9"/>
      <c r="G421" s="59"/>
      <c r="H421" s="9"/>
    </row>
    <row r="422">
      <c r="A422" s="9"/>
      <c r="B422" s="9"/>
      <c r="C422" s="9"/>
      <c r="D422" s="9"/>
      <c r="E422" s="9"/>
      <c r="F422" s="9"/>
      <c r="G422" s="59"/>
      <c r="H422" s="9"/>
    </row>
    <row r="423">
      <c r="A423" s="9"/>
      <c r="B423" s="9"/>
      <c r="C423" s="9"/>
      <c r="D423" s="9"/>
      <c r="E423" s="9"/>
      <c r="F423" s="9"/>
      <c r="G423" s="59"/>
      <c r="H423" s="9"/>
    </row>
    <row r="424">
      <c r="A424" s="9"/>
      <c r="B424" s="9"/>
      <c r="C424" s="9"/>
      <c r="D424" s="9"/>
      <c r="E424" s="9"/>
      <c r="F424" s="9"/>
      <c r="G424" s="59"/>
      <c r="H424" s="9"/>
    </row>
    <row r="425">
      <c r="A425" s="9"/>
      <c r="B425" s="9"/>
      <c r="C425" s="9"/>
      <c r="D425" s="9"/>
      <c r="E425" s="9"/>
      <c r="F425" s="9"/>
      <c r="G425" s="59"/>
      <c r="H425" s="9"/>
    </row>
    <row r="426">
      <c r="A426" s="9"/>
      <c r="B426" s="9"/>
      <c r="C426" s="9"/>
      <c r="D426" s="9"/>
      <c r="E426" s="9"/>
      <c r="F426" s="9"/>
      <c r="G426" s="59"/>
      <c r="H426" s="9"/>
    </row>
    <row r="427">
      <c r="A427" s="9"/>
      <c r="B427" s="9"/>
      <c r="C427" s="9"/>
      <c r="D427" s="9"/>
      <c r="E427" s="9"/>
      <c r="F427" s="9"/>
      <c r="G427" s="59"/>
      <c r="H427" s="9"/>
    </row>
    <row r="428">
      <c r="A428" s="9"/>
      <c r="B428" s="9"/>
      <c r="C428" s="9"/>
      <c r="D428" s="9"/>
      <c r="E428" s="9"/>
      <c r="F428" s="9"/>
      <c r="G428" s="59"/>
      <c r="H428" s="9"/>
    </row>
    <row r="429">
      <c r="A429" s="9"/>
      <c r="B429" s="9"/>
      <c r="C429" s="9"/>
      <c r="D429" s="9"/>
      <c r="E429" s="9"/>
      <c r="F429" s="9"/>
      <c r="G429" s="59"/>
      <c r="H429" s="9"/>
    </row>
    <row r="430">
      <c r="A430" s="9"/>
      <c r="B430" s="9"/>
      <c r="C430" s="9"/>
      <c r="D430" s="9"/>
      <c r="E430" s="9"/>
      <c r="F430" s="9"/>
      <c r="G430" s="59"/>
      <c r="H430" s="9"/>
    </row>
    <row r="431">
      <c r="A431" s="9"/>
      <c r="B431" s="9"/>
      <c r="C431" s="9"/>
      <c r="D431" s="9"/>
      <c r="E431" s="9"/>
      <c r="F431" s="9"/>
      <c r="G431" s="59"/>
      <c r="H431" s="9"/>
    </row>
    <row r="432">
      <c r="A432" s="9"/>
      <c r="B432" s="9"/>
      <c r="C432" s="9"/>
      <c r="D432" s="9"/>
      <c r="E432" s="9"/>
      <c r="F432" s="9"/>
      <c r="G432" s="59"/>
      <c r="H432" s="9"/>
    </row>
    <row r="433">
      <c r="A433" s="9"/>
      <c r="B433" s="9"/>
      <c r="C433" s="9"/>
      <c r="D433" s="9"/>
      <c r="E433" s="9"/>
      <c r="F433" s="9"/>
      <c r="G433" s="59"/>
      <c r="H433" s="9"/>
    </row>
    <row r="434">
      <c r="A434" s="9"/>
      <c r="B434" s="9"/>
      <c r="C434" s="9"/>
      <c r="D434" s="9"/>
      <c r="E434" s="9"/>
      <c r="F434" s="9"/>
      <c r="G434" s="59"/>
      <c r="H434" s="9"/>
    </row>
    <row r="435">
      <c r="A435" s="9"/>
      <c r="B435" s="9"/>
      <c r="C435" s="9"/>
      <c r="D435" s="9"/>
      <c r="E435" s="9"/>
      <c r="F435" s="9"/>
      <c r="G435" s="59"/>
      <c r="H435" s="9"/>
    </row>
    <row r="436">
      <c r="A436" s="9"/>
      <c r="B436" s="9"/>
      <c r="C436" s="9"/>
      <c r="D436" s="9"/>
      <c r="E436" s="9"/>
      <c r="F436" s="9"/>
      <c r="G436" s="59"/>
      <c r="H436" s="9"/>
    </row>
    <row r="437">
      <c r="A437" s="9"/>
      <c r="B437" s="9"/>
      <c r="C437" s="9"/>
      <c r="D437" s="9"/>
      <c r="E437" s="9"/>
      <c r="F437" s="9"/>
      <c r="G437" s="59"/>
      <c r="H437" s="9"/>
    </row>
    <row r="438">
      <c r="A438" s="9"/>
      <c r="B438" s="9"/>
      <c r="C438" s="9"/>
      <c r="D438" s="9"/>
      <c r="E438" s="9"/>
      <c r="F438" s="9"/>
      <c r="G438" s="59"/>
      <c r="H438" s="9"/>
    </row>
    <row r="439">
      <c r="A439" s="9"/>
      <c r="B439" s="9"/>
      <c r="C439" s="9"/>
      <c r="D439" s="9"/>
      <c r="E439" s="9"/>
      <c r="F439" s="9"/>
      <c r="G439" s="59"/>
      <c r="H439" s="9"/>
    </row>
    <row r="440">
      <c r="A440" s="9"/>
      <c r="B440" s="9"/>
      <c r="C440" s="9"/>
      <c r="D440" s="9"/>
      <c r="E440" s="9"/>
      <c r="F440" s="9"/>
      <c r="G440" s="59"/>
      <c r="H440" s="9"/>
    </row>
    <row r="441">
      <c r="A441" s="9"/>
      <c r="B441" s="9"/>
      <c r="C441" s="9"/>
      <c r="D441" s="9"/>
      <c r="E441" s="9"/>
      <c r="F441" s="9"/>
      <c r="G441" s="59"/>
      <c r="H441" s="9"/>
    </row>
    <row r="442">
      <c r="A442" s="9"/>
      <c r="B442" s="9"/>
      <c r="C442" s="9"/>
      <c r="D442" s="9"/>
      <c r="E442" s="9"/>
      <c r="F442" s="9"/>
      <c r="G442" s="59"/>
      <c r="H442" s="9"/>
    </row>
    <row r="443">
      <c r="A443" s="9"/>
      <c r="B443" s="9"/>
      <c r="C443" s="9"/>
      <c r="D443" s="9"/>
      <c r="E443" s="9"/>
      <c r="F443" s="9"/>
      <c r="G443" s="59"/>
      <c r="H443" s="9"/>
    </row>
    <row r="444">
      <c r="A444" s="9"/>
      <c r="B444" s="9"/>
      <c r="C444" s="9"/>
      <c r="D444" s="9"/>
      <c r="E444" s="9"/>
      <c r="F444" s="9"/>
      <c r="G444" s="59"/>
      <c r="H444" s="9"/>
    </row>
    <row r="445">
      <c r="A445" s="9"/>
      <c r="B445" s="9"/>
      <c r="C445" s="9"/>
      <c r="D445" s="9"/>
      <c r="E445" s="9"/>
      <c r="F445" s="9"/>
      <c r="G445" s="59"/>
      <c r="H445" s="9"/>
    </row>
    <row r="446">
      <c r="A446" s="9"/>
      <c r="B446" s="9"/>
      <c r="C446" s="9"/>
      <c r="D446" s="9"/>
      <c r="E446" s="9"/>
      <c r="F446" s="9"/>
      <c r="G446" s="59"/>
      <c r="H446" s="9"/>
    </row>
    <row r="447">
      <c r="A447" s="9"/>
      <c r="B447" s="9"/>
      <c r="C447" s="9"/>
      <c r="D447" s="9"/>
      <c r="E447" s="9"/>
      <c r="F447" s="9"/>
      <c r="G447" s="59"/>
      <c r="H447" s="9"/>
    </row>
    <row r="448">
      <c r="A448" s="9"/>
      <c r="B448" s="9"/>
      <c r="C448" s="9"/>
      <c r="D448" s="9"/>
      <c r="E448" s="9"/>
      <c r="F448" s="9"/>
      <c r="G448" s="59"/>
      <c r="H448" s="9"/>
    </row>
    <row r="449">
      <c r="A449" s="9"/>
      <c r="B449" s="9"/>
      <c r="C449" s="9"/>
      <c r="D449" s="9"/>
      <c r="E449" s="9"/>
      <c r="F449" s="9"/>
      <c r="G449" s="59"/>
      <c r="H449" s="9"/>
    </row>
    <row r="450">
      <c r="A450" s="9"/>
      <c r="B450" s="9"/>
      <c r="C450" s="9"/>
      <c r="D450" s="9"/>
      <c r="E450" s="9"/>
      <c r="F450" s="9"/>
      <c r="G450" s="59"/>
      <c r="H450" s="9"/>
    </row>
    <row r="451">
      <c r="A451" s="9"/>
      <c r="B451" s="9"/>
      <c r="C451" s="9"/>
      <c r="D451" s="9"/>
      <c r="E451" s="9"/>
      <c r="F451" s="9"/>
      <c r="G451" s="59"/>
      <c r="H451" s="9"/>
    </row>
    <row r="452">
      <c r="A452" s="9"/>
      <c r="B452" s="9"/>
      <c r="C452" s="9"/>
      <c r="D452" s="9"/>
      <c r="E452" s="9"/>
      <c r="F452" s="9"/>
      <c r="G452" s="59"/>
      <c r="H452" s="9"/>
    </row>
    <row r="453">
      <c r="A453" s="9"/>
      <c r="B453" s="9"/>
      <c r="C453" s="9"/>
      <c r="D453" s="9"/>
      <c r="E453" s="9"/>
      <c r="F453" s="9"/>
      <c r="G453" s="59"/>
      <c r="H453" s="9"/>
    </row>
    <row r="454">
      <c r="A454" s="9"/>
      <c r="B454" s="9"/>
      <c r="C454" s="9"/>
      <c r="D454" s="9"/>
      <c r="E454" s="9"/>
      <c r="F454" s="9"/>
      <c r="G454" s="59"/>
      <c r="H454" s="9"/>
    </row>
    <row r="455">
      <c r="A455" s="9"/>
      <c r="B455" s="9"/>
      <c r="C455" s="9"/>
      <c r="D455" s="9"/>
      <c r="E455" s="9"/>
      <c r="F455" s="9"/>
      <c r="G455" s="59"/>
      <c r="H455" s="9"/>
    </row>
    <row r="456">
      <c r="A456" s="9"/>
      <c r="B456" s="9"/>
      <c r="C456" s="9"/>
      <c r="D456" s="9"/>
      <c r="E456" s="9"/>
      <c r="F456" s="9"/>
      <c r="G456" s="59"/>
      <c r="H456" s="9"/>
    </row>
    <row r="457">
      <c r="A457" s="9"/>
      <c r="B457" s="9"/>
      <c r="C457" s="9"/>
      <c r="D457" s="9"/>
      <c r="E457" s="9"/>
      <c r="F457" s="9"/>
      <c r="G457" s="59"/>
      <c r="H457" s="9"/>
    </row>
    <row r="458">
      <c r="A458" s="9"/>
      <c r="B458" s="9"/>
      <c r="C458" s="9"/>
      <c r="D458" s="9"/>
      <c r="E458" s="9"/>
      <c r="F458" s="9"/>
      <c r="G458" s="59"/>
      <c r="H458" s="9"/>
    </row>
    <row r="459">
      <c r="A459" s="9"/>
      <c r="B459" s="9"/>
      <c r="C459" s="9"/>
      <c r="D459" s="9"/>
      <c r="E459" s="9"/>
      <c r="F459" s="9"/>
      <c r="G459" s="59"/>
      <c r="H459" s="9"/>
    </row>
    <row r="460">
      <c r="A460" s="9"/>
      <c r="B460" s="9"/>
      <c r="C460" s="9"/>
      <c r="D460" s="9"/>
      <c r="E460" s="9"/>
      <c r="F460" s="9"/>
      <c r="G460" s="59"/>
      <c r="H460" s="9"/>
    </row>
    <row r="461">
      <c r="A461" s="9"/>
      <c r="B461" s="9"/>
      <c r="C461" s="9"/>
      <c r="D461" s="9"/>
      <c r="E461" s="9"/>
      <c r="F461" s="9"/>
      <c r="G461" s="59"/>
      <c r="H461" s="9"/>
    </row>
    <row r="462">
      <c r="A462" s="9"/>
      <c r="B462" s="9"/>
      <c r="C462" s="9"/>
      <c r="D462" s="9"/>
      <c r="E462" s="9"/>
      <c r="F462" s="9"/>
      <c r="G462" s="59"/>
      <c r="H462" s="9"/>
    </row>
    <row r="463">
      <c r="A463" s="9"/>
      <c r="B463" s="9"/>
      <c r="C463" s="9"/>
      <c r="D463" s="9"/>
      <c r="E463" s="9"/>
      <c r="F463" s="9"/>
      <c r="G463" s="59"/>
      <c r="H463" s="9"/>
    </row>
    <row r="464">
      <c r="A464" s="9"/>
      <c r="B464" s="9"/>
      <c r="C464" s="9"/>
      <c r="D464" s="9"/>
      <c r="E464" s="9"/>
      <c r="F464" s="9"/>
      <c r="G464" s="59"/>
      <c r="H464" s="9"/>
    </row>
    <row r="465">
      <c r="A465" s="9"/>
      <c r="B465" s="9"/>
      <c r="C465" s="9"/>
      <c r="D465" s="9"/>
      <c r="E465" s="9"/>
      <c r="F465" s="9"/>
      <c r="G465" s="59"/>
      <c r="H465" s="9"/>
    </row>
    <row r="466">
      <c r="A466" s="9"/>
      <c r="B466" s="9"/>
      <c r="C466" s="9"/>
      <c r="D466" s="9"/>
      <c r="E466" s="9"/>
      <c r="F466" s="9"/>
      <c r="G466" s="59"/>
      <c r="H466" s="9"/>
    </row>
    <row r="467">
      <c r="A467" s="9"/>
      <c r="B467" s="9"/>
      <c r="C467" s="9"/>
      <c r="D467" s="9"/>
      <c r="E467" s="9"/>
      <c r="F467" s="9"/>
      <c r="G467" s="59"/>
      <c r="H467" s="9"/>
    </row>
    <row r="468">
      <c r="A468" s="9"/>
      <c r="B468" s="9"/>
      <c r="C468" s="9"/>
      <c r="D468" s="9"/>
      <c r="E468" s="9"/>
      <c r="F468" s="9"/>
      <c r="G468" s="59"/>
      <c r="H468" s="9"/>
    </row>
    <row r="469">
      <c r="A469" s="9"/>
      <c r="B469" s="9"/>
      <c r="C469" s="9"/>
      <c r="D469" s="9"/>
      <c r="E469" s="9"/>
      <c r="F469" s="9"/>
      <c r="G469" s="59"/>
      <c r="H469" s="9"/>
    </row>
    <row r="470">
      <c r="A470" s="9"/>
      <c r="B470" s="9"/>
      <c r="C470" s="9"/>
      <c r="D470" s="9"/>
      <c r="E470" s="9"/>
      <c r="F470" s="9"/>
      <c r="G470" s="59"/>
      <c r="H470" s="9"/>
    </row>
    <row r="471">
      <c r="A471" s="9"/>
      <c r="B471" s="9"/>
      <c r="C471" s="9"/>
      <c r="D471" s="9"/>
      <c r="E471" s="9"/>
      <c r="F471" s="9"/>
      <c r="G471" s="59"/>
      <c r="H471" s="9"/>
    </row>
    <row r="472">
      <c r="A472" s="9"/>
      <c r="B472" s="9"/>
      <c r="C472" s="9"/>
      <c r="D472" s="9"/>
      <c r="E472" s="9"/>
      <c r="F472" s="9"/>
      <c r="G472" s="59"/>
      <c r="H472" s="9"/>
    </row>
    <row r="473">
      <c r="A473" s="9"/>
      <c r="B473" s="9"/>
      <c r="C473" s="9"/>
      <c r="D473" s="9"/>
      <c r="E473" s="9"/>
      <c r="F473" s="9"/>
      <c r="G473" s="59"/>
      <c r="H473" s="9"/>
    </row>
    <row r="474">
      <c r="A474" s="9"/>
      <c r="B474" s="9"/>
      <c r="C474" s="9"/>
      <c r="D474" s="9"/>
      <c r="E474" s="9"/>
      <c r="F474" s="9"/>
      <c r="G474" s="59"/>
      <c r="H474" s="9"/>
    </row>
    <row r="475">
      <c r="A475" s="9"/>
      <c r="B475" s="9"/>
      <c r="C475" s="9"/>
      <c r="D475" s="9"/>
      <c r="E475" s="9"/>
      <c r="F475" s="9"/>
      <c r="G475" s="59"/>
      <c r="H475" s="9"/>
    </row>
    <row r="476">
      <c r="A476" s="9"/>
      <c r="B476" s="9"/>
      <c r="C476" s="9"/>
      <c r="D476" s="9"/>
      <c r="E476" s="9"/>
      <c r="F476" s="9"/>
      <c r="G476" s="59"/>
      <c r="H476" s="9"/>
    </row>
    <row r="477">
      <c r="A477" s="9"/>
      <c r="B477" s="9"/>
      <c r="C477" s="9"/>
      <c r="D477" s="9"/>
      <c r="E477" s="9"/>
      <c r="F477" s="9"/>
      <c r="G477" s="59"/>
      <c r="H477" s="9"/>
    </row>
    <row r="478">
      <c r="A478" s="9"/>
      <c r="B478" s="9"/>
      <c r="C478" s="9"/>
      <c r="D478" s="9"/>
      <c r="E478" s="9"/>
      <c r="F478" s="9"/>
      <c r="G478" s="59"/>
      <c r="H478" s="9"/>
    </row>
    <row r="479">
      <c r="A479" s="9"/>
      <c r="B479" s="9"/>
      <c r="C479" s="9"/>
      <c r="D479" s="9"/>
      <c r="E479" s="9"/>
      <c r="F479" s="9"/>
      <c r="G479" s="59"/>
      <c r="H479" s="9"/>
    </row>
    <row r="480">
      <c r="A480" s="9"/>
      <c r="B480" s="9"/>
      <c r="C480" s="9"/>
      <c r="D480" s="9"/>
      <c r="E480" s="9"/>
      <c r="F480" s="9"/>
      <c r="G480" s="59"/>
      <c r="H480" s="9"/>
    </row>
    <row r="481">
      <c r="A481" s="9"/>
      <c r="B481" s="9"/>
      <c r="C481" s="9"/>
      <c r="D481" s="9"/>
      <c r="E481" s="9"/>
      <c r="F481" s="9"/>
      <c r="G481" s="59"/>
      <c r="H481" s="9"/>
    </row>
    <row r="482">
      <c r="A482" s="9"/>
      <c r="B482" s="9"/>
      <c r="C482" s="9"/>
      <c r="D482" s="9"/>
      <c r="E482" s="9"/>
      <c r="F482" s="9"/>
      <c r="G482" s="59"/>
      <c r="H482" s="9"/>
    </row>
    <row r="483">
      <c r="A483" s="9"/>
      <c r="B483" s="9"/>
      <c r="C483" s="9"/>
      <c r="D483" s="9"/>
      <c r="E483" s="9"/>
      <c r="F483" s="9"/>
      <c r="G483" s="59"/>
      <c r="H483" s="9"/>
    </row>
    <row r="484">
      <c r="A484" s="9"/>
      <c r="B484" s="9"/>
      <c r="C484" s="9"/>
      <c r="D484" s="9"/>
      <c r="E484" s="9"/>
      <c r="F484" s="9"/>
      <c r="G484" s="59"/>
      <c r="H484" s="9"/>
    </row>
    <row r="485">
      <c r="A485" s="9"/>
      <c r="B485" s="9"/>
      <c r="C485" s="9"/>
      <c r="D485" s="9"/>
      <c r="E485" s="9"/>
      <c r="F485" s="9"/>
      <c r="G485" s="59"/>
      <c r="H485" s="9"/>
    </row>
    <row r="486">
      <c r="A486" s="9"/>
      <c r="B486" s="9"/>
      <c r="C486" s="9"/>
      <c r="D486" s="9"/>
      <c r="E486" s="9"/>
      <c r="F486" s="9"/>
      <c r="G486" s="59"/>
      <c r="H486" s="9"/>
    </row>
    <row r="487">
      <c r="A487" s="9"/>
      <c r="B487" s="9"/>
      <c r="C487" s="9"/>
      <c r="D487" s="9"/>
      <c r="E487" s="9"/>
      <c r="F487" s="9"/>
      <c r="G487" s="59"/>
      <c r="H487" s="9"/>
    </row>
    <row r="488">
      <c r="A488" s="9"/>
      <c r="B488" s="9"/>
      <c r="C488" s="9"/>
      <c r="D488" s="9"/>
      <c r="E488" s="9"/>
      <c r="F488" s="9"/>
      <c r="G488" s="59"/>
      <c r="H488" s="9"/>
    </row>
    <row r="489">
      <c r="A489" s="9"/>
      <c r="B489" s="9"/>
      <c r="C489" s="9"/>
      <c r="D489" s="9"/>
      <c r="E489" s="9"/>
      <c r="F489" s="9"/>
      <c r="G489" s="59"/>
      <c r="H489" s="9"/>
    </row>
    <row r="490">
      <c r="A490" s="9"/>
      <c r="B490" s="9"/>
      <c r="C490" s="9"/>
      <c r="D490" s="9"/>
      <c r="E490" s="9"/>
      <c r="F490" s="9"/>
      <c r="G490" s="59"/>
      <c r="H490" s="9"/>
    </row>
    <row r="491">
      <c r="A491" s="9"/>
      <c r="B491" s="9"/>
      <c r="C491" s="9"/>
      <c r="D491" s="9"/>
      <c r="E491" s="9"/>
      <c r="F491" s="9"/>
      <c r="G491" s="59"/>
      <c r="H491" s="9"/>
    </row>
    <row r="492">
      <c r="A492" s="9"/>
      <c r="B492" s="9"/>
      <c r="C492" s="9"/>
      <c r="D492" s="9"/>
      <c r="E492" s="9"/>
      <c r="F492" s="9"/>
      <c r="G492" s="59"/>
      <c r="H492" s="9"/>
    </row>
    <row r="493">
      <c r="A493" s="9"/>
      <c r="B493" s="9"/>
      <c r="C493" s="9"/>
      <c r="D493" s="9"/>
      <c r="E493" s="9"/>
      <c r="F493" s="9"/>
      <c r="G493" s="59"/>
      <c r="H493" s="9"/>
    </row>
    <row r="494">
      <c r="A494" s="9"/>
      <c r="B494" s="9"/>
      <c r="C494" s="9"/>
      <c r="D494" s="9"/>
      <c r="E494" s="9"/>
      <c r="F494" s="9"/>
      <c r="G494" s="59"/>
      <c r="H494" s="9"/>
    </row>
    <row r="495">
      <c r="A495" s="9"/>
      <c r="B495" s="9"/>
      <c r="C495" s="9"/>
      <c r="D495" s="9"/>
      <c r="E495" s="9"/>
      <c r="F495" s="9"/>
      <c r="G495" s="59"/>
      <c r="H495" s="9"/>
    </row>
    <row r="496">
      <c r="A496" s="9"/>
      <c r="B496" s="9"/>
      <c r="C496" s="9"/>
      <c r="D496" s="9"/>
      <c r="E496" s="9"/>
      <c r="F496" s="9"/>
      <c r="G496" s="59"/>
      <c r="H496" s="9"/>
    </row>
    <row r="497">
      <c r="A497" s="9"/>
      <c r="B497" s="9"/>
      <c r="C497" s="9"/>
      <c r="D497" s="9"/>
      <c r="E497" s="9"/>
      <c r="F497" s="9"/>
      <c r="G497" s="59"/>
      <c r="H497" s="9"/>
    </row>
    <row r="498">
      <c r="A498" s="9"/>
      <c r="B498" s="9"/>
      <c r="C498" s="9"/>
      <c r="D498" s="9"/>
      <c r="E498" s="9"/>
      <c r="F498" s="9"/>
      <c r="G498" s="59"/>
      <c r="H498" s="9"/>
    </row>
    <row r="499">
      <c r="A499" s="9"/>
      <c r="B499" s="9"/>
      <c r="C499" s="9"/>
      <c r="D499" s="9"/>
      <c r="E499" s="9"/>
      <c r="F499" s="9"/>
      <c r="G499" s="59"/>
      <c r="H499" s="9"/>
    </row>
    <row r="500">
      <c r="A500" s="9"/>
      <c r="B500" s="9"/>
      <c r="C500" s="9"/>
      <c r="D500" s="9"/>
      <c r="E500" s="9"/>
      <c r="F500" s="9"/>
      <c r="G500" s="59"/>
      <c r="H500" s="9"/>
    </row>
    <row r="501">
      <c r="A501" s="9"/>
      <c r="B501" s="9"/>
      <c r="C501" s="9"/>
      <c r="D501" s="9"/>
      <c r="E501" s="9"/>
      <c r="F501" s="9"/>
      <c r="G501" s="59"/>
      <c r="H501" s="9"/>
    </row>
    <row r="502">
      <c r="A502" s="9"/>
      <c r="B502" s="9"/>
      <c r="C502" s="9"/>
      <c r="D502" s="9"/>
      <c r="E502" s="9"/>
      <c r="F502" s="9"/>
      <c r="G502" s="59"/>
      <c r="H502" s="9"/>
    </row>
    <row r="503">
      <c r="A503" s="9"/>
      <c r="B503" s="9"/>
      <c r="C503" s="9"/>
      <c r="D503" s="9"/>
      <c r="E503" s="9"/>
      <c r="F503" s="9"/>
      <c r="G503" s="59"/>
      <c r="H503" s="9"/>
    </row>
    <row r="504">
      <c r="A504" s="9"/>
      <c r="B504" s="9"/>
      <c r="C504" s="9"/>
      <c r="D504" s="9"/>
      <c r="E504" s="9"/>
      <c r="F504" s="9"/>
      <c r="G504" s="59"/>
      <c r="H504" s="9"/>
    </row>
    <row r="505">
      <c r="A505" s="9"/>
      <c r="B505" s="9"/>
      <c r="C505" s="9"/>
      <c r="D505" s="9"/>
      <c r="E505" s="9"/>
      <c r="F505" s="9"/>
      <c r="G505" s="59"/>
      <c r="H505" s="9"/>
    </row>
    <row r="506">
      <c r="A506" s="9"/>
      <c r="B506" s="9"/>
      <c r="C506" s="9"/>
      <c r="D506" s="9"/>
      <c r="E506" s="9"/>
      <c r="F506" s="9"/>
      <c r="G506" s="59"/>
      <c r="H506" s="9"/>
    </row>
    <row r="507">
      <c r="A507" s="9"/>
      <c r="B507" s="9"/>
      <c r="C507" s="9"/>
      <c r="D507" s="9"/>
      <c r="E507" s="9"/>
      <c r="F507" s="9"/>
      <c r="G507" s="59"/>
      <c r="H507" s="9"/>
    </row>
    <row r="508">
      <c r="A508" s="9"/>
      <c r="B508" s="9"/>
      <c r="C508" s="9"/>
      <c r="D508" s="9"/>
      <c r="E508" s="9"/>
      <c r="F508" s="9"/>
      <c r="G508" s="59"/>
      <c r="H508" s="9"/>
    </row>
    <row r="509">
      <c r="A509" s="9"/>
      <c r="B509" s="9"/>
      <c r="C509" s="9"/>
      <c r="D509" s="9"/>
      <c r="E509" s="9"/>
      <c r="F509" s="9"/>
      <c r="G509" s="59"/>
      <c r="H509" s="9"/>
    </row>
    <row r="510">
      <c r="A510" s="9"/>
      <c r="B510" s="9"/>
      <c r="C510" s="9"/>
      <c r="D510" s="9"/>
      <c r="E510" s="9"/>
      <c r="F510" s="9"/>
      <c r="G510" s="59"/>
      <c r="H510" s="9"/>
    </row>
    <row r="511">
      <c r="A511" s="9"/>
      <c r="B511" s="9"/>
      <c r="C511" s="9"/>
      <c r="D511" s="9"/>
      <c r="E511" s="9"/>
      <c r="F511" s="9"/>
      <c r="G511" s="59"/>
      <c r="H511" s="9"/>
    </row>
    <row r="512">
      <c r="A512" s="9"/>
      <c r="B512" s="9"/>
      <c r="C512" s="9"/>
      <c r="D512" s="9"/>
      <c r="E512" s="9"/>
      <c r="F512" s="9"/>
      <c r="G512" s="59"/>
      <c r="H512" s="9"/>
    </row>
    <row r="513">
      <c r="A513" s="9"/>
      <c r="B513" s="9"/>
      <c r="C513" s="9"/>
      <c r="D513" s="9"/>
      <c r="E513" s="9"/>
      <c r="F513" s="9"/>
      <c r="G513" s="59"/>
      <c r="H513" s="9"/>
    </row>
    <row r="514">
      <c r="A514" s="9"/>
      <c r="B514" s="9"/>
      <c r="C514" s="9"/>
      <c r="D514" s="9"/>
      <c r="E514" s="9"/>
      <c r="F514" s="9"/>
      <c r="G514" s="59"/>
      <c r="H514" s="9"/>
    </row>
    <row r="515">
      <c r="A515" s="9"/>
      <c r="B515" s="9"/>
      <c r="C515" s="9"/>
      <c r="D515" s="9"/>
      <c r="E515" s="9"/>
      <c r="F515" s="9"/>
      <c r="G515" s="59"/>
      <c r="H515" s="9"/>
    </row>
    <row r="516">
      <c r="A516" s="9"/>
      <c r="B516" s="9"/>
      <c r="C516" s="9"/>
      <c r="D516" s="9"/>
      <c r="E516" s="9"/>
      <c r="F516" s="9"/>
      <c r="G516" s="59"/>
      <c r="H516" s="9"/>
    </row>
    <row r="517">
      <c r="A517" s="9"/>
      <c r="B517" s="9"/>
      <c r="C517" s="9"/>
      <c r="D517" s="9"/>
      <c r="E517" s="9"/>
      <c r="F517" s="9"/>
      <c r="G517" s="59"/>
      <c r="H517" s="9"/>
    </row>
    <row r="518">
      <c r="A518" s="9"/>
      <c r="B518" s="9"/>
      <c r="C518" s="9"/>
      <c r="D518" s="9"/>
      <c r="E518" s="9"/>
      <c r="F518" s="9"/>
      <c r="G518" s="59"/>
      <c r="H518" s="9"/>
    </row>
    <row r="519">
      <c r="A519" s="9"/>
      <c r="B519" s="9"/>
      <c r="C519" s="9"/>
      <c r="D519" s="9"/>
      <c r="E519" s="9"/>
      <c r="F519" s="9"/>
      <c r="G519" s="59"/>
      <c r="H519" s="9"/>
    </row>
    <row r="520">
      <c r="A520" s="9"/>
      <c r="B520" s="9"/>
      <c r="C520" s="9"/>
      <c r="D520" s="9"/>
      <c r="E520" s="9"/>
      <c r="F520" s="9"/>
      <c r="G520" s="59"/>
      <c r="H520" s="9"/>
    </row>
    <row r="521">
      <c r="A521" s="9"/>
      <c r="B521" s="9"/>
      <c r="C521" s="9"/>
      <c r="D521" s="9"/>
      <c r="E521" s="9"/>
      <c r="F521" s="9"/>
      <c r="G521" s="59"/>
      <c r="H521" s="9"/>
    </row>
    <row r="522">
      <c r="A522" s="9"/>
      <c r="B522" s="9"/>
      <c r="C522" s="9"/>
      <c r="D522" s="9"/>
      <c r="E522" s="9"/>
      <c r="F522" s="9"/>
      <c r="G522" s="59"/>
      <c r="H522" s="9"/>
    </row>
    <row r="523">
      <c r="A523" s="9"/>
      <c r="B523" s="9"/>
      <c r="C523" s="9"/>
      <c r="D523" s="9"/>
      <c r="E523" s="9"/>
      <c r="F523" s="9"/>
      <c r="G523" s="59"/>
      <c r="H523" s="9"/>
    </row>
    <row r="524">
      <c r="A524" s="9"/>
      <c r="B524" s="9"/>
      <c r="C524" s="9"/>
      <c r="D524" s="9"/>
      <c r="E524" s="9"/>
      <c r="F524" s="9"/>
      <c r="G524" s="59"/>
      <c r="H524" s="9"/>
    </row>
    <row r="525">
      <c r="A525" s="9"/>
      <c r="B525" s="9"/>
      <c r="C525" s="9"/>
      <c r="D525" s="9"/>
      <c r="E525" s="9"/>
      <c r="F525" s="9"/>
      <c r="G525" s="59"/>
      <c r="H525" s="9"/>
    </row>
    <row r="526">
      <c r="A526" s="9"/>
      <c r="B526" s="9"/>
      <c r="C526" s="9"/>
      <c r="D526" s="9"/>
      <c r="E526" s="9"/>
      <c r="F526" s="9"/>
      <c r="G526" s="59"/>
      <c r="H526" s="9"/>
    </row>
    <row r="527">
      <c r="A527" s="9"/>
      <c r="B527" s="9"/>
      <c r="C527" s="9"/>
      <c r="D527" s="9"/>
      <c r="E527" s="9"/>
      <c r="F527" s="9"/>
      <c r="G527" s="59"/>
      <c r="H527" s="9"/>
    </row>
    <row r="528">
      <c r="A528" s="9"/>
      <c r="B528" s="9"/>
      <c r="C528" s="9"/>
      <c r="D528" s="9"/>
      <c r="E528" s="9"/>
      <c r="F528" s="9"/>
      <c r="G528" s="59"/>
      <c r="H528" s="9"/>
    </row>
    <row r="529">
      <c r="A529" s="9"/>
      <c r="B529" s="9"/>
      <c r="C529" s="9"/>
      <c r="D529" s="9"/>
      <c r="E529" s="9"/>
      <c r="F529" s="9"/>
      <c r="G529" s="59"/>
      <c r="H529" s="9"/>
    </row>
    <row r="530">
      <c r="A530" s="9"/>
      <c r="B530" s="9"/>
      <c r="C530" s="9"/>
      <c r="D530" s="9"/>
      <c r="E530" s="9"/>
      <c r="F530" s="9"/>
      <c r="G530" s="59"/>
      <c r="H530" s="9"/>
    </row>
    <row r="531">
      <c r="A531" s="9"/>
      <c r="B531" s="9"/>
      <c r="C531" s="9"/>
      <c r="D531" s="9"/>
      <c r="E531" s="9"/>
      <c r="F531" s="9"/>
      <c r="G531" s="59"/>
      <c r="H531" s="9"/>
    </row>
    <row r="532">
      <c r="A532" s="9"/>
      <c r="B532" s="9"/>
      <c r="C532" s="9"/>
      <c r="D532" s="9"/>
      <c r="E532" s="9"/>
      <c r="F532" s="9"/>
      <c r="G532" s="59"/>
      <c r="H532" s="9"/>
    </row>
    <row r="533">
      <c r="A533" s="9"/>
      <c r="B533" s="9"/>
      <c r="C533" s="9"/>
      <c r="D533" s="9"/>
      <c r="E533" s="9"/>
      <c r="F533" s="9"/>
      <c r="G533" s="59"/>
      <c r="H533" s="9"/>
    </row>
    <row r="534">
      <c r="A534" s="9"/>
      <c r="B534" s="9"/>
      <c r="C534" s="9"/>
      <c r="D534" s="9"/>
      <c r="E534" s="9"/>
      <c r="F534" s="9"/>
      <c r="G534" s="59"/>
      <c r="H534" s="9"/>
    </row>
    <row r="535">
      <c r="A535" s="9"/>
      <c r="B535" s="9"/>
      <c r="C535" s="9"/>
      <c r="D535" s="9"/>
      <c r="E535" s="9"/>
      <c r="F535" s="9"/>
      <c r="G535" s="59"/>
      <c r="H535" s="9"/>
    </row>
    <row r="536">
      <c r="A536" s="9"/>
      <c r="B536" s="9"/>
      <c r="C536" s="9"/>
      <c r="D536" s="9"/>
      <c r="E536" s="9"/>
      <c r="F536" s="9"/>
      <c r="G536" s="59"/>
      <c r="H536" s="9"/>
    </row>
    <row r="537">
      <c r="A537" s="9"/>
      <c r="B537" s="9"/>
      <c r="C537" s="9"/>
      <c r="D537" s="9"/>
      <c r="E537" s="9"/>
      <c r="F537" s="9"/>
      <c r="G537" s="59"/>
      <c r="H537" s="9"/>
    </row>
    <row r="538">
      <c r="A538" s="9"/>
      <c r="B538" s="9"/>
      <c r="C538" s="9"/>
      <c r="D538" s="9"/>
      <c r="E538" s="9"/>
      <c r="F538" s="9"/>
      <c r="G538" s="59"/>
      <c r="H538" s="9"/>
    </row>
    <row r="539">
      <c r="A539" s="9"/>
      <c r="B539" s="9"/>
      <c r="C539" s="9"/>
      <c r="D539" s="9"/>
      <c r="E539" s="9"/>
      <c r="F539" s="9"/>
      <c r="G539" s="59"/>
      <c r="H539" s="9"/>
    </row>
    <row r="540">
      <c r="A540" s="9"/>
      <c r="B540" s="9"/>
      <c r="C540" s="9"/>
      <c r="D540" s="9"/>
      <c r="E540" s="9"/>
      <c r="F540" s="9"/>
      <c r="G540" s="59"/>
      <c r="H540" s="9"/>
    </row>
    <row r="541">
      <c r="A541" s="9"/>
      <c r="B541" s="9"/>
      <c r="C541" s="9"/>
      <c r="D541" s="9"/>
      <c r="E541" s="9"/>
      <c r="F541" s="9"/>
      <c r="G541" s="59"/>
      <c r="H541" s="9"/>
    </row>
    <row r="542">
      <c r="A542" s="9"/>
      <c r="B542" s="9"/>
      <c r="C542" s="9"/>
      <c r="D542" s="9"/>
      <c r="E542" s="9"/>
      <c r="F542" s="9"/>
      <c r="G542" s="59"/>
      <c r="H542" s="9"/>
    </row>
    <row r="543">
      <c r="A543" s="9"/>
      <c r="B543" s="9"/>
      <c r="C543" s="9"/>
      <c r="D543" s="9"/>
      <c r="E543" s="9"/>
      <c r="F543" s="9"/>
      <c r="G543" s="59"/>
      <c r="H543" s="9"/>
    </row>
    <row r="544">
      <c r="A544" s="9"/>
      <c r="B544" s="9"/>
      <c r="C544" s="9"/>
      <c r="D544" s="9"/>
      <c r="E544" s="9"/>
      <c r="F544" s="9"/>
      <c r="G544" s="59"/>
      <c r="H544" s="9"/>
    </row>
    <row r="545">
      <c r="A545" s="9"/>
      <c r="B545" s="9"/>
      <c r="C545" s="9"/>
      <c r="D545" s="9"/>
      <c r="E545" s="9"/>
      <c r="F545" s="9"/>
      <c r="G545" s="59"/>
      <c r="H545" s="9"/>
    </row>
    <row r="546">
      <c r="A546" s="9"/>
      <c r="B546" s="9"/>
      <c r="C546" s="9"/>
      <c r="D546" s="9"/>
      <c r="E546" s="9"/>
      <c r="F546" s="9"/>
      <c r="G546" s="59"/>
      <c r="H546" s="9"/>
    </row>
    <row r="547">
      <c r="A547" s="9"/>
      <c r="B547" s="9"/>
      <c r="C547" s="9"/>
      <c r="D547" s="9"/>
      <c r="E547" s="9"/>
      <c r="F547" s="9"/>
      <c r="G547" s="59"/>
      <c r="H547" s="9"/>
    </row>
    <row r="548">
      <c r="A548" s="9"/>
      <c r="B548" s="9"/>
      <c r="C548" s="9"/>
      <c r="D548" s="9"/>
      <c r="E548" s="9"/>
      <c r="F548" s="9"/>
      <c r="G548" s="59"/>
      <c r="H548" s="9"/>
    </row>
    <row r="549">
      <c r="A549" s="9"/>
      <c r="B549" s="9"/>
      <c r="C549" s="9"/>
      <c r="D549" s="9"/>
      <c r="E549" s="9"/>
      <c r="F549" s="9"/>
      <c r="G549" s="59"/>
      <c r="H549" s="9"/>
    </row>
    <row r="550">
      <c r="A550" s="9"/>
      <c r="B550" s="9"/>
      <c r="C550" s="9"/>
      <c r="D550" s="9"/>
      <c r="E550" s="9"/>
      <c r="F550" s="9"/>
      <c r="G550" s="59"/>
      <c r="H550" s="9"/>
    </row>
    <row r="551">
      <c r="A551" s="9"/>
      <c r="B551" s="9"/>
      <c r="C551" s="9"/>
      <c r="D551" s="9"/>
      <c r="E551" s="9"/>
      <c r="F551" s="9"/>
      <c r="G551" s="59"/>
      <c r="H551" s="9"/>
    </row>
    <row r="552">
      <c r="A552" s="9"/>
      <c r="B552" s="9"/>
      <c r="C552" s="9"/>
      <c r="D552" s="9"/>
      <c r="E552" s="9"/>
      <c r="F552" s="9"/>
      <c r="G552" s="59"/>
      <c r="H552" s="9"/>
    </row>
    <row r="553">
      <c r="A553" s="9"/>
      <c r="B553" s="9"/>
      <c r="C553" s="9"/>
      <c r="D553" s="9"/>
      <c r="E553" s="9"/>
      <c r="F553" s="9"/>
      <c r="G553" s="59"/>
      <c r="H553" s="9"/>
    </row>
    <row r="554">
      <c r="A554" s="9"/>
      <c r="B554" s="9"/>
      <c r="C554" s="9"/>
      <c r="D554" s="9"/>
      <c r="E554" s="9"/>
      <c r="F554" s="9"/>
      <c r="G554" s="59"/>
      <c r="H554" s="9"/>
    </row>
    <row r="555">
      <c r="A555" s="9"/>
      <c r="B555" s="9"/>
      <c r="C555" s="9"/>
      <c r="D555" s="9"/>
      <c r="E555" s="9"/>
      <c r="F555" s="9"/>
      <c r="G555" s="59"/>
      <c r="H555" s="9"/>
    </row>
    <row r="556">
      <c r="A556" s="9"/>
      <c r="B556" s="9"/>
      <c r="C556" s="9"/>
      <c r="D556" s="9"/>
      <c r="E556" s="9"/>
      <c r="F556" s="9"/>
      <c r="G556" s="59"/>
      <c r="H556" s="9"/>
    </row>
    <row r="557">
      <c r="A557" s="9"/>
      <c r="B557" s="9"/>
      <c r="C557" s="9"/>
      <c r="D557" s="9"/>
      <c r="E557" s="9"/>
      <c r="F557" s="9"/>
      <c r="G557" s="59"/>
      <c r="H557" s="9"/>
    </row>
    <row r="558">
      <c r="A558" s="9"/>
      <c r="B558" s="9"/>
      <c r="C558" s="9"/>
      <c r="D558" s="9"/>
      <c r="E558" s="9"/>
      <c r="F558" s="9"/>
      <c r="G558" s="59"/>
      <c r="H558" s="9"/>
    </row>
    <row r="559">
      <c r="A559" s="9"/>
      <c r="B559" s="9"/>
      <c r="C559" s="9"/>
      <c r="D559" s="9"/>
      <c r="E559" s="9"/>
      <c r="F559" s="9"/>
      <c r="G559" s="59"/>
      <c r="H559" s="9"/>
    </row>
    <row r="560">
      <c r="A560" s="9"/>
      <c r="B560" s="9"/>
      <c r="C560" s="9"/>
      <c r="D560" s="9"/>
      <c r="E560" s="9"/>
      <c r="F560" s="9"/>
      <c r="G560" s="59"/>
      <c r="H560" s="9"/>
    </row>
    <row r="561">
      <c r="A561" s="9"/>
      <c r="B561" s="9"/>
      <c r="C561" s="9"/>
      <c r="D561" s="9"/>
      <c r="E561" s="9"/>
      <c r="F561" s="9"/>
      <c r="G561" s="59"/>
      <c r="H561" s="9"/>
    </row>
    <row r="562">
      <c r="A562" s="9"/>
      <c r="B562" s="9"/>
      <c r="C562" s="9"/>
      <c r="D562" s="9"/>
      <c r="E562" s="9"/>
      <c r="F562" s="9"/>
      <c r="G562" s="59"/>
      <c r="H562" s="9"/>
    </row>
    <row r="563">
      <c r="A563" s="9"/>
      <c r="B563" s="9"/>
      <c r="C563" s="9"/>
      <c r="D563" s="9"/>
      <c r="E563" s="9"/>
      <c r="F563" s="9"/>
      <c r="G563" s="59"/>
      <c r="H563" s="9"/>
    </row>
    <row r="564">
      <c r="A564" s="9"/>
      <c r="B564" s="9"/>
      <c r="C564" s="9"/>
      <c r="D564" s="9"/>
      <c r="E564" s="9"/>
      <c r="F564" s="9"/>
      <c r="G564" s="59"/>
      <c r="H564" s="9"/>
    </row>
    <row r="565">
      <c r="A565" s="9"/>
      <c r="B565" s="9"/>
      <c r="C565" s="9"/>
      <c r="D565" s="9"/>
      <c r="E565" s="9"/>
      <c r="F565" s="9"/>
      <c r="G565" s="59"/>
      <c r="H565" s="9"/>
    </row>
    <row r="566">
      <c r="A566" s="9"/>
      <c r="B566" s="9"/>
      <c r="C566" s="9"/>
      <c r="D566" s="9"/>
      <c r="E566" s="9"/>
      <c r="F566" s="9"/>
      <c r="G566" s="59"/>
      <c r="H566" s="9"/>
    </row>
    <row r="567">
      <c r="A567" s="9"/>
      <c r="B567" s="9"/>
      <c r="C567" s="9"/>
      <c r="D567" s="9"/>
      <c r="E567" s="9"/>
      <c r="F567" s="9"/>
      <c r="G567" s="59"/>
      <c r="H567" s="9"/>
    </row>
    <row r="568">
      <c r="A568" s="9"/>
      <c r="B568" s="9"/>
      <c r="C568" s="9"/>
      <c r="D568" s="9"/>
      <c r="E568" s="9"/>
      <c r="F568" s="9"/>
      <c r="G568" s="59"/>
      <c r="H568" s="9"/>
    </row>
    <row r="569">
      <c r="A569" s="9"/>
      <c r="B569" s="9"/>
      <c r="C569" s="9"/>
      <c r="D569" s="9"/>
      <c r="E569" s="9"/>
      <c r="F569" s="9"/>
      <c r="G569" s="59"/>
      <c r="H569" s="9"/>
    </row>
    <row r="570">
      <c r="A570" s="9"/>
      <c r="B570" s="9"/>
      <c r="C570" s="9"/>
      <c r="D570" s="9"/>
      <c r="E570" s="9"/>
      <c r="F570" s="9"/>
      <c r="G570" s="59"/>
      <c r="H570" s="9"/>
    </row>
    <row r="571">
      <c r="A571" s="9"/>
      <c r="B571" s="9"/>
      <c r="C571" s="9"/>
      <c r="D571" s="9"/>
      <c r="E571" s="9"/>
      <c r="F571" s="9"/>
      <c r="G571" s="59"/>
      <c r="H571" s="9"/>
    </row>
    <row r="572">
      <c r="A572" s="9"/>
      <c r="B572" s="9"/>
      <c r="C572" s="9"/>
      <c r="D572" s="9"/>
      <c r="E572" s="9"/>
      <c r="F572" s="9"/>
      <c r="G572" s="59"/>
      <c r="H572" s="9"/>
    </row>
    <row r="573">
      <c r="A573" s="9"/>
      <c r="B573" s="9"/>
      <c r="C573" s="9"/>
      <c r="D573" s="9"/>
      <c r="E573" s="9"/>
      <c r="F573" s="9"/>
      <c r="G573" s="59"/>
      <c r="H573" s="9"/>
    </row>
    <row r="574">
      <c r="A574" s="9"/>
      <c r="B574" s="9"/>
      <c r="C574" s="9"/>
      <c r="D574" s="9"/>
      <c r="E574" s="9"/>
      <c r="F574" s="9"/>
      <c r="G574" s="59"/>
      <c r="H574" s="9"/>
    </row>
    <row r="575">
      <c r="A575" s="9"/>
      <c r="B575" s="9"/>
      <c r="C575" s="9"/>
      <c r="D575" s="9"/>
      <c r="E575" s="9"/>
      <c r="F575" s="9"/>
      <c r="G575" s="59"/>
      <c r="H575" s="9"/>
    </row>
    <row r="576">
      <c r="A576" s="9"/>
      <c r="B576" s="9"/>
      <c r="C576" s="9"/>
      <c r="D576" s="9"/>
      <c r="E576" s="9"/>
      <c r="F576" s="9"/>
      <c r="G576" s="59"/>
      <c r="H576" s="9"/>
    </row>
    <row r="577">
      <c r="A577" s="9"/>
      <c r="B577" s="9"/>
      <c r="C577" s="9"/>
      <c r="D577" s="9"/>
      <c r="E577" s="9"/>
      <c r="F577" s="9"/>
      <c r="G577" s="59"/>
      <c r="H577" s="9"/>
    </row>
    <row r="578">
      <c r="A578" s="9"/>
      <c r="B578" s="9"/>
      <c r="C578" s="9"/>
      <c r="D578" s="9"/>
      <c r="E578" s="9"/>
      <c r="F578" s="9"/>
      <c r="G578" s="59"/>
      <c r="H578" s="9"/>
    </row>
    <row r="579">
      <c r="A579" s="9"/>
      <c r="B579" s="9"/>
      <c r="C579" s="9"/>
      <c r="D579" s="9"/>
      <c r="E579" s="9"/>
      <c r="F579" s="9"/>
      <c r="G579" s="59"/>
      <c r="H579" s="9"/>
    </row>
    <row r="580">
      <c r="A580" s="9"/>
      <c r="B580" s="9"/>
      <c r="C580" s="9"/>
      <c r="D580" s="9"/>
      <c r="E580" s="9"/>
      <c r="F580" s="9"/>
      <c r="G580" s="59"/>
      <c r="H580" s="9"/>
    </row>
    <row r="581">
      <c r="A581" s="9"/>
      <c r="B581" s="9"/>
      <c r="C581" s="9"/>
      <c r="D581" s="9"/>
      <c r="E581" s="9"/>
      <c r="F581" s="9"/>
      <c r="G581" s="59"/>
      <c r="H581" s="9"/>
    </row>
    <row r="582">
      <c r="A582" s="9"/>
      <c r="B582" s="9"/>
      <c r="C582" s="9"/>
      <c r="D582" s="9"/>
      <c r="E582" s="9"/>
      <c r="F582" s="9"/>
      <c r="G582" s="59"/>
      <c r="H582" s="9"/>
    </row>
    <row r="583">
      <c r="A583" s="9"/>
      <c r="B583" s="9"/>
      <c r="C583" s="9"/>
      <c r="D583" s="9"/>
      <c r="E583" s="9"/>
      <c r="F583" s="9"/>
      <c r="G583" s="59"/>
      <c r="H583" s="9"/>
    </row>
    <row r="584">
      <c r="A584" s="9"/>
      <c r="B584" s="9"/>
      <c r="C584" s="9"/>
      <c r="D584" s="9"/>
      <c r="E584" s="9"/>
      <c r="F584" s="9"/>
      <c r="G584" s="59"/>
      <c r="H584" s="9"/>
    </row>
    <row r="585">
      <c r="A585" s="9"/>
      <c r="B585" s="9"/>
      <c r="C585" s="9"/>
      <c r="D585" s="9"/>
      <c r="E585" s="9"/>
      <c r="F585" s="9"/>
      <c r="G585" s="59"/>
      <c r="H585" s="9"/>
    </row>
    <row r="586">
      <c r="A586" s="9"/>
      <c r="B586" s="9"/>
      <c r="C586" s="9"/>
      <c r="D586" s="9"/>
      <c r="E586" s="9"/>
      <c r="F586" s="9"/>
      <c r="G586" s="59"/>
      <c r="H586" s="9"/>
    </row>
    <row r="587">
      <c r="A587" s="9"/>
      <c r="B587" s="9"/>
      <c r="C587" s="9"/>
      <c r="D587" s="9"/>
      <c r="E587" s="9"/>
      <c r="F587" s="9"/>
      <c r="G587" s="59"/>
      <c r="H587" s="9"/>
    </row>
    <row r="588">
      <c r="A588" s="9"/>
      <c r="B588" s="9"/>
      <c r="C588" s="9"/>
      <c r="D588" s="9"/>
      <c r="E588" s="9"/>
      <c r="F588" s="9"/>
      <c r="G588" s="59"/>
      <c r="H588" s="9"/>
    </row>
    <row r="589">
      <c r="A589" s="9"/>
      <c r="B589" s="9"/>
      <c r="C589" s="9"/>
      <c r="D589" s="9"/>
      <c r="E589" s="9"/>
      <c r="F589" s="9"/>
      <c r="G589" s="59"/>
      <c r="H589" s="9"/>
    </row>
    <row r="590">
      <c r="A590" s="9"/>
      <c r="B590" s="9"/>
      <c r="C590" s="9"/>
      <c r="D590" s="9"/>
      <c r="E590" s="9"/>
      <c r="F590" s="9"/>
      <c r="G590" s="59"/>
      <c r="H590" s="9"/>
    </row>
    <row r="591">
      <c r="A591" s="9"/>
      <c r="B591" s="9"/>
      <c r="C591" s="9"/>
      <c r="D591" s="9"/>
      <c r="E591" s="9"/>
      <c r="F591" s="9"/>
      <c r="G591" s="59"/>
      <c r="H591" s="9"/>
    </row>
    <row r="592">
      <c r="A592" s="9"/>
      <c r="B592" s="9"/>
      <c r="C592" s="9"/>
      <c r="D592" s="9"/>
      <c r="E592" s="9"/>
      <c r="F592" s="9"/>
      <c r="G592" s="59"/>
      <c r="H592" s="9"/>
    </row>
    <row r="593">
      <c r="A593" s="9"/>
      <c r="B593" s="9"/>
      <c r="C593" s="9"/>
      <c r="D593" s="9"/>
      <c r="E593" s="9"/>
      <c r="F593" s="9"/>
      <c r="G593" s="59"/>
      <c r="H593" s="9"/>
    </row>
    <row r="594">
      <c r="A594" s="9"/>
      <c r="B594" s="9"/>
      <c r="C594" s="9"/>
      <c r="D594" s="9"/>
      <c r="E594" s="9"/>
      <c r="F594" s="9"/>
      <c r="G594" s="59"/>
      <c r="H594" s="9"/>
    </row>
    <row r="595">
      <c r="A595" s="9"/>
      <c r="B595" s="9"/>
      <c r="C595" s="9"/>
      <c r="D595" s="9"/>
      <c r="E595" s="9"/>
      <c r="F595" s="9"/>
      <c r="G595" s="59"/>
      <c r="H595" s="9"/>
    </row>
    <row r="596">
      <c r="A596" s="9"/>
      <c r="B596" s="9"/>
      <c r="C596" s="9"/>
      <c r="D596" s="9"/>
      <c r="E596" s="9"/>
      <c r="F596" s="9"/>
      <c r="G596" s="59"/>
      <c r="H596" s="9"/>
    </row>
    <row r="597">
      <c r="A597" s="9"/>
      <c r="B597" s="9"/>
      <c r="C597" s="9"/>
      <c r="D597" s="9"/>
      <c r="E597" s="9"/>
      <c r="F597" s="9"/>
      <c r="G597" s="59"/>
      <c r="H597" s="9"/>
    </row>
    <row r="598">
      <c r="A598" s="9"/>
      <c r="B598" s="9"/>
      <c r="C598" s="9"/>
      <c r="D598" s="9"/>
      <c r="E598" s="9"/>
      <c r="F598" s="9"/>
      <c r="G598" s="59"/>
      <c r="H598" s="9"/>
    </row>
    <row r="599">
      <c r="A599" s="9"/>
      <c r="B599" s="9"/>
      <c r="C599" s="9"/>
      <c r="D599" s="9"/>
      <c r="E599" s="9"/>
      <c r="F599" s="9"/>
      <c r="G599" s="59"/>
      <c r="H599" s="9"/>
    </row>
    <row r="600">
      <c r="A600" s="9"/>
      <c r="B600" s="9"/>
      <c r="C600" s="9"/>
      <c r="D600" s="9"/>
      <c r="E600" s="9"/>
      <c r="F600" s="9"/>
      <c r="G600" s="59"/>
      <c r="H600" s="9"/>
    </row>
    <row r="601">
      <c r="A601" s="9"/>
      <c r="B601" s="9"/>
      <c r="C601" s="9"/>
      <c r="D601" s="9"/>
      <c r="E601" s="9"/>
      <c r="F601" s="9"/>
      <c r="G601" s="59"/>
      <c r="H601" s="9"/>
    </row>
    <row r="602">
      <c r="A602" s="9"/>
      <c r="B602" s="9"/>
      <c r="C602" s="9"/>
      <c r="D602" s="9"/>
      <c r="E602" s="9"/>
      <c r="F602" s="9"/>
      <c r="G602" s="59"/>
      <c r="H602" s="9"/>
    </row>
    <row r="603">
      <c r="A603" s="9"/>
      <c r="B603" s="9"/>
      <c r="C603" s="9"/>
      <c r="D603" s="9"/>
      <c r="E603" s="9"/>
      <c r="F603" s="9"/>
      <c r="G603" s="59"/>
      <c r="H603" s="9"/>
    </row>
    <row r="604">
      <c r="A604" s="9"/>
      <c r="B604" s="9"/>
      <c r="C604" s="9"/>
      <c r="D604" s="9"/>
      <c r="E604" s="9"/>
      <c r="F604" s="9"/>
      <c r="G604" s="59"/>
      <c r="H604" s="9"/>
    </row>
    <row r="605">
      <c r="A605" s="9"/>
      <c r="B605" s="9"/>
      <c r="C605" s="9"/>
      <c r="D605" s="9"/>
      <c r="E605" s="9"/>
      <c r="F605" s="9"/>
      <c r="G605" s="59"/>
      <c r="H605" s="9"/>
    </row>
    <row r="606">
      <c r="A606" s="9"/>
      <c r="B606" s="9"/>
      <c r="C606" s="9"/>
      <c r="D606" s="9"/>
      <c r="E606" s="9"/>
      <c r="F606" s="9"/>
      <c r="G606" s="59"/>
      <c r="H606" s="9"/>
    </row>
    <row r="607">
      <c r="A607" s="9"/>
      <c r="B607" s="9"/>
      <c r="C607" s="9"/>
      <c r="D607" s="9"/>
      <c r="E607" s="9"/>
      <c r="F607" s="9"/>
      <c r="G607" s="59"/>
      <c r="H607" s="9"/>
    </row>
    <row r="608">
      <c r="A608" s="9"/>
      <c r="B608" s="9"/>
      <c r="C608" s="9"/>
      <c r="D608" s="9"/>
      <c r="E608" s="9"/>
      <c r="F608" s="9"/>
      <c r="G608" s="59"/>
      <c r="H608" s="9"/>
    </row>
    <row r="609">
      <c r="A609" s="9"/>
      <c r="B609" s="9"/>
      <c r="C609" s="9"/>
      <c r="D609" s="9"/>
      <c r="E609" s="9"/>
      <c r="F609" s="9"/>
      <c r="G609" s="59"/>
      <c r="H609" s="9"/>
    </row>
    <row r="610">
      <c r="A610" s="9"/>
      <c r="B610" s="9"/>
      <c r="C610" s="9"/>
      <c r="D610" s="9"/>
      <c r="E610" s="9"/>
      <c r="F610" s="9"/>
      <c r="G610" s="59"/>
      <c r="H610" s="9"/>
    </row>
    <row r="611">
      <c r="A611" s="9"/>
      <c r="B611" s="9"/>
      <c r="C611" s="9"/>
      <c r="D611" s="9"/>
      <c r="E611" s="9"/>
      <c r="F611" s="9"/>
      <c r="G611" s="59"/>
      <c r="H611" s="9"/>
    </row>
    <row r="612">
      <c r="A612" s="9"/>
      <c r="B612" s="9"/>
      <c r="C612" s="9"/>
      <c r="D612" s="9"/>
      <c r="E612" s="9"/>
      <c r="F612" s="9"/>
      <c r="G612" s="59"/>
      <c r="H612" s="9"/>
    </row>
    <row r="613">
      <c r="A613" s="9"/>
      <c r="B613" s="9"/>
      <c r="C613" s="9"/>
      <c r="D613" s="9"/>
      <c r="E613" s="9"/>
      <c r="F613" s="9"/>
      <c r="G613" s="59"/>
      <c r="H613" s="9"/>
    </row>
    <row r="614">
      <c r="A614" s="9"/>
      <c r="B614" s="9"/>
      <c r="C614" s="9"/>
      <c r="D614" s="9"/>
      <c r="E614" s="9"/>
      <c r="F614" s="9"/>
      <c r="G614" s="59"/>
      <c r="H614" s="9"/>
    </row>
    <row r="615">
      <c r="A615" s="9"/>
      <c r="B615" s="9"/>
      <c r="C615" s="9"/>
      <c r="D615" s="9"/>
      <c r="E615" s="9"/>
      <c r="F615" s="9"/>
      <c r="G615" s="59"/>
      <c r="H615" s="9"/>
    </row>
    <row r="616">
      <c r="A616" s="9"/>
      <c r="B616" s="9"/>
      <c r="C616" s="9"/>
      <c r="D616" s="9"/>
      <c r="E616" s="9"/>
      <c r="F616" s="9"/>
      <c r="G616" s="59"/>
      <c r="H616" s="9"/>
    </row>
    <row r="617">
      <c r="A617" s="9"/>
      <c r="B617" s="9"/>
      <c r="C617" s="9"/>
      <c r="D617" s="9"/>
      <c r="E617" s="9"/>
      <c r="F617" s="9"/>
      <c r="G617" s="59"/>
      <c r="H617" s="9"/>
    </row>
    <row r="618">
      <c r="A618" s="9"/>
      <c r="B618" s="9"/>
      <c r="C618" s="9"/>
      <c r="D618" s="9"/>
      <c r="E618" s="9"/>
      <c r="F618" s="9"/>
      <c r="G618" s="59"/>
      <c r="H618" s="9"/>
    </row>
    <row r="619">
      <c r="A619" s="9"/>
      <c r="B619" s="9"/>
      <c r="C619" s="9"/>
      <c r="D619" s="9"/>
      <c r="E619" s="9"/>
      <c r="F619" s="9"/>
      <c r="G619" s="59"/>
      <c r="H619" s="9"/>
    </row>
    <row r="620">
      <c r="A620" s="9"/>
      <c r="B620" s="9"/>
      <c r="C620" s="9"/>
      <c r="D620" s="9"/>
      <c r="E620" s="9"/>
      <c r="F620" s="9"/>
      <c r="G620" s="59"/>
      <c r="H620" s="9"/>
    </row>
    <row r="621">
      <c r="A621" s="9"/>
      <c r="B621" s="9"/>
      <c r="C621" s="9"/>
      <c r="D621" s="9"/>
      <c r="E621" s="9"/>
      <c r="F621" s="9"/>
      <c r="G621" s="59"/>
      <c r="H621" s="9"/>
    </row>
    <row r="622">
      <c r="A622" s="9"/>
      <c r="B622" s="9"/>
      <c r="C622" s="9"/>
      <c r="D622" s="9"/>
      <c r="E622" s="9"/>
      <c r="F622" s="9"/>
      <c r="G622" s="59"/>
      <c r="H622" s="9"/>
    </row>
    <row r="623">
      <c r="A623" s="9"/>
      <c r="B623" s="9"/>
      <c r="C623" s="9"/>
      <c r="D623" s="9"/>
      <c r="E623" s="9"/>
      <c r="F623" s="9"/>
      <c r="G623" s="59"/>
      <c r="H623" s="9"/>
    </row>
    <row r="624">
      <c r="A624" s="9"/>
      <c r="B624" s="9"/>
      <c r="C624" s="9"/>
      <c r="D624" s="9"/>
      <c r="E624" s="9"/>
      <c r="F624" s="9"/>
      <c r="G624" s="59"/>
      <c r="H624" s="9"/>
    </row>
    <row r="625">
      <c r="A625" s="9"/>
      <c r="B625" s="9"/>
      <c r="C625" s="9"/>
      <c r="D625" s="9"/>
      <c r="E625" s="9"/>
      <c r="F625" s="9"/>
      <c r="G625" s="59"/>
      <c r="H625" s="9"/>
    </row>
    <row r="626">
      <c r="A626" s="9"/>
      <c r="B626" s="9"/>
      <c r="C626" s="9"/>
      <c r="D626" s="9"/>
      <c r="E626" s="9"/>
      <c r="F626" s="9"/>
      <c r="G626" s="59"/>
      <c r="H626" s="9"/>
    </row>
    <row r="627">
      <c r="A627" s="9"/>
      <c r="B627" s="9"/>
      <c r="C627" s="9"/>
      <c r="D627" s="9"/>
      <c r="E627" s="9"/>
      <c r="F627" s="9"/>
      <c r="G627" s="59"/>
      <c r="H627" s="9"/>
    </row>
    <row r="628">
      <c r="A628" s="9"/>
      <c r="B628" s="9"/>
      <c r="C628" s="9"/>
      <c r="D628" s="9"/>
      <c r="E628" s="9"/>
      <c r="F628" s="9"/>
      <c r="G628" s="59"/>
      <c r="H628" s="9"/>
    </row>
    <row r="629">
      <c r="A629" s="9"/>
      <c r="B629" s="9"/>
      <c r="C629" s="9"/>
      <c r="D629" s="9"/>
      <c r="E629" s="9"/>
      <c r="F629" s="9"/>
      <c r="G629" s="59"/>
      <c r="H629" s="9"/>
    </row>
    <row r="630">
      <c r="A630" s="9"/>
      <c r="B630" s="9"/>
      <c r="C630" s="9"/>
      <c r="D630" s="9"/>
      <c r="E630" s="9"/>
      <c r="F630" s="9"/>
      <c r="G630" s="59"/>
      <c r="H630" s="9"/>
    </row>
    <row r="631">
      <c r="A631" s="9"/>
      <c r="B631" s="9"/>
      <c r="C631" s="9"/>
      <c r="D631" s="9"/>
      <c r="E631" s="9"/>
      <c r="F631" s="9"/>
      <c r="G631" s="59"/>
      <c r="H631" s="9"/>
    </row>
    <row r="632">
      <c r="A632" s="9"/>
      <c r="B632" s="9"/>
      <c r="C632" s="9"/>
      <c r="D632" s="9"/>
      <c r="E632" s="9"/>
      <c r="F632" s="9"/>
      <c r="G632" s="59"/>
      <c r="H632" s="9"/>
    </row>
    <row r="633">
      <c r="A633" s="9"/>
      <c r="B633" s="9"/>
      <c r="C633" s="9"/>
      <c r="D633" s="9"/>
      <c r="E633" s="9"/>
      <c r="F633" s="9"/>
      <c r="G633" s="59"/>
      <c r="H633" s="9"/>
    </row>
    <row r="634">
      <c r="A634" s="9"/>
      <c r="B634" s="9"/>
      <c r="C634" s="9"/>
      <c r="D634" s="9"/>
      <c r="E634" s="9"/>
      <c r="F634" s="9"/>
      <c r="G634" s="59"/>
      <c r="H634" s="9"/>
    </row>
    <row r="635">
      <c r="A635" s="9"/>
      <c r="B635" s="9"/>
      <c r="C635" s="9"/>
      <c r="D635" s="9"/>
      <c r="E635" s="9"/>
      <c r="F635" s="9"/>
      <c r="G635" s="59"/>
      <c r="H635" s="9"/>
    </row>
    <row r="636">
      <c r="A636" s="9"/>
      <c r="B636" s="9"/>
      <c r="C636" s="9"/>
      <c r="D636" s="9"/>
      <c r="E636" s="9"/>
      <c r="F636" s="9"/>
      <c r="G636" s="59"/>
      <c r="H636" s="9"/>
    </row>
    <row r="637">
      <c r="A637" s="9"/>
      <c r="B637" s="9"/>
      <c r="C637" s="9"/>
      <c r="D637" s="9"/>
      <c r="E637" s="9"/>
      <c r="F637" s="9"/>
      <c r="G637" s="59"/>
      <c r="H637" s="9"/>
    </row>
    <row r="638">
      <c r="A638" s="9"/>
      <c r="B638" s="9"/>
      <c r="C638" s="9"/>
      <c r="D638" s="9"/>
      <c r="E638" s="9"/>
      <c r="F638" s="9"/>
      <c r="G638" s="59"/>
      <c r="H638" s="9"/>
    </row>
    <row r="639">
      <c r="A639" s="9"/>
      <c r="B639" s="9"/>
      <c r="C639" s="9"/>
      <c r="D639" s="9"/>
      <c r="E639" s="9"/>
      <c r="F639" s="9"/>
      <c r="G639" s="59"/>
      <c r="H639" s="9"/>
    </row>
    <row r="640">
      <c r="A640" s="9"/>
      <c r="B640" s="9"/>
      <c r="C640" s="9"/>
      <c r="D640" s="9"/>
      <c r="E640" s="9"/>
      <c r="F640" s="9"/>
      <c r="G640" s="59"/>
      <c r="H640" s="9"/>
    </row>
    <row r="641">
      <c r="A641" s="9"/>
      <c r="B641" s="9"/>
      <c r="C641" s="9"/>
      <c r="D641" s="9"/>
      <c r="E641" s="9"/>
      <c r="F641" s="9"/>
      <c r="G641" s="59"/>
      <c r="H641" s="9"/>
    </row>
    <row r="642">
      <c r="A642" s="9"/>
      <c r="B642" s="9"/>
      <c r="C642" s="9"/>
      <c r="D642" s="9"/>
      <c r="E642" s="9"/>
      <c r="F642" s="9"/>
      <c r="G642" s="59"/>
      <c r="H642" s="9"/>
    </row>
    <row r="643">
      <c r="A643" s="9"/>
      <c r="B643" s="9"/>
      <c r="C643" s="9"/>
      <c r="D643" s="9"/>
      <c r="E643" s="9"/>
      <c r="F643" s="9"/>
      <c r="G643" s="59"/>
      <c r="H643" s="9"/>
    </row>
    <row r="644">
      <c r="A644" s="9"/>
      <c r="B644" s="9"/>
      <c r="C644" s="9"/>
      <c r="D644" s="9"/>
      <c r="E644" s="9"/>
      <c r="F644" s="9"/>
      <c r="G644" s="59"/>
      <c r="H644" s="9"/>
    </row>
    <row r="645">
      <c r="A645" s="9"/>
      <c r="B645" s="9"/>
      <c r="C645" s="9"/>
      <c r="D645" s="9"/>
      <c r="E645" s="9"/>
      <c r="F645" s="9"/>
      <c r="G645" s="59"/>
      <c r="H645" s="9"/>
    </row>
    <row r="646">
      <c r="A646" s="9"/>
      <c r="B646" s="9"/>
      <c r="C646" s="9"/>
      <c r="D646" s="9"/>
      <c r="E646" s="9"/>
      <c r="F646" s="9"/>
      <c r="G646" s="59"/>
      <c r="H646" s="9"/>
    </row>
    <row r="647">
      <c r="A647" s="9"/>
      <c r="B647" s="9"/>
      <c r="C647" s="9"/>
      <c r="D647" s="9"/>
      <c r="E647" s="9"/>
      <c r="F647" s="9"/>
      <c r="G647" s="59"/>
      <c r="H647" s="9"/>
    </row>
    <row r="648">
      <c r="A648" s="9"/>
      <c r="B648" s="9"/>
      <c r="C648" s="9"/>
      <c r="D648" s="9"/>
      <c r="E648" s="9"/>
      <c r="F648" s="9"/>
      <c r="G648" s="59"/>
      <c r="H648" s="9"/>
    </row>
    <row r="649">
      <c r="A649" s="9"/>
      <c r="B649" s="9"/>
      <c r="C649" s="9"/>
      <c r="D649" s="9"/>
      <c r="E649" s="9"/>
      <c r="F649" s="9"/>
      <c r="G649" s="59"/>
      <c r="H649" s="9"/>
    </row>
    <row r="650">
      <c r="A650" s="9"/>
      <c r="B650" s="9"/>
      <c r="C650" s="9"/>
      <c r="D650" s="9"/>
      <c r="E650" s="9"/>
      <c r="F650" s="9"/>
      <c r="G650" s="59"/>
      <c r="H650" s="9"/>
    </row>
    <row r="651">
      <c r="A651" s="9"/>
      <c r="B651" s="9"/>
      <c r="C651" s="9"/>
      <c r="D651" s="9"/>
      <c r="E651" s="9"/>
      <c r="F651" s="9"/>
      <c r="G651" s="59"/>
      <c r="H651" s="9"/>
    </row>
    <row r="652">
      <c r="A652" s="9"/>
      <c r="B652" s="9"/>
      <c r="C652" s="9"/>
      <c r="D652" s="9"/>
      <c r="E652" s="9"/>
      <c r="F652" s="9"/>
      <c r="G652" s="59"/>
      <c r="H652" s="9"/>
    </row>
    <row r="653">
      <c r="A653" s="9"/>
      <c r="B653" s="9"/>
      <c r="C653" s="9"/>
      <c r="D653" s="9"/>
      <c r="E653" s="9"/>
      <c r="F653" s="9"/>
      <c r="G653" s="59"/>
      <c r="H653" s="9"/>
    </row>
    <row r="654">
      <c r="A654" s="9"/>
      <c r="B654" s="9"/>
      <c r="C654" s="9"/>
      <c r="D654" s="9"/>
      <c r="E654" s="9"/>
      <c r="F654" s="9"/>
      <c r="G654" s="59"/>
      <c r="H654" s="9"/>
    </row>
    <row r="655">
      <c r="A655" s="9"/>
      <c r="B655" s="9"/>
      <c r="C655" s="9"/>
      <c r="D655" s="9"/>
      <c r="E655" s="9"/>
      <c r="F655" s="9"/>
      <c r="G655" s="59"/>
      <c r="H655" s="9"/>
    </row>
    <row r="656">
      <c r="A656" s="9"/>
      <c r="B656" s="9"/>
      <c r="C656" s="9"/>
      <c r="D656" s="9"/>
      <c r="E656" s="9"/>
      <c r="F656" s="9"/>
      <c r="G656" s="59"/>
      <c r="H656" s="9"/>
    </row>
    <row r="657">
      <c r="A657" s="9"/>
      <c r="B657" s="9"/>
      <c r="C657" s="9"/>
      <c r="D657" s="9"/>
      <c r="E657" s="9"/>
      <c r="F657" s="9"/>
      <c r="G657" s="59"/>
      <c r="H657" s="9"/>
    </row>
    <row r="658">
      <c r="A658" s="9"/>
      <c r="B658" s="9"/>
      <c r="C658" s="9"/>
      <c r="D658" s="9"/>
      <c r="E658" s="9"/>
      <c r="F658" s="9"/>
      <c r="G658" s="59"/>
      <c r="H658" s="9"/>
    </row>
    <row r="659">
      <c r="A659" s="9"/>
      <c r="B659" s="9"/>
      <c r="C659" s="9"/>
      <c r="D659" s="9"/>
      <c r="E659" s="9"/>
      <c r="F659" s="9"/>
      <c r="G659" s="59"/>
      <c r="H659" s="9"/>
    </row>
    <row r="660">
      <c r="A660" s="9"/>
      <c r="B660" s="9"/>
      <c r="C660" s="9"/>
      <c r="D660" s="9"/>
      <c r="E660" s="9"/>
      <c r="F660" s="9"/>
      <c r="G660" s="59"/>
      <c r="H660" s="9"/>
    </row>
    <row r="661">
      <c r="A661" s="9"/>
      <c r="B661" s="9"/>
      <c r="C661" s="9"/>
      <c r="D661" s="9"/>
      <c r="E661" s="9"/>
      <c r="F661" s="9"/>
      <c r="G661" s="59"/>
      <c r="H661" s="9"/>
    </row>
    <row r="662">
      <c r="A662" s="9"/>
      <c r="B662" s="9"/>
      <c r="C662" s="9"/>
      <c r="D662" s="9"/>
      <c r="E662" s="9"/>
      <c r="F662" s="9"/>
      <c r="G662" s="59"/>
      <c r="H662" s="9"/>
    </row>
    <row r="663">
      <c r="A663" s="9"/>
      <c r="B663" s="9"/>
      <c r="C663" s="9"/>
      <c r="D663" s="9"/>
      <c r="E663" s="9"/>
      <c r="F663" s="9"/>
      <c r="G663" s="59"/>
      <c r="H663" s="9"/>
    </row>
    <row r="664">
      <c r="A664" s="9"/>
      <c r="B664" s="9"/>
      <c r="C664" s="9"/>
      <c r="D664" s="9"/>
      <c r="E664" s="9"/>
      <c r="F664" s="9"/>
      <c r="G664" s="59"/>
      <c r="H664" s="9"/>
    </row>
    <row r="665">
      <c r="A665" s="9"/>
      <c r="B665" s="9"/>
      <c r="C665" s="9"/>
      <c r="D665" s="9"/>
      <c r="E665" s="9"/>
      <c r="F665" s="9"/>
      <c r="G665" s="59"/>
      <c r="H665" s="9"/>
    </row>
    <row r="666">
      <c r="A666" s="9"/>
      <c r="B666" s="9"/>
      <c r="C666" s="9"/>
      <c r="D666" s="9"/>
      <c r="E666" s="9"/>
      <c r="F666" s="9"/>
      <c r="G666" s="59"/>
      <c r="H666" s="9"/>
    </row>
    <row r="667">
      <c r="A667" s="9"/>
      <c r="B667" s="9"/>
      <c r="C667" s="9"/>
      <c r="D667" s="9"/>
      <c r="E667" s="9"/>
      <c r="F667" s="9"/>
      <c r="G667" s="59"/>
      <c r="H667" s="9"/>
    </row>
    <row r="668">
      <c r="A668" s="9"/>
      <c r="B668" s="9"/>
      <c r="C668" s="9"/>
      <c r="D668" s="9"/>
      <c r="E668" s="9"/>
      <c r="F668" s="9"/>
      <c r="G668" s="59"/>
      <c r="H668" s="9"/>
    </row>
    <row r="669">
      <c r="A669" s="9"/>
      <c r="B669" s="9"/>
      <c r="C669" s="9"/>
      <c r="D669" s="9"/>
      <c r="E669" s="9"/>
      <c r="F669" s="9"/>
      <c r="G669" s="59"/>
      <c r="H669" s="9"/>
    </row>
    <row r="670">
      <c r="A670" s="9"/>
      <c r="B670" s="9"/>
      <c r="C670" s="9"/>
      <c r="D670" s="9"/>
      <c r="E670" s="9"/>
      <c r="F670" s="9"/>
      <c r="G670" s="59"/>
      <c r="H670" s="9"/>
    </row>
    <row r="671">
      <c r="A671" s="9"/>
      <c r="B671" s="9"/>
      <c r="C671" s="9"/>
      <c r="D671" s="9"/>
      <c r="E671" s="9"/>
      <c r="F671" s="9"/>
      <c r="G671" s="59"/>
      <c r="H671" s="9"/>
    </row>
    <row r="672">
      <c r="A672" s="9"/>
      <c r="B672" s="9"/>
      <c r="C672" s="9"/>
      <c r="D672" s="9"/>
      <c r="E672" s="9"/>
      <c r="F672" s="9"/>
      <c r="G672" s="59"/>
      <c r="H672" s="9"/>
    </row>
    <row r="673">
      <c r="A673" s="9"/>
      <c r="B673" s="9"/>
      <c r="C673" s="9"/>
      <c r="D673" s="9"/>
      <c r="E673" s="9"/>
      <c r="F673" s="9"/>
      <c r="G673" s="59"/>
      <c r="H673" s="9"/>
    </row>
    <row r="674">
      <c r="A674" s="9"/>
      <c r="B674" s="9"/>
      <c r="C674" s="9"/>
      <c r="D674" s="9"/>
      <c r="E674" s="9"/>
      <c r="F674" s="9"/>
      <c r="G674" s="59"/>
      <c r="H674" s="9"/>
    </row>
    <row r="675">
      <c r="A675" s="9"/>
      <c r="B675" s="9"/>
      <c r="C675" s="9"/>
      <c r="D675" s="9"/>
      <c r="E675" s="9"/>
      <c r="F675" s="9"/>
      <c r="G675" s="59"/>
      <c r="H675" s="9"/>
    </row>
    <row r="676">
      <c r="A676" s="9"/>
      <c r="B676" s="9"/>
      <c r="C676" s="9"/>
      <c r="D676" s="9"/>
      <c r="E676" s="9"/>
      <c r="F676" s="9"/>
      <c r="G676" s="59"/>
      <c r="H676" s="9"/>
    </row>
    <row r="677">
      <c r="A677" s="9"/>
      <c r="B677" s="9"/>
      <c r="C677" s="9"/>
      <c r="D677" s="9"/>
      <c r="E677" s="9"/>
      <c r="F677" s="9"/>
      <c r="G677" s="59"/>
      <c r="H677" s="9"/>
    </row>
    <row r="678">
      <c r="A678" s="9"/>
      <c r="B678" s="9"/>
      <c r="C678" s="9"/>
      <c r="D678" s="9"/>
      <c r="E678" s="9"/>
      <c r="F678" s="9"/>
      <c r="G678" s="59"/>
      <c r="H678" s="9"/>
    </row>
    <row r="679">
      <c r="A679" s="9"/>
      <c r="B679" s="9"/>
      <c r="C679" s="9"/>
      <c r="D679" s="9"/>
      <c r="E679" s="9"/>
      <c r="F679" s="9"/>
      <c r="G679" s="59"/>
      <c r="H679" s="9"/>
    </row>
    <row r="680">
      <c r="A680" s="9"/>
      <c r="B680" s="9"/>
      <c r="C680" s="9"/>
      <c r="D680" s="9"/>
      <c r="E680" s="9"/>
      <c r="F680" s="9"/>
      <c r="G680" s="59"/>
      <c r="H680" s="9"/>
    </row>
    <row r="681">
      <c r="A681" s="9"/>
      <c r="B681" s="9"/>
      <c r="C681" s="9"/>
      <c r="D681" s="9"/>
      <c r="E681" s="9"/>
      <c r="F681" s="9"/>
      <c r="G681" s="59"/>
      <c r="H681" s="9"/>
    </row>
    <row r="682">
      <c r="A682" s="9"/>
      <c r="B682" s="9"/>
      <c r="C682" s="9"/>
      <c r="D682" s="9"/>
      <c r="E682" s="9"/>
      <c r="F682" s="9"/>
      <c r="G682" s="59"/>
      <c r="H682" s="9"/>
    </row>
    <row r="683">
      <c r="A683" s="9"/>
      <c r="B683" s="9"/>
      <c r="C683" s="9"/>
      <c r="D683" s="9"/>
      <c r="E683" s="9"/>
      <c r="F683" s="9"/>
      <c r="G683" s="59"/>
      <c r="H683" s="9"/>
    </row>
    <row r="684">
      <c r="A684" s="9"/>
      <c r="B684" s="9"/>
      <c r="C684" s="9"/>
      <c r="D684" s="9"/>
      <c r="E684" s="9"/>
      <c r="F684" s="9"/>
      <c r="G684" s="59"/>
      <c r="H684" s="9"/>
    </row>
    <row r="685">
      <c r="A685" s="9"/>
      <c r="B685" s="9"/>
      <c r="C685" s="9"/>
      <c r="D685" s="9"/>
      <c r="E685" s="9"/>
      <c r="F685" s="9"/>
      <c r="G685" s="59"/>
      <c r="H685" s="9"/>
    </row>
    <row r="686">
      <c r="A686" s="9"/>
      <c r="B686" s="9"/>
      <c r="C686" s="9"/>
      <c r="D686" s="9"/>
      <c r="E686" s="9"/>
      <c r="F686" s="9"/>
      <c r="G686" s="59"/>
      <c r="H686" s="9"/>
    </row>
    <row r="687">
      <c r="A687" s="9"/>
      <c r="B687" s="9"/>
      <c r="C687" s="9"/>
      <c r="D687" s="9"/>
      <c r="E687" s="9"/>
      <c r="F687" s="9"/>
      <c r="G687" s="59"/>
      <c r="H687" s="9"/>
    </row>
    <row r="688">
      <c r="A688" s="9"/>
      <c r="B688" s="9"/>
      <c r="C688" s="9"/>
      <c r="D688" s="9"/>
      <c r="E688" s="9"/>
      <c r="F688" s="9"/>
      <c r="G688" s="59"/>
      <c r="H688" s="9"/>
    </row>
    <row r="689">
      <c r="A689" s="9"/>
      <c r="B689" s="9"/>
      <c r="C689" s="9"/>
      <c r="D689" s="9"/>
      <c r="E689" s="9"/>
      <c r="F689" s="9"/>
      <c r="G689" s="59"/>
      <c r="H689" s="9"/>
    </row>
    <row r="690">
      <c r="A690" s="9"/>
      <c r="B690" s="9"/>
      <c r="C690" s="9"/>
      <c r="D690" s="9"/>
      <c r="E690" s="9"/>
      <c r="F690" s="9"/>
      <c r="G690" s="59"/>
      <c r="H690" s="9"/>
    </row>
    <row r="691">
      <c r="A691" s="9"/>
      <c r="B691" s="9"/>
      <c r="C691" s="9"/>
      <c r="D691" s="9"/>
      <c r="E691" s="9"/>
      <c r="F691" s="9"/>
      <c r="G691" s="59"/>
      <c r="H691" s="9"/>
    </row>
    <row r="692">
      <c r="A692" s="9"/>
      <c r="B692" s="9"/>
      <c r="C692" s="9"/>
      <c r="D692" s="9"/>
      <c r="E692" s="9"/>
      <c r="F692" s="9"/>
      <c r="G692" s="59"/>
      <c r="H692" s="9"/>
    </row>
    <row r="693">
      <c r="A693" s="9"/>
      <c r="B693" s="9"/>
      <c r="C693" s="9"/>
      <c r="D693" s="9"/>
      <c r="E693" s="9"/>
      <c r="F693" s="9"/>
      <c r="G693" s="59"/>
      <c r="H693" s="9"/>
    </row>
    <row r="694">
      <c r="A694" s="9"/>
      <c r="B694" s="9"/>
      <c r="C694" s="9"/>
      <c r="D694" s="9"/>
      <c r="E694" s="9"/>
      <c r="F694" s="9"/>
      <c r="G694" s="59"/>
      <c r="H694" s="9"/>
    </row>
    <row r="695">
      <c r="A695" s="9"/>
      <c r="B695" s="9"/>
      <c r="C695" s="9"/>
      <c r="D695" s="9"/>
      <c r="E695" s="9"/>
      <c r="F695" s="9"/>
      <c r="G695" s="59"/>
      <c r="H695" s="9"/>
    </row>
    <row r="696">
      <c r="A696" s="9"/>
      <c r="B696" s="9"/>
      <c r="C696" s="9"/>
      <c r="D696" s="9"/>
      <c r="E696" s="9"/>
      <c r="F696" s="9"/>
      <c r="G696" s="59"/>
      <c r="H696" s="9"/>
    </row>
    <row r="697">
      <c r="A697" s="9"/>
      <c r="B697" s="9"/>
      <c r="C697" s="9"/>
      <c r="D697" s="9"/>
      <c r="E697" s="9"/>
      <c r="F697" s="9"/>
      <c r="G697" s="59"/>
      <c r="H697" s="9"/>
    </row>
    <row r="698">
      <c r="A698" s="9"/>
      <c r="B698" s="9"/>
      <c r="C698" s="9"/>
      <c r="D698" s="9"/>
      <c r="E698" s="9"/>
      <c r="F698" s="9"/>
      <c r="G698" s="59"/>
      <c r="H698" s="9"/>
    </row>
    <row r="699">
      <c r="A699" s="9"/>
      <c r="B699" s="9"/>
      <c r="C699" s="9"/>
      <c r="D699" s="9"/>
      <c r="E699" s="9"/>
      <c r="F699" s="9"/>
      <c r="G699" s="59"/>
      <c r="H699" s="9"/>
    </row>
    <row r="700">
      <c r="A700" s="9"/>
      <c r="B700" s="9"/>
      <c r="C700" s="9"/>
      <c r="D700" s="9"/>
      <c r="E700" s="9"/>
      <c r="F700" s="9"/>
      <c r="G700" s="59"/>
      <c r="H700" s="9"/>
    </row>
    <row r="701">
      <c r="A701" s="9"/>
      <c r="B701" s="9"/>
      <c r="C701" s="9"/>
      <c r="D701" s="9"/>
      <c r="E701" s="9"/>
      <c r="F701" s="9"/>
      <c r="G701" s="59"/>
      <c r="H701" s="9"/>
    </row>
    <row r="702">
      <c r="A702" s="9"/>
      <c r="B702" s="9"/>
      <c r="C702" s="9"/>
      <c r="D702" s="9"/>
      <c r="E702" s="9"/>
      <c r="F702" s="9"/>
      <c r="G702" s="59"/>
      <c r="H702" s="9"/>
    </row>
    <row r="703">
      <c r="A703" s="9"/>
      <c r="B703" s="9"/>
      <c r="C703" s="9"/>
      <c r="D703" s="9"/>
      <c r="E703" s="9"/>
      <c r="F703" s="9"/>
      <c r="G703" s="59"/>
      <c r="H703" s="9"/>
    </row>
    <row r="704">
      <c r="A704" s="9"/>
      <c r="B704" s="9"/>
      <c r="C704" s="9"/>
      <c r="D704" s="9"/>
      <c r="E704" s="9"/>
      <c r="F704" s="9"/>
      <c r="G704" s="59"/>
      <c r="H704" s="9"/>
    </row>
    <row r="705">
      <c r="A705" s="9"/>
      <c r="B705" s="9"/>
      <c r="C705" s="9"/>
      <c r="D705" s="9"/>
      <c r="E705" s="9"/>
      <c r="F705" s="9"/>
      <c r="G705" s="59"/>
      <c r="H705" s="9"/>
    </row>
    <row r="706">
      <c r="A706" s="9"/>
      <c r="B706" s="9"/>
      <c r="C706" s="9"/>
      <c r="D706" s="9"/>
      <c r="E706" s="9"/>
      <c r="F706" s="9"/>
      <c r="G706" s="59"/>
      <c r="H706" s="9"/>
    </row>
    <row r="707">
      <c r="A707" s="9"/>
      <c r="B707" s="9"/>
      <c r="C707" s="9"/>
      <c r="D707" s="9"/>
      <c r="E707" s="9"/>
      <c r="F707" s="9"/>
      <c r="G707" s="59"/>
      <c r="H707" s="9"/>
    </row>
    <row r="708">
      <c r="A708" s="9"/>
      <c r="B708" s="9"/>
      <c r="C708" s="9"/>
      <c r="D708" s="9"/>
      <c r="E708" s="9"/>
      <c r="F708" s="9"/>
      <c r="G708" s="59"/>
      <c r="H708" s="9"/>
    </row>
    <row r="709">
      <c r="A709" s="9"/>
      <c r="B709" s="9"/>
      <c r="C709" s="9"/>
      <c r="D709" s="9"/>
      <c r="E709" s="9"/>
      <c r="F709" s="9"/>
      <c r="G709" s="59"/>
      <c r="H709" s="9"/>
    </row>
    <row r="710">
      <c r="A710" s="9"/>
      <c r="B710" s="9"/>
      <c r="C710" s="9"/>
      <c r="D710" s="9"/>
      <c r="E710" s="9"/>
      <c r="F710" s="9"/>
      <c r="G710" s="59"/>
      <c r="H710" s="9"/>
    </row>
    <row r="711">
      <c r="A711" s="9"/>
      <c r="B711" s="9"/>
      <c r="C711" s="9"/>
      <c r="D711" s="9"/>
      <c r="E711" s="9"/>
      <c r="F711" s="9"/>
      <c r="G711" s="59"/>
      <c r="H711" s="9"/>
    </row>
    <row r="712">
      <c r="A712" s="9"/>
      <c r="B712" s="9"/>
      <c r="C712" s="9"/>
      <c r="D712" s="9"/>
      <c r="E712" s="9"/>
      <c r="F712" s="9"/>
      <c r="G712" s="59"/>
      <c r="H712" s="9"/>
    </row>
    <row r="713">
      <c r="A713" s="9"/>
      <c r="B713" s="9"/>
      <c r="C713" s="9"/>
      <c r="D713" s="9"/>
      <c r="E713" s="9"/>
      <c r="F713" s="9"/>
      <c r="G713" s="59"/>
      <c r="H713" s="9"/>
    </row>
    <row r="714">
      <c r="A714" s="9"/>
      <c r="B714" s="9"/>
      <c r="C714" s="9"/>
      <c r="D714" s="9"/>
      <c r="E714" s="9"/>
      <c r="F714" s="9"/>
      <c r="G714" s="59"/>
      <c r="H714" s="9"/>
    </row>
    <row r="715">
      <c r="A715" s="9"/>
      <c r="B715" s="9"/>
      <c r="C715" s="9"/>
      <c r="D715" s="9"/>
      <c r="E715" s="9"/>
      <c r="F715" s="9"/>
      <c r="G715" s="59"/>
      <c r="H715" s="9"/>
    </row>
    <row r="716">
      <c r="A716" s="9"/>
      <c r="B716" s="9"/>
      <c r="C716" s="9"/>
      <c r="D716" s="9"/>
      <c r="E716" s="9"/>
      <c r="F716" s="9"/>
      <c r="G716" s="59"/>
      <c r="H716" s="9"/>
    </row>
    <row r="717">
      <c r="A717" s="9"/>
      <c r="B717" s="9"/>
      <c r="C717" s="9"/>
      <c r="D717" s="9"/>
      <c r="E717" s="9"/>
      <c r="F717" s="9"/>
      <c r="G717" s="59"/>
      <c r="H717" s="9"/>
    </row>
    <row r="718">
      <c r="A718" s="9"/>
      <c r="B718" s="9"/>
      <c r="C718" s="9"/>
      <c r="D718" s="9"/>
      <c r="E718" s="9"/>
      <c r="F718" s="9"/>
      <c r="G718" s="59"/>
      <c r="H718" s="9"/>
    </row>
    <row r="719">
      <c r="A719" s="9"/>
      <c r="B719" s="9"/>
      <c r="C719" s="9"/>
      <c r="D719" s="9"/>
      <c r="E719" s="9"/>
      <c r="F719" s="9"/>
      <c r="G719" s="59"/>
      <c r="H719" s="9"/>
    </row>
    <row r="720">
      <c r="A720" s="9"/>
      <c r="B720" s="9"/>
      <c r="C720" s="9"/>
      <c r="D720" s="9"/>
      <c r="E720" s="9"/>
      <c r="F720" s="9"/>
      <c r="G720" s="59"/>
      <c r="H720" s="9"/>
    </row>
    <row r="721">
      <c r="A721" s="9"/>
      <c r="B721" s="9"/>
      <c r="C721" s="9"/>
      <c r="D721" s="9"/>
      <c r="E721" s="9"/>
      <c r="F721" s="9"/>
      <c r="G721" s="59"/>
      <c r="H721" s="9"/>
    </row>
    <row r="722">
      <c r="A722" s="9"/>
      <c r="B722" s="9"/>
      <c r="C722" s="9"/>
      <c r="D722" s="9"/>
      <c r="E722" s="9"/>
      <c r="F722" s="9"/>
      <c r="G722" s="59"/>
      <c r="H722" s="9"/>
    </row>
    <row r="723">
      <c r="A723" s="9"/>
      <c r="B723" s="9"/>
      <c r="C723" s="9"/>
      <c r="D723" s="9"/>
      <c r="E723" s="9"/>
      <c r="F723" s="9"/>
      <c r="G723" s="59"/>
      <c r="H723" s="9"/>
    </row>
    <row r="724">
      <c r="A724" s="9"/>
      <c r="B724" s="9"/>
      <c r="C724" s="9"/>
      <c r="D724" s="9"/>
      <c r="E724" s="9"/>
      <c r="F724" s="9"/>
      <c r="G724" s="59"/>
      <c r="H724" s="9"/>
    </row>
    <row r="725">
      <c r="A725" s="9"/>
      <c r="B725" s="9"/>
      <c r="C725" s="9"/>
      <c r="D725" s="9"/>
      <c r="E725" s="9"/>
      <c r="F725" s="9"/>
      <c r="G725" s="59"/>
      <c r="H725" s="9"/>
    </row>
    <row r="726">
      <c r="A726" s="9"/>
      <c r="B726" s="9"/>
      <c r="C726" s="9"/>
      <c r="D726" s="9"/>
      <c r="E726" s="9"/>
      <c r="F726" s="9"/>
      <c r="G726" s="59"/>
      <c r="H726" s="9"/>
    </row>
    <row r="727">
      <c r="A727" s="9"/>
      <c r="B727" s="9"/>
      <c r="C727" s="9"/>
      <c r="D727" s="9"/>
      <c r="E727" s="9"/>
      <c r="F727" s="9"/>
      <c r="G727" s="59"/>
      <c r="H727" s="9"/>
    </row>
    <row r="728">
      <c r="A728" s="9"/>
      <c r="B728" s="9"/>
      <c r="C728" s="9"/>
      <c r="D728" s="9"/>
      <c r="E728" s="9"/>
      <c r="F728" s="9"/>
      <c r="G728" s="59"/>
      <c r="H728" s="9"/>
    </row>
    <row r="729">
      <c r="A729" s="9"/>
      <c r="B729" s="9"/>
      <c r="C729" s="9"/>
      <c r="D729" s="9"/>
      <c r="E729" s="9"/>
      <c r="F729" s="9"/>
      <c r="G729" s="59"/>
      <c r="H729" s="9"/>
    </row>
    <row r="730">
      <c r="A730" s="9"/>
      <c r="B730" s="9"/>
      <c r="C730" s="9"/>
      <c r="D730" s="9"/>
      <c r="E730" s="9"/>
      <c r="F730" s="9"/>
      <c r="G730" s="59"/>
      <c r="H730" s="9"/>
    </row>
    <row r="731">
      <c r="A731" s="9"/>
      <c r="B731" s="9"/>
      <c r="C731" s="9"/>
      <c r="D731" s="9"/>
      <c r="E731" s="9"/>
      <c r="F731" s="9"/>
      <c r="G731" s="59"/>
      <c r="H731" s="9"/>
    </row>
    <row r="732">
      <c r="A732" s="9"/>
      <c r="B732" s="9"/>
      <c r="C732" s="9"/>
      <c r="D732" s="9"/>
      <c r="E732" s="9"/>
      <c r="F732" s="9"/>
      <c r="G732" s="59"/>
      <c r="H732" s="9"/>
    </row>
    <row r="733">
      <c r="A733" s="9"/>
      <c r="B733" s="9"/>
      <c r="C733" s="9"/>
      <c r="D733" s="9"/>
      <c r="E733" s="9"/>
      <c r="F733" s="9"/>
      <c r="G733" s="59"/>
      <c r="H733" s="9"/>
    </row>
    <row r="734">
      <c r="A734" s="9"/>
      <c r="B734" s="9"/>
      <c r="C734" s="9"/>
      <c r="D734" s="9"/>
      <c r="E734" s="9"/>
      <c r="F734" s="9"/>
      <c r="G734" s="59"/>
      <c r="H734" s="9"/>
    </row>
    <row r="735">
      <c r="A735" s="9"/>
      <c r="B735" s="9"/>
      <c r="C735" s="9"/>
      <c r="D735" s="9"/>
      <c r="E735" s="9"/>
      <c r="F735" s="9"/>
      <c r="G735" s="59"/>
      <c r="H735" s="9"/>
    </row>
    <row r="736">
      <c r="A736" s="9"/>
      <c r="B736" s="9"/>
      <c r="C736" s="9"/>
      <c r="D736" s="9"/>
      <c r="E736" s="9"/>
      <c r="F736" s="9"/>
      <c r="G736" s="59"/>
      <c r="H736" s="9"/>
    </row>
    <row r="737">
      <c r="A737" s="9"/>
      <c r="B737" s="9"/>
      <c r="C737" s="9"/>
      <c r="D737" s="9"/>
      <c r="E737" s="9"/>
      <c r="F737" s="9"/>
      <c r="G737" s="59"/>
      <c r="H737" s="9"/>
    </row>
    <row r="738">
      <c r="A738" s="9"/>
      <c r="B738" s="9"/>
      <c r="C738" s="9"/>
      <c r="D738" s="9"/>
      <c r="E738" s="9"/>
      <c r="F738" s="9"/>
      <c r="G738" s="59"/>
      <c r="H738" s="9"/>
    </row>
    <row r="739">
      <c r="A739" s="9"/>
      <c r="B739" s="9"/>
      <c r="C739" s="9"/>
      <c r="D739" s="9"/>
      <c r="E739" s="9"/>
      <c r="F739" s="9"/>
      <c r="G739" s="59"/>
      <c r="H739" s="9"/>
    </row>
    <row r="740">
      <c r="A740" s="9"/>
      <c r="B740" s="9"/>
      <c r="C740" s="9"/>
      <c r="D740" s="9"/>
      <c r="E740" s="9"/>
      <c r="F740" s="9"/>
      <c r="G740" s="59"/>
      <c r="H740" s="9"/>
    </row>
    <row r="741">
      <c r="A741" s="9"/>
      <c r="B741" s="9"/>
      <c r="C741" s="9"/>
      <c r="D741" s="9"/>
      <c r="E741" s="9"/>
      <c r="F741" s="9"/>
      <c r="G741" s="59"/>
      <c r="H741" s="9"/>
    </row>
    <row r="742">
      <c r="A742" s="9"/>
      <c r="B742" s="9"/>
      <c r="C742" s="9"/>
      <c r="D742" s="9"/>
      <c r="E742" s="9"/>
      <c r="F742" s="9"/>
      <c r="G742" s="59"/>
      <c r="H742" s="9"/>
    </row>
    <row r="743">
      <c r="A743" s="9"/>
      <c r="B743" s="9"/>
      <c r="C743" s="9"/>
      <c r="D743" s="9"/>
      <c r="E743" s="9"/>
      <c r="F743" s="9"/>
      <c r="G743" s="59"/>
      <c r="H743" s="9"/>
    </row>
    <row r="744">
      <c r="A744" s="9"/>
      <c r="B744" s="9"/>
      <c r="C744" s="9"/>
      <c r="D744" s="9"/>
      <c r="E744" s="9"/>
      <c r="F744" s="9"/>
      <c r="G744" s="59"/>
      <c r="H744" s="9"/>
    </row>
    <row r="745">
      <c r="A745" s="9"/>
      <c r="B745" s="9"/>
      <c r="C745" s="9"/>
      <c r="D745" s="9"/>
      <c r="E745" s="9"/>
      <c r="F745" s="9"/>
      <c r="G745" s="59"/>
      <c r="H745" s="9"/>
    </row>
    <row r="746">
      <c r="A746" s="9"/>
      <c r="B746" s="9"/>
      <c r="C746" s="9"/>
      <c r="D746" s="9"/>
      <c r="E746" s="9"/>
      <c r="F746" s="9"/>
      <c r="G746" s="59"/>
      <c r="H746" s="9"/>
    </row>
    <row r="747">
      <c r="A747" s="9"/>
      <c r="B747" s="9"/>
      <c r="C747" s="9"/>
      <c r="D747" s="9"/>
      <c r="E747" s="9"/>
      <c r="F747" s="9"/>
      <c r="G747" s="59"/>
      <c r="H747" s="9"/>
    </row>
    <row r="748">
      <c r="A748" s="9"/>
      <c r="B748" s="9"/>
      <c r="C748" s="9"/>
      <c r="D748" s="9"/>
      <c r="E748" s="9"/>
      <c r="F748" s="9"/>
      <c r="G748" s="59"/>
      <c r="H748" s="9"/>
    </row>
    <row r="749">
      <c r="A749" s="9"/>
      <c r="B749" s="9"/>
      <c r="C749" s="9"/>
      <c r="D749" s="9"/>
      <c r="E749" s="9"/>
      <c r="F749" s="9"/>
      <c r="G749" s="59"/>
      <c r="H749" s="9"/>
    </row>
    <row r="750">
      <c r="A750" s="9"/>
      <c r="B750" s="9"/>
      <c r="C750" s="9"/>
      <c r="D750" s="9"/>
      <c r="E750" s="9"/>
      <c r="F750" s="9"/>
      <c r="G750" s="59"/>
      <c r="H750" s="9"/>
    </row>
    <row r="751">
      <c r="A751" s="9"/>
      <c r="B751" s="9"/>
      <c r="C751" s="9"/>
      <c r="D751" s="9"/>
      <c r="E751" s="9"/>
      <c r="F751" s="9"/>
      <c r="G751" s="59"/>
      <c r="H751" s="9"/>
    </row>
    <row r="752">
      <c r="A752" s="9"/>
      <c r="B752" s="9"/>
      <c r="C752" s="9"/>
      <c r="D752" s="9"/>
      <c r="E752" s="9"/>
      <c r="F752" s="9"/>
      <c r="G752" s="59"/>
      <c r="H752" s="9"/>
    </row>
    <row r="753">
      <c r="A753" s="9"/>
      <c r="B753" s="9"/>
      <c r="C753" s="9"/>
      <c r="D753" s="9"/>
      <c r="E753" s="9"/>
      <c r="F753" s="9"/>
      <c r="G753" s="59"/>
      <c r="H753" s="9"/>
    </row>
    <row r="754">
      <c r="A754" s="9"/>
      <c r="B754" s="9"/>
      <c r="C754" s="9"/>
      <c r="D754" s="9"/>
      <c r="E754" s="9"/>
      <c r="F754" s="9"/>
      <c r="G754" s="59"/>
      <c r="H754" s="9"/>
    </row>
    <row r="755">
      <c r="A755" s="9"/>
      <c r="B755" s="9"/>
      <c r="C755" s="9"/>
      <c r="D755" s="9"/>
      <c r="E755" s="9"/>
      <c r="F755" s="9"/>
      <c r="G755" s="59"/>
      <c r="H755" s="9"/>
    </row>
    <row r="756">
      <c r="A756" s="9"/>
      <c r="B756" s="9"/>
      <c r="C756" s="9"/>
      <c r="D756" s="9"/>
      <c r="E756" s="9"/>
      <c r="F756" s="9"/>
      <c r="G756" s="59"/>
      <c r="H756" s="9"/>
    </row>
    <row r="757">
      <c r="A757" s="9"/>
      <c r="B757" s="9"/>
      <c r="C757" s="9"/>
      <c r="D757" s="9"/>
      <c r="E757" s="9"/>
      <c r="F757" s="9"/>
      <c r="G757" s="59"/>
      <c r="H757" s="9"/>
    </row>
    <row r="758">
      <c r="A758" s="9"/>
      <c r="B758" s="9"/>
      <c r="C758" s="9"/>
      <c r="D758" s="9"/>
      <c r="E758" s="9"/>
      <c r="F758" s="9"/>
      <c r="G758" s="59"/>
      <c r="H758" s="9"/>
    </row>
    <row r="759">
      <c r="A759" s="9"/>
      <c r="B759" s="9"/>
      <c r="C759" s="9"/>
      <c r="D759" s="9"/>
      <c r="E759" s="9"/>
      <c r="F759" s="9"/>
      <c r="G759" s="59"/>
      <c r="H759" s="9"/>
    </row>
    <row r="760">
      <c r="A760" s="9"/>
      <c r="B760" s="9"/>
      <c r="C760" s="9"/>
      <c r="D760" s="9"/>
      <c r="E760" s="9"/>
      <c r="F760" s="9"/>
      <c r="G760" s="59"/>
      <c r="H760" s="9"/>
    </row>
    <row r="761">
      <c r="A761" s="9"/>
      <c r="B761" s="9"/>
      <c r="C761" s="9"/>
      <c r="D761" s="9"/>
      <c r="E761" s="9"/>
      <c r="F761" s="9"/>
      <c r="G761" s="59"/>
      <c r="H761" s="9"/>
    </row>
    <row r="762">
      <c r="A762" s="9"/>
      <c r="B762" s="9"/>
      <c r="C762" s="9"/>
      <c r="D762" s="9"/>
      <c r="E762" s="9"/>
      <c r="F762" s="9"/>
      <c r="G762" s="59"/>
      <c r="H762" s="9"/>
    </row>
    <row r="763">
      <c r="A763" s="9"/>
      <c r="B763" s="9"/>
      <c r="C763" s="9"/>
      <c r="D763" s="9"/>
      <c r="E763" s="9"/>
      <c r="F763" s="9"/>
      <c r="G763" s="59"/>
      <c r="H763" s="9"/>
    </row>
    <row r="764">
      <c r="A764" s="9"/>
      <c r="B764" s="9"/>
      <c r="C764" s="9"/>
      <c r="D764" s="9"/>
      <c r="E764" s="9"/>
      <c r="F764" s="9"/>
      <c r="G764" s="59"/>
      <c r="H764" s="9"/>
    </row>
    <row r="765">
      <c r="A765" s="9"/>
      <c r="B765" s="9"/>
      <c r="C765" s="9"/>
      <c r="D765" s="9"/>
      <c r="E765" s="9"/>
      <c r="F765" s="9"/>
      <c r="G765" s="59"/>
      <c r="H765" s="9"/>
    </row>
    <row r="766">
      <c r="A766" s="9"/>
      <c r="B766" s="9"/>
      <c r="C766" s="9"/>
      <c r="D766" s="9"/>
      <c r="E766" s="9"/>
      <c r="F766" s="9"/>
      <c r="G766" s="59"/>
      <c r="H766" s="9"/>
    </row>
    <row r="767">
      <c r="A767" s="9"/>
      <c r="B767" s="9"/>
      <c r="C767" s="9"/>
      <c r="D767" s="9"/>
      <c r="E767" s="9"/>
      <c r="F767" s="9"/>
      <c r="G767" s="59"/>
      <c r="H767" s="9"/>
    </row>
    <row r="768">
      <c r="A768" s="9"/>
      <c r="B768" s="9"/>
      <c r="C768" s="9"/>
      <c r="D768" s="9"/>
      <c r="E768" s="9"/>
      <c r="F768" s="9"/>
      <c r="G768" s="59"/>
      <c r="H768" s="9"/>
    </row>
    <row r="769">
      <c r="A769" s="9"/>
      <c r="B769" s="9"/>
      <c r="C769" s="9"/>
      <c r="D769" s="9"/>
      <c r="E769" s="9"/>
      <c r="F769" s="9"/>
      <c r="G769" s="59"/>
      <c r="H769" s="9"/>
    </row>
    <row r="770">
      <c r="A770" s="9"/>
      <c r="B770" s="9"/>
      <c r="C770" s="9"/>
      <c r="D770" s="9"/>
      <c r="E770" s="9"/>
      <c r="F770" s="9"/>
      <c r="G770" s="59"/>
      <c r="H770" s="9"/>
    </row>
    <row r="771">
      <c r="A771" s="9"/>
      <c r="B771" s="9"/>
      <c r="C771" s="9"/>
      <c r="D771" s="9"/>
      <c r="E771" s="9"/>
      <c r="F771" s="9"/>
      <c r="G771" s="59"/>
      <c r="H771" s="9"/>
    </row>
    <row r="772">
      <c r="A772" s="9"/>
      <c r="B772" s="9"/>
      <c r="C772" s="9"/>
      <c r="D772" s="9"/>
      <c r="E772" s="9"/>
      <c r="F772" s="9"/>
      <c r="G772" s="59"/>
      <c r="H772" s="9"/>
    </row>
    <row r="773">
      <c r="A773" s="9"/>
      <c r="B773" s="9"/>
      <c r="C773" s="9"/>
      <c r="D773" s="9"/>
      <c r="E773" s="9"/>
      <c r="F773" s="9"/>
      <c r="G773" s="59"/>
      <c r="H773" s="9"/>
    </row>
    <row r="774">
      <c r="A774" s="9"/>
      <c r="B774" s="9"/>
      <c r="C774" s="9"/>
      <c r="D774" s="9"/>
      <c r="E774" s="9"/>
      <c r="F774" s="9"/>
      <c r="G774" s="59"/>
      <c r="H774" s="9"/>
    </row>
    <row r="775">
      <c r="A775" s="9"/>
      <c r="B775" s="9"/>
      <c r="C775" s="9"/>
      <c r="D775" s="9"/>
      <c r="E775" s="9"/>
      <c r="F775" s="9"/>
      <c r="G775" s="59"/>
      <c r="H775" s="9"/>
    </row>
    <row r="776">
      <c r="A776" s="9"/>
      <c r="B776" s="9"/>
      <c r="C776" s="9"/>
      <c r="D776" s="9"/>
      <c r="E776" s="9"/>
      <c r="F776" s="9"/>
      <c r="G776" s="59"/>
      <c r="H776" s="9"/>
    </row>
    <row r="777">
      <c r="A777" s="9"/>
      <c r="B777" s="9"/>
      <c r="C777" s="9"/>
      <c r="D777" s="9"/>
      <c r="E777" s="9"/>
      <c r="F777" s="9"/>
      <c r="G777" s="59"/>
      <c r="H777" s="9"/>
    </row>
    <row r="778">
      <c r="A778" s="9"/>
      <c r="B778" s="9"/>
      <c r="C778" s="9"/>
      <c r="D778" s="9"/>
      <c r="E778" s="9"/>
      <c r="F778" s="9"/>
      <c r="G778" s="59"/>
      <c r="H778" s="9"/>
    </row>
    <row r="779">
      <c r="A779" s="9"/>
      <c r="B779" s="9"/>
      <c r="C779" s="9"/>
      <c r="D779" s="9"/>
      <c r="E779" s="9"/>
      <c r="F779" s="9"/>
      <c r="G779" s="59"/>
      <c r="H779" s="9"/>
    </row>
    <row r="780">
      <c r="A780" s="9"/>
      <c r="B780" s="9"/>
      <c r="C780" s="9"/>
      <c r="D780" s="9"/>
      <c r="E780" s="9"/>
      <c r="F780" s="9"/>
      <c r="G780" s="59"/>
      <c r="H780" s="9"/>
    </row>
    <row r="781">
      <c r="A781" s="9"/>
      <c r="B781" s="9"/>
      <c r="C781" s="9"/>
      <c r="D781" s="9"/>
      <c r="E781" s="9"/>
      <c r="F781" s="9"/>
      <c r="G781" s="59"/>
      <c r="H781" s="9"/>
    </row>
    <row r="782">
      <c r="A782" s="9"/>
      <c r="B782" s="9"/>
      <c r="C782" s="9"/>
      <c r="D782" s="9"/>
      <c r="E782" s="9"/>
      <c r="F782" s="9"/>
      <c r="G782" s="59"/>
      <c r="H782" s="9"/>
    </row>
    <row r="783">
      <c r="A783" s="9"/>
      <c r="B783" s="9"/>
      <c r="C783" s="9"/>
      <c r="D783" s="9"/>
      <c r="E783" s="9"/>
      <c r="F783" s="9"/>
      <c r="G783" s="59"/>
      <c r="H783" s="9"/>
    </row>
    <row r="784">
      <c r="A784" s="9"/>
      <c r="B784" s="9"/>
      <c r="C784" s="9"/>
      <c r="D784" s="9"/>
      <c r="E784" s="9"/>
      <c r="F784" s="9"/>
      <c r="G784" s="59"/>
      <c r="H784" s="9"/>
    </row>
    <row r="785">
      <c r="A785" s="9"/>
      <c r="B785" s="9"/>
      <c r="C785" s="9"/>
      <c r="D785" s="9"/>
      <c r="E785" s="9"/>
      <c r="F785" s="9"/>
      <c r="G785" s="59"/>
      <c r="H785" s="9"/>
    </row>
    <row r="786">
      <c r="A786" s="9"/>
      <c r="B786" s="9"/>
      <c r="C786" s="9"/>
      <c r="D786" s="9"/>
      <c r="E786" s="9"/>
      <c r="F786" s="9"/>
      <c r="G786" s="59"/>
      <c r="H786" s="9"/>
    </row>
    <row r="787">
      <c r="A787" s="9"/>
      <c r="B787" s="9"/>
      <c r="C787" s="9"/>
      <c r="D787" s="9"/>
      <c r="E787" s="9"/>
      <c r="F787" s="9"/>
      <c r="G787" s="59"/>
      <c r="H787" s="9"/>
    </row>
    <row r="788">
      <c r="A788" s="9"/>
      <c r="B788" s="9"/>
      <c r="C788" s="9"/>
      <c r="D788" s="9"/>
      <c r="E788" s="9"/>
      <c r="F788" s="9"/>
      <c r="G788" s="59"/>
      <c r="H788" s="9"/>
    </row>
    <row r="789">
      <c r="A789" s="9"/>
      <c r="B789" s="9"/>
      <c r="C789" s="9"/>
      <c r="D789" s="9"/>
      <c r="E789" s="9"/>
      <c r="F789" s="9"/>
      <c r="G789" s="59"/>
      <c r="H789" s="9"/>
    </row>
    <row r="790">
      <c r="A790" s="9"/>
      <c r="B790" s="9"/>
      <c r="C790" s="9"/>
      <c r="D790" s="9"/>
      <c r="E790" s="9"/>
      <c r="F790" s="9"/>
      <c r="G790" s="59"/>
      <c r="H790" s="9"/>
    </row>
    <row r="791">
      <c r="A791" s="9"/>
      <c r="B791" s="9"/>
      <c r="C791" s="9"/>
      <c r="D791" s="9"/>
      <c r="E791" s="9"/>
      <c r="F791" s="9"/>
      <c r="G791" s="59"/>
      <c r="H791" s="9"/>
    </row>
    <row r="792">
      <c r="A792" s="9"/>
      <c r="B792" s="9"/>
      <c r="C792" s="9"/>
      <c r="D792" s="9"/>
      <c r="E792" s="9"/>
      <c r="F792" s="9"/>
      <c r="G792" s="59"/>
      <c r="H792" s="9"/>
    </row>
    <row r="793">
      <c r="A793" s="9"/>
      <c r="B793" s="9"/>
      <c r="C793" s="9"/>
      <c r="D793" s="9"/>
      <c r="E793" s="9"/>
      <c r="F793" s="9"/>
      <c r="G793" s="59"/>
      <c r="H793" s="9"/>
    </row>
    <row r="794">
      <c r="A794" s="9"/>
      <c r="B794" s="9"/>
      <c r="C794" s="9"/>
      <c r="D794" s="9"/>
      <c r="E794" s="9"/>
      <c r="F794" s="9"/>
      <c r="G794" s="59"/>
      <c r="H794" s="9"/>
    </row>
    <row r="795">
      <c r="A795" s="9"/>
      <c r="B795" s="9"/>
      <c r="C795" s="9"/>
      <c r="D795" s="9"/>
      <c r="E795" s="9"/>
      <c r="F795" s="9"/>
      <c r="G795" s="59"/>
      <c r="H795" s="9"/>
    </row>
    <row r="796">
      <c r="A796" s="9"/>
      <c r="B796" s="9"/>
      <c r="C796" s="9"/>
      <c r="D796" s="9"/>
      <c r="E796" s="9"/>
      <c r="F796" s="9"/>
      <c r="G796" s="59"/>
      <c r="H796" s="9"/>
    </row>
    <row r="797">
      <c r="A797" s="9"/>
      <c r="B797" s="9"/>
      <c r="C797" s="9"/>
      <c r="D797" s="9"/>
      <c r="E797" s="9"/>
      <c r="F797" s="9"/>
      <c r="G797" s="59"/>
      <c r="H797" s="9"/>
    </row>
    <row r="798">
      <c r="A798" s="9"/>
      <c r="B798" s="9"/>
      <c r="C798" s="9"/>
      <c r="D798" s="9"/>
      <c r="E798" s="9"/>
      <c r="F798" s="9"/>
      <c r="G798" s="59"/>
      <c r="H798" s="9"/>
    </row>
    <row r="799">
      <c r="A799" s="9"/>
      <c r="B799" s="9"/>
      <c r="C799" s="9"/>
      <c r="D799" s="9"/>
      <c r="E799" s="9"/>
      <c r="F799" s="9"/>
      <c r="G799" s="59"/>
      <c r="H799" s="9"/>
    </row>
    <row r="800">
      <c r="A800" s="9"/>
      <c r="B800" s="9"/>
      <c r="C800" s="9"/>
      <c r="D800" s="9"/>
      <c r="E800" s="9"/>
      <c r="F800" s="9"/>
      <c r="G800" s="59"/>
      <c r="H800" s="9"/>
    </row>
    <row r="801">
      <c r="A801" s="9"/>
      <c r="B801" s="9"/>
      <c r="C801" s="9"/>
      <c r="D801" s="9"/>
      <c r="E801" s="9"/>
      <c r="F801" s="9"/>
      <c r="G801" s="59"/>
      <c r="H801" s="9"/>
    </row>
    <row r="802">
      <c r="A802" s="9"/>
      <c r="B802" s="9"/>
      <c r="C802" s="9"/>
      <c r="D802" s="9"/>
      <c r="E802" s="9"/>
      <c r="F802" s="9"/>
      <c r="G802" s="59"/>
      <c r="H802" s="9"/>
    </row>
    <row r="803">
      <c r="A803" s="9"/>
      <c r="B803" s="9"/>
      <c r="C803" s="9"/>
      <c r="D803" s="9"/>
      <c r="E803" s="9"/>
      <c r="F803" s="9"/>
      <c r="G803" s="59"/>
      <c r="H803" s="9"/>
    </row>
    <row r="804">
      <c r="A804" s="9"/>
      <c r="B804" s="9"/>
      <c r="C804" s="9"/>
      <c r="D804" s="9"/>
      <c r="E804" s="9"/>
      <c r="F804" s="9"/>
      <c r="G804" s="59"/>
      <c r="H804" s="9"/>
    </row>
    <row r="805">
      <c r="A805" s="9"/>
      <c r="B805" s="9"/>
      <c r="C805" s="9"/>
      <c r="D805" s="9"/>
      <c r="E805" s="9"/>
      <c r="F805" s="9"/>
      <c r="G805" s="59"/>
      <c r="H805" s="9"/>
    </row>
    <row r="806">
      <c r="A806" s="9"/>
      <c r="B806" s="9"/>
      <c r="C806" s="9"/>
      <c r="D806" s="9"/>
      <c r="E806" s="9"/>
      <c r="F806" s="9"/>
      <c r="G806" s="59"/>
      <c r="H806" s="9"/>
    </row>
    <row r="807">
      <c r="A807" s="9"/>
      <c r="B807" s="9"/>
      <c r="C807" s="9"/>
      <c r="D807" s="9"/>
      <c r="E807" s="9"/>
      <c r="F807" s="9"/>
      <c r="G807" s="59"/>
      <c r="H807" s="9"/>
    </row>
    <row r="808">
      <c r="A808" s="9"/>
      <c r="B808" s="9"/>
      <c r="C808" s="9"/>
      <c r="D808" s="9"/>
      <c r="E808" s="9"/>
      <c r="F808" s="9"/>
      <c r="G808" s="59"/>
      <c r="H808" s="9"/>
    </row>
    <row r="809">
      <c r="A809" s="9"/>
      <c r="B809" s="9"/>
      <c r="C809" s="9"/>
      <c r="D809" s="9"/>
      <c r="E809" s="9"/>
      <c r="F809" s="9"/>
      <c r="G809" s="59"/>
      <c r="H809" s="9"/>
    </row>
    <row r="810">
      <c r="A810" s="9"/>
      <c r="B810" s="9"/>
      <c r="C810" s="9"/>
      <c r="D810" s="9"/>
      <c r="E810" s="9"/>
      <c r="F810" s="9"/>
      <c r="G810" s="59"/>
      <c r="H810" s="9"/>
    </row>
    <row r="811">
      <c r="A811" s="9"/>
      <c r="B811" s="9"/>
      <c r="C811" s="9"/>
      <c r="D811" s="9"/>
      <c r="E811" s="9"/>
      <c r="F811" s="9"/>
      <c r="G811" s="59"/>
      <c r="H811" s="9"/>
    </row>
    <row r="812">
      <c r="A812" s="9"/>
      <c r="B812" s="9"/>
      <c r="C812" s="9"/>
      <c r="D812" s="9"/>
      <c r="E812" s="9"/>
      <c r="F812" s="9"/>
      <c r="G812" s="59"/>
      <c r="H812" s="9"/>
    </row>
    <row r="813">
      <c r="A813" s="9"/>
      <c r="B813" s="9"/>
      <c r="C813" s="9"/>
      <c r="D813" s="9"/>
      <c r="E813" s="9"/>
      <c r="F813" s="9"/>
      <c r="G813" s="59"/>
      <c r="H813" s="9"/>
    </row>
    <row r="814">
      <c r="A814" s="9"/>
      <c r="B814" s="9"/>
      <c r="C814" s="9"/>
      <c r="D814" s="9"/>
      <c r="E814" s="9"/>
      <c r="F814" s="9"/>
      <c r="G814" s="59"/>
      <c r="H814" s="9"/>
    </row>
    <row r="815">
      <c r="A815" s="9"/>
      <c r="B815" s="9"/>
      <c r="C815" s="9"/>
      <c r="D815" s="9"/>
      <c r="E815" s="9"/>
      <c r="F815" s="9"/>
      <c r="G815" s="59"/>
      <c r="H815" s="9"/>
    </row>
    <row r="816">
      <c r="A816" s="9"/>
      <c r="B816" s="9"/>
      <c r="C816" s="9"/>
      <c r="D816" s="9"/>
      <c r="E816" s="9"/>
      <c r="F816" s="9"/>
      <c r="G816" s="59"/>
      <c r="H816" s="9"/>
    </row>
    <row r="817">
      <c r="A817" s="9"/>
      <c r="B817" s="9"/>
      <c r="C817" s="9"/>
      <c r="D817" s="9"/>
      <c r="E817" s="9"/>
      <c r="F817" s="9"/>
      <c r="G817" s="59"/>
      <c r="H817" s="9"/>
    </row>
    <row r="818">
      <c r="A818" s="9"/>
      <c r="B818" s="9"/>
      <c r="C818" s="9"/>
      <c r="D818" s="9"/>
      <c r="E818" s="9"/>
      <c r="F818" s="9"/>
      <c r="G818" s="59"/>
      <c r="H818" s="9"/>
    </row>
    <row r="819">
      <c r="A819" s="9"/>
      <c r="B819" s="9"/>
      <c r="C819" s="9"/>
      <c r="D819" s="9"/>
      <c r="E819" s="9"/>
      <c r="F819" s="9"/>
      <c r="G819" s="59"/>
      <c r="H819" s="9"/>
    </row>
    <row r="820">
      <c r="A820" s="9"/>
      <c r="B820" s="9"/>
      <c r="C820" s="9"/>
      <c r="D820" s="9"/>
      <c r="E820" s="9"/>
      <c r="F820" s="9"/>
      <c r="G820" s="59"/>
      <c r="H820" s="9"/>
    </row>
    <row r="821">
      <c r="A821" s="9"/>
      <c r="B821" s="9"/>
      <c r="C821" s="9"/>
      <c r="D821" s="9"/>
      <c r="E821" s="9"/>
      <c r="F821" s="9"/>
      <c r="G821" s="59"/>
      <c r="H821" s="9"/>
    </row>
    <row r="822">
      <c r="A822" s="9"/>
      <c r="B822" s="9"/>
      <c r="C822" s="9"/>
      <c r="D822" s="9"/>
      <c r="E822" s="9"/>
      <c r="F822" s="9"/>
      <c r="G822" s="59"/>
      <c r="H822" s="9"/>
    </row>
    <row r="823">
      <c r="A823" s="9"/>
      <c r="B823" s="9"/>
      <c r="C823" s="9"/>
      <c r="D823" s="9"/>
      <c r="E823" s="9"/>
      <c r="F823" s="9"/>
      <c r="G823" s="59"/>
      <c r="H823" s="9"/>
    </row>
    <row r="824">
      <c r="A824" s="9"/>
      <c r="B824" s="9"/>
      <c r="C824" s="9"/>
      <c r="D824" s="9"/>
      <c r="E824" s="9"/>
      <c r="F824" s="9"/>
      <c r="G824" s="59"/>
      <c r="H824" s="9"/>
    </row>
    <row r="825">
      <c r="A825" s="9"/>
      <c r="B825" s="9"/>
      <c r="C825" s="9"/>
      <c r="D825" s="9"/>
      <c r="E825" s="9"/>
      <c r="F825" s="9"/>
      <c r="G825" s="59"/>
      <c r="H825" s="9"/>
    </row>
    <row r="826">
      <c r="A826" s="9"/>
      <c r="B826" s="9"/>
      <c r="C826" s="9"/>
      <c r="D826" s="9"/>
      <c r="E826" s="9"/>
      <c r="F826" s="9"/>
      <c r="G826" s="59"/>
      <c r="H826" s="9"/>
    </row>
    <row r="827">
      <c r="A827" s="9"/>
      <c r="B827" s="9"/>
      <c r="C827" s="9"/>
      <c r="D827" s="9"/>
      <c r="E827" s="9"/>
      <c r="F827" s="9"/>
      <c r="G827" s="59"/>
      <c r="H827" s="9"/>
    </row>
    <row r="828">
      <c r="A828" s="9"/>
      <c r="B828" s="9"/>
      <c r="C828" s="9"/>
      <c r="D828" s="9"/>
      <c r="E828" s="9"/>
      <c r="F828" s="9"/>
      <c r="G828" s="59"/>
      <c r="H828" s="9"/>
    </row>
    <row r="829">
      <c r="A829" s="9"/>
      <c r="B829" s="9"/>
      <c r="C829" s="9"/>
      <c r="D829" s="9"/>
      <c r="E829" s="9"/>
      <c r="F829" s="9"/>
      <c r="G829" s="59"/>
      <c r="H829" s="9"/>
    </row>
    <row r="830">
      <c r="A830" s="9"/>
      <c r="B830" s="9"/>
      <c r="C830" s="9"/>
      <c r="D830" s="9"/>
      <c r="E830" s="9"/>
      <c r="F830" s="9"/>
      <c r="G830" s="59"/>
      <c r="H830" s="9"/>
    </row>
    <row r="831">
      <c r="A831" s="9"/>
      <c r="B831" s="9"/>
      <c r="C831" s="9"/>
      <c r="D831" s="9"/>
      <c r="E831" s="9"/>
      <c r="F831" s="9"/>
      <c r="G831" s="59"/>
      <c r="H831" s="9"/>
    </row>
    <row r="832">
      <c r="A832" s="9"/>
      <c r="B832" s="9"/>
      <c r="C832" s="9"/>
      <c r="D832" s="9"/>
      <c r="E832" s="9"/>
      <c r="F832" s="9"/>
      <c r="G832" s="59"/>
      <c r="H832" s="9"/>
    </row>
    <row r="833">
      <c r="A833" s="9"/>
      <c r="B833" s="9"/>
      <c r="C833" s="9"/>
      <c r="D833" s="9"/>
      <c r="E833" s="9"/>
      <c r="F833" s="9"/>
      <c r="G833" s="59"/>
      <c r="H833" s="9"/>
    </row>
    <row r="834">
      <c r="A834" s="9"/>
      <c r="B834" s="9"/>
      <c r="C834" s="9"/>
      <c r="D834" s="9"/>
      <c r="E834" s="9"/>
      <c r="F834" s="9"/>
      <c r="G834" s="59"/>
      <c r="H834" s="9"/>
    </row>
    <row r="835">
      <c r="A835" s="9"/>
      <c r="B835" s="9"/>
      <c r="C835" s="9"/>
      <c r="D835" s="9"/>
      <c r="E835" s="9"/>
      <c r="F835" s="9"/>
      <c r="G835" s="59"/>
      <c r="H835" s="9"/>
    </row>
    <row r="836">
      <c r="A836" s="9"/>
      <c r="B836" s="9"/>
      <c r="C836" s="9"/>
      <c r="D836" s="9"/>
      <c r="E836" s="9"/>
      <c r="F836" s="9"/>
      <c r="G836" s="59"/>
      <c r="H836" s="9"/>
    </row>
    <row r="837">
      <c r="A837" s="9"/>
      <c r="B837" s="9"/>
      <c r="C837" s="9"/>
      <c r="D837" s="9"/>
      <c r="E837" s="9"/>
      <c r="F837" s="9"/>
      <c r="G837" s="59"/>
      <c r="H837" s="9"/>
    </row>
    <row r="838">
      <c r="A838" s="9"/>
      <c r="B838" s="9"/>
      <c r="C838" s="9"/>
      <c r="D838" s="9"/>
      <c r="E838" s="9"/>
      <c r="F838" s="9"/>
      <c r="G838" s="59"/>
      <c r="H838" s="9"/>
    </row>
    <row r="839">
      <c r="A839" s="9"/>
      <c r="B839" s="9"/>
      <c r="C839" s="9"/>
      <c r="D839" s="9"/>
      <c r="E839" s="9"/>
      <c r="F839" s="9"/>
      <c r="G839" s="59"/>
      <c r="H839" s="9"/>
    </row>
    <row r="840">
      <c r="A840" s="9"/>
      <c r="B840" s="9"/>
      <c r="C840" s="9"/>
      <c r="D840" s="9"/>
      <c r="E840" s="9"/>
      <c r="F840" s="9"/>
      <c r="G840" s="59"/>
      <c r="H840" s="9"/>
    </row>
    <row r="841">
      <c r="A841" s="9"/>
      <c r="B841" s="9"/>
      <c r="C841" s="9"/>
      <c r="D841" s="9"/>
      <c r="E841" s="9"/>
      <c r="F841" s="9"/>
      <c r="G841" s="59"/>
      <c r="H841" s="9"/>
    </row>
    <row r="842">
      <c r="A842" s="9"/>
      <c r="B842" s="9"/>
      <c r="C842" s="9"/>
      <c r="D842" s="9"/>
      <c r="E842" s="9"/>
      <c r="F842" s="9"/>
      <c r="G842" s="59"/>
      <c r="H842" s="9"/>
    </row>
    <row r="843">
      <c r="A843" s="9"/>
      <c r="B843" s="9"/>
      <c r="C843" s="9"/>
      <c r="D843" s="9"/>
      <c r="E843" s="9"/>
      <c r="F843" s="9"/>
      <c r="G843" s="59"/>
      <c r="H843" s="9"/>
    </row>
    <row r="844">
      <c r="A844" s="9"/>
      <c r="B844" s="9"/>
      <c r="C844" s="9"/>
      <c r="D844" s="9"/>
      <c r="E844" s="9"/>
      <c r="F844" s="9"/>
      <c r="G844" s="59"/>
      <c r="H844" s="9"/>
    </row>
    <row r="845">
      <c r="A845" s="9"/>
      <c r="B845" s="9"/>
      <c r="C845" s="9"/>
      <c r="D845" s="9"/>
      <c r="E845" s="9"/>
      <c r="F845" s="9"/>
      <c r="G845" s="59"/>
      <c r="H845" s="9"/>
    </row>
    <row r="846">
      <c r="A846" s="9"/>
      <c r="B846" s="9"/>
      <c r="C846" s="9"/>
      <c r="D846" s="9"/>
      <c r="E846" s="9"/>
      <c r="F846" s="9"/>
      <c r="G846" s="59"/>
      <c r="H846" s="9"/>
    </row>
    <row r="847">
      <c r="A847" s="9"/>
      <c r="B847" s="9"/>
      <c r="C847" s="9"/>
      <c r="D847" s="9"/>
      <c r="E847" s="9"/>
      <c r="F847" s="9"/>
      <c r="G847" s="59"/>
      <c r="H847" s="9"/>
    </row>
    <row r="848">
      <c r="A848" s="9"/>
      <c r="B848" s="9"/>
      <c r="C848" s="9"/>
      <c r="D848" s="9"/>
      <c r="E848" s="9"/>
      <c r="F848" s="9"/>
      <c r="G848" s="59"/>
      <c r="H848" s="9"/>
    </row>
    <row r="849">
      <c r="A849" s="9"/>
      <c r="B849" s="9"/>
      <c r="C849" s="9"/>
      <c r="D849" s="9"/>
      <c r="E849" s="9"/>
      <c r="F849" s="9"/>
      <c r="G849" s="59"/>
      <c r="H849" s="9"/>
    </row>
    <row r="850">
      <c r="A850" s="9"/>
      <c r="B850" s="9"/>
      <c r="C850" s="9"/>
      <c r="D850" s="9"/>
      <c r="E850" s="9"/>
      <c r="F850" s="9"/>
      <c r="G850" s="59"/>
      <c r="H850" s="9"/>
    </row>
    <row r="851">
      <c r="A851" s="9"/>
      <c r="B851" s="9"/>
      <c r="C851" s="9"/>
      <c r="D851" s="9"/>
      <c r="E851" s="9"/>
      <c r="F851" s="9"/>
      <c r="G851" s="59"/>
      <c r="H851" s="9"/>
    </row>
    <row r="852">
      <c r="A852" s="9"/>
      <c r="B852" s="9"/>
      <c r="C852" s="9"/>
      <c r="D852" s="9"/>
      <c r="E852" s="9"/>
      <c r="F852" s="9"/>
      <c r="G852" s="59"/>
      <c r="H852" s="9"/>
    </row>
    <row r="853">
      <c r="A853" s="9"/>
      <c r="B853" s="9"/>
      <c r="C853" s="9"/>
      <c r="D853" s="9"/>
      <c r="E853" s="9"/>
      <c r="F853" s="9"/>
      <c r="G853" s="59"/>
      <c r="H853" s="9"/>
    </row>
    <row r="854">
      <c r="A854" s="9"/>
      <c r="B854" s="9"/>
      <c r="C854" s="9"/>
      <c r="D854" s="9"/>
      <c r="E854" s="9"/>
      <c r="F854" s="9"/>
      <c r="G854" s="59"/>
      <c r="H854" s="9"/>
    </row>
    <row r="855">
      <c r="A855" s="9"/>
      <c r="B855" s="9"/>
      <c r="C855" s="9"/>
      <c r="D855" s="9"/>
      <c r="E855" s="9"/>
      <c r="F855" s="9"/>
      <c r="G855" s="59"/>
      <c r="H855" s="9"/>
    </row>
    <row r="856">
      <c r="A856" s="9"/>
      <c r="B856" s="9"/>
      <c r="C856" s="9"/>
      <c r="D856" s="9"/>
      <c r="E856" s="9"/>
      <c r="F856" s="9"/>
      <c r="G856" s="59"/>
      <c r="H856" s="9"/>
    </row>
    <row r="857">
      <c r="A857" s="9"/>
      <c r="B857" s="9"/>
      <c r="C857" s="9"/>
      <c r="D857" s="9"/>
      <c r="E857" s="9"/>
      <c r="F857" s="9"/>
      <c r="G857" s="59"/>
      <c r="H857" s="9"/>
    </row>
    <row r="858">
      <c r="A858" s="9"/>
      <c r="B858" s="9"/>
      <c r="C858" s="9"/>
      <c r="D858" s="9"/>
      <c r="E858" s="9"/>
      <c r="F858" s="9"/>
      <c r="G858" s="59"/>
      <c r="H858" s="9"/>
    </row>
    <row r="859">
      <c r="A859" s="9"/>
      <c r="B859" s="9"/>
      <c r="C859" s="9"/>
      <c r="D859" s="9"/>
      <c r="E859" s="9"/>
      <c r="F859" s="9"/>
      <c r="G859" s="59"/>
      <c r="H859" s="9"/>
    </row>
    <row r="860">
      <c r="A860" s="9"/>
      <c r="B860" s="9"/>
      <c r="C860" s="9"/>
      <c r="D860" s="9"/>
      <c r="E860" s="9"/>
      <c r="F860" s="9"/>
      <c r="G860" s="59"/>
      <c r="H860" s="9"/>
    </row>
    <row r="861">
      <c r="A861" s="9"/>
      <c r="B861" s="9"/>
      <c r="C861" s="9"/>
      <c r="D861" s="9"/>
      <c r="E861" s="9"/>
      <c r="F861" s="9"/>
      <c r="G861" s="59"/>
      <c r="H861" s="9"/>
    </row>
    <row r="862">
      <c r="A862" s="9"/>
      <c r="B862" s="9"/>
      <c r="C862" s="9"/>
      <c r="D862" s="9"/>
      <c r="E862" s="9"/>
      <c r="F862" s="9"/>
      <c r="G862" s="59"/>
      <c r="H862" s="9"/>
    </row>
    <row r="863">
      <c r="A863" s="9"/>
      <c r="B863" s="9"/>
      <c r="C863" s="9"/>
      <c r="D863" s="9"/>
      <c r="E863" s="9"/>
      <c r="F863" s="9"/>
      <c r="G863" s="59"/>
      <c r="H863" s="9"/>
    </row>
    <row r="864">
      <c r="A864" s="9"/>
      <c r="B864" s="9"/>
      <c r="C864" s="9"/>
      <c r="D864" s="9"/>
      <c r="E864" s="9"/>
      <c r="F864" s="9"/>
      <c r="G864" s="59"/>
      <c r="H864" s="9"/>
    </row>
    <row r="865">
      <c r="A865" s="9"/>
      <c r="B865" s="9"/>
      <c r="C865" s="9"/>
      <c r="D865" s="9"/>
      <c r="E865" s="9"/>
      <c r="F865" s="9"/>
      <c r="G865" s="59"/>
      <c r="H865" s="9"/>
    </row>
    <row r="866">
      <c r="A866" s="9"/>
      <c r="B866" s="9"/>
      <c r="C866" s="9"/>
      <c r="D866" s="9"/>
      <c r="E866" s="9"/>
      <c r="F866" s="9"/>
      <c r="G866" s="59"/>
      <c r="H866" s="9"/>
    </row>
    <row r="867">
      <c r="A867" s="9"/>
      <c r="B867" s="9"/>
      <c r="C867" s="9"/>
      <c r="D867" s="9"/>
      <c r="E867" s="9"/>
      <c r="F867" s="9"/>
      <c r="G867" s="59"/>
      <c r="H867" s="9"/>
    </row>
    <row r="868">
      <c r="A868" s="9"/>
      <c r="B868" s="9"/>
      <c r="C868" s="9"/>
      <c r="D868" s="9"/>
      <c r="E868" s="9"/>
      <c r="F868" s="9"/>
      <c r="G868" s="59"/>
      <c r="H868" s="9"/>
    </row>
    <row r="869">
      <c r="A869" s="9"/>
      <c r="B869" s="9"/>
      <c r="C869" s="9"/>
      <c r="D869" s="9"/>
      <c r="E869" s="9"/>
      <c r="F869" s="9"/>
      <c r="G869" s="59"/>
      <c r="H869" s="9"/>
    </row>
    <row r="870">
      <c r="A870" s="9"/>
      <c r="B870" s="9"/>
      <c r="C870" s="9"/>
      <c r="D870" s="9"/>
      <c r="E870" s="9"/>
      <c r="F870" s="9"/>
      <c r="G870" s="59"/>
      <c r="H870" s="9"/>
    </row>
    <row r="871">
      <c r="A871" s="9"/>
      <c r="B871" s="9"/>
      <c r="C871" s="9"/>
      <c r="D871" s="9"/>
      <c r="E871" s="9"/>
      <c r="F871" s="9"/>
      <c r="G871" s="59"/>
      <c r="H871" s="9"/>
    </row>
    <row r="872">
      <c r="A872" s="9"/>
      <c r="B872" s="9"/>
      <c r="C872" s="9"/>
      <c r="D872" s="9"/>
      <c r="E872" s="9"/>
      <c r="F872" s="9"/>
      <c r="G872" s="59"/>
      <c r="H872" s="9"/>
    </row>
    <row r="873">
      <c r="A873" s="9"/>
      <c r="B873" s="9"/>
      <c r="C873" s="9"/>
      <c r="D873" s="9"/>
      <c r="E873" s="9"/>
      <c r="F873" s="9"/>
      <c r="G873" s="59"/>
      <c r="H873" s="9"/>
    </row>
    <row r="874">
      <c r="A874" s="9"/>
      <c r="B874" s="9"/>
      <c r="C874" s="9"/>
      <c r="D874" s="9"/>
      <c r="E874" s="9"/>
      <c r="F874" s="9"/>
      <c r="G874" s="59"/>
      <c r="H874" s="9"/>
    </row>
    <row r="875">
      <c r="A875" s="9"/>
      <c r="B875" s="9"/>
      <c r="C875" s="9"/>
      <c r="D875" s="9"/>
      <c r="E875" s="9"/>
      <c r="F875" s="9"/>
      <c r="G875" s="59"/>
      <c r="H875" s="9"/>
    </row>
    <row r="876">
      <c r="A876" s="9"/>
      <c r="B876" s="9"/>
      <c r="C876" s="9"/>
      <c r="D876" s="9"/>
      <c r="E876" s="9"/>
      <c r="F876" s="9"/>
      <c r="G876" s="59"/>
      <c r="H876" s="9"/>
    </row>
    <row r="877">
      <c r="A877" s="9"/>
      <c r="B877" s="9"/>
      <c r="C877" s="9"/>
      <c r="D877" s="9"/>
      <c r="E877" s="9"/>
      <c r="F877" s="9"/>
      <c r="G877" s="59"/>
      <c r="H877" s="9"/>
    </row>
    <row r="878">
      <c r="A878" s="9"/>
      <c r="B878" s="9"/>
      <c r="C878" s="9"/>
      <c r="D878" s="9"/>
      <c r="E878" s="9"/>
      <c r="F878" s="9"/>
      <c r="G878" s="59"/>
      <c r="H878" s="9"/>
    </row>
    <row r="879">
      <c r="A879" s="9"/>
      <c r="B879" s="9"/>
      <c r="C879" s="9"/>
      <c r="D879" s="9"/>
      <c r="E879" s="9"/>
      <c r="F879" s="9"/>
      <c r="G879" s="59"/>
      <c r="H879" s="9"/>
    </row>
    <row r="880">
      <c r="A880" s="9"/>
      <c r="B880" s="9"/>
      <c r="C880" s="9"/>
      <c r="D880" s="9"/>
      <c r="E880" s="9"/>
      <c r="F880" s="9"/>
      <c r="G880" s="59"/>
      <c r="H880" s="9"/>
    </row>
    <row r="881">
      <c r="A881" s="9"/>
      <c r="B881" s="9"/>
      <c r="C881" s="9"/>
      <c r="D881" s="9"/>
      <c r="E881" s="9"/>
      <c r="F881" s="9"/>
      <c r="G881" s="59"/>
      <c r="H881" s="9"/>
    </row>
    <row r="882">
      <c r="A882" s="9"/>
      <c r="B882" s="9"/>
      <c r="C882" s="9"/>
      <c r="D882" s="9"/>
      <c r="E882" s="9"/>
      <c r="F882" s="9"/>
      <c r="G882" s="59"/>
      <c r="H882" s="9"/>
    </row>
    <row r="883">
      <c r="A883" s="9"/>
      <c r="B883" s="9"/>
      <c r="C883" s="9"/>
      <c r="D883" s="9"/>
      <c r="E883" s="9"/>
      <c r="F883" s="9"/>
      <c r="G883" s="59"/>
      <c r="H883" s="9"/>
    </row>
    <row r="884">
      <c r="A884" s="9"/>
      <c r="B884" s="9"/>
      <c r="C884" s="9"/>
      <c r="D884" s="9"/>
      <c r="E884" s="9"/>
      <c r="F884" s="9"/>
      <c r="G884" s="59"/>
      <c r="H884" s="9"/>
    </row>
    <row r="885">
      <c r="A885" s="9"/>
      <c r="B885" s="9"/>
      <c r="C885" s="9"/>
      <c r="D885" s="9"/>
      <c r="E885" s="9"/>
      <c r="F885" s="9"/>
      <c r="G885" s="59"/>
      <c r="H885" s="9"/>
    </row>
    <row r="886">
      <c r="A886" s="9"/>
      <c r="B886" s="9"/>
      <c r="C886" s="9"/>
      <c r="D886" s="9"/>
      <c r="E886" s="9"/>
      <c r="F886" s="9"/>
      <c r="G886" s="59"/>
      <c r="H886" s="9"/>
    </row>
    <row r="887">
      <c r="A887" s="9"/>
      <c r="B887" s="9"/>
      <c r="C887" s="9"/>
      <c r="D887" s="9"/>
      <c r="E887" s="9"/>
      <c r="F887" s="9"/>
      <c r="G887" s="59"/>
      <c r="H887" s="9"/>
    </row>
    <row r="888">
      <c r="A888" s="9"/>
      <c r="B888" s="9"/>
      <c r="C888" s="9"/>
      <c r="D888" s="9"/>
      <c r="E888" s="9"/>
      <c r="F888" s="9"/>
      <c r="G888" s="59"/>
      <c r="H888" s="9"/>
    </row>
    <row r="889">
      <c r="A889" s="9"/>
      <c r="B889" s="9"/>
      <c r="C889" s="9"/>
      <c r="D889" s="9"/>
      <c r="E889" s="9"/>
      <c r="F889" s="9"/>
      <c r="G889" s="59"/>
      <c r="H889" s="9"/>
    </row>
    <row r="890">
      <c r="A890" s="9"/>
      <c r="B890" s="9"/>
      <c r="C890" s="9"/>
      <c r="D890" s="9"/>
      <c r="E890" s="9"/>
      <c r="F890" s="9"/>
      <c r="G890" s="59"/>
      <c r="H890" s="9"/>
    </row>
    <row r="891">
      <c r="A891" s="9"/>
      <c r="B891" s="9"/>
      <c r="C891" s="9"/>
      <c r="D891" s="9"/>
      <c r="E891" s="9"/>
      <c r="F891" s="9"/>
      <c r="G891" s="59"/>
      <c r="H891" s="9"/>
    </row>
    <row r="892">
      <c r="A892" s="9"/>
      <c r="B892" s="9"/>
      <c r="C892" s="9"/>
      <c r="D892" s="9"/>
      <c r="E892" s="9"/>
      <c r="F892" s="9"/>
      <c r="G892" s="59"/>
      <c r="H892" s="9"/>
    </row>
    <row r="893">
      <c r="A893" s="9"/>
      <c r="B893" s="9"/>
      <c r="C893" s="9"/>
      <c r="D893" s="9"/>
      <c r="E893" s="9"/>
      <c r="F893" s="9"/>
      <c r="G893" s="59"/>
      <c r="H893" s="9"/>
    </row>
    <row r="894">
      <c r="A894" s="9"/>
      <c r="B894" s="9"/>
      <c r="C894" s="9"/>
      <c r="D894" s="9"/>
      <c r="E894" s="9"/>
      <c r="F894" s="9"/>
      <c r="G894" s="59"/>
      <c r="H894" s="9"/>
    </row>
    <row r="895">
      <c r="A895" s="9"/>
      <c r="B895" s="9"/>
      <c r="C895" s="9"/>
      <c r="D895" s="9"/>
      <c r="E895" s="9"/>
      <c r="F895" s="9"/>
      <c r="G895" s="59"/>
      <c r="H895" s="9"/>
    </row>
    <row r="896">
      <c r="A896" s="9"/>
      <c r="B896" s="9"/>
      <c r="C896" s="9"/>
      <c r="D896" s="9"/>
      <c r="E896" s="9"/>
      <c r="F896" s="9"/>
      <c r="G896" s="59"/>
      <c r="H896" s="9"/>
    </row>
    <row r="897">
      <c r="A897" s="9"/>
      <c r="B897" s="9"/>
      <c r="C897" s="9"/>
      <c r="D897" s="9"/>
      <c r="E897" s="9"/>
      <c r="F897" s="9"/>
      <c r="G897" s="59"/>
      <c r="H897" s="9"/>
    </row>
    <row r="898">
      <c r="A898" s="9"/>
      <c r="B898" s="9"/>
      <c r="C898" s="9"/>
      <c r="D898" s="9"/>
      <c r="E898" s="9"/>
      <c r="F898" s="9"/>
      <c r="G898" s="59"/>
      <c r="H898" s="9"/>
    </row>
    <row r="899">
      <c r="A899" s="9"/>
      <c r="B899" s="9"/>
      <c r="C899" s="9"/>
      <c r="D899" s="9"/>
      <c r="E899" s="9"/>
      <c r="F899" s="9"/>
      <c r="G899" s="59"/>
      <c r="H899" s="9"/>
    </row>
    <row r="900">
      <c r="A900" s="9"/>
      <c r="B900" s="9"/>
      <c r="C900" s="9"/>
      <c r="D900" s="9"/>
      <c r="E900" s="9"/>
      <c r="F900" s="9"/>
      <c r="G900" s="59"/>
      <c r="H900" s="9"/>
    </row>
    <row r="901">
      <c r="A901" s="9"/>
      <c r="B901" s="9"/>
      <c r="C901" s="9"/>
      <c r="D901" s="9"/>
      <c r="E901" s="9"/>
      <c r="F901" s="9"/>
      <c r="G901" s="59"/>
      <c r="H901" s="9"/>
    </row>
    <row r="902">
      <c r="A902" s="9"/>
      <c r="B902" s="9"/>
      <c r="C902" s="9"/>
      <c r="D902" s="9"/>
      <c r="E902" s="9"/>
      <c r="F902" s="9"/>
      <c r="G902" s="59"/>
      <c r="H902" s="9"/>
    </row>
    <row r="903">
      <c r="A903" s="9"/>
      <c r="B903" s="9"/>
      <c r="C903" s="9"/>
      <c r="D903" s="9"/>
      <c r="E903" s="9"/>
      <c r="F903" s="9"/>
      <c r="G903" s="59"/>
      <c r="H903" s="9"/>
    </row>
    <row r="904">
      <c r="A904" s="9"/>
      <c r="B904" s="9"/>
      <c r="C904" s="9"/>
      <c r="D904" s="9"/>
      <c r="E904" s="9"/>
      <c r="F904" s="9"/>
      <c r="G904" s="59"/>
      <c r="H904" s="9"/>
    </row>
    <row r="905">
      <c r="A905" s="9"/>
      <c r="B905" s="9"/>
      <c r="C905" s="9"/>
      <c r="D905" s="9"/>
      <c r="E905" s="9"/>
      <c r="F905" s="9"/>
      <c r="G905" s="59"/>
      <c r="H905" s="9"/>
    </row>
    <row r="906">
      <c r="A906" s="9"/>
      <c r="B906" s="9"/>
      <c r="C906" s="9"/>
      <c r="D906" s="9"/>
      <c r="E906" s="9"/>
      <c r="F906" s="9"/>
      <c r="G906" s="59"/>
      <c r="H906" s="9"/>
    </row>
    <row r="907">
      <c r="A907" s="9"/>
      <c r="B907" s="9"/>
      <c r="C907" s="9"/>
      <c r="D907" s="9"/>
      <c r="E907" s="9"/>
      <c r="F907" s="9"/>
      <c r="G907" s="59"/>
      <c r="H907" s="9"/>
    </row>
    <row r="908">
      <c r="A908" s="9"/>
      <c r="B908" s="9"/>
      <c r="C908" s="9"/>
      <c r="D908" s="9"/>
      <c r="E908" s="9"/>
      <c r="F908" s="9"/>
      <c r="G908" s="59"/>
      <c r="H908" s="9"/>
    </row>
    <row r="909">
      <c r="A909" s="9"/>
      <c r="B909" s="9"/>
      <c r="C909" s="9"/>
      <c r="D909" s="9"/>
      <c r="E909" s="9"/>
      <c r="F909" s="9"/>
      <c r="G909" s="59"/>
      <c r="H909" s="9"/>
    </row>
    <row r="910">
      <c r="A910" s="9"/>
      <c r="B910" s="9"/>
      <c r="C910" s="9"/>
      <c r="D910" s="9"/>
      <c r="E910" s="9"/>
      <c r="F910" s="9"/>
      <c r="G910" s="59"/>
      <c r="H910" s="9"/>
    </row>
    <row r="911">
      <c r="A911" s="9"/>
      <c r="B911" s="9"/>
      <c r="C911" s="9"/>
      <c r="D911" s="9"/>
      <c r="E911" s="9"/>
      <c r="F911" s="9"/>
      <c r="G911" s="59"/>
      <c r="H911" s="9"/>
    </row>
    <row r="912">
      <c r="A912" s="9"/>
      <c r="B912" s="9"/>
      <c r="C912" s="9"/>
      <c r="D912" s="9"/>
      <c r="E912" s="9"/>
      <c r="F912" s="9"/>
      <c r="G912" s="59"/>
      <c r="H912" s="9"/>
    </row>
    <row r="913">
      <c r="A913" s="9"/>
      <c r="B913" s="9"/>
      <c r="C913" s="9"/>
      <c r="D913" s="9"/>
      <c r="E913" s="9"/>
      <c r="F913" s="9"/>
      <c r="G913" s="59"/>
      <c r="H913" s="9"/>
    </row>
    <row r="914">
      <c r="A914" s="9"/>
      <c r="B914" s="9"/>
      <c r="C914" s="9"/>
      <c r="D914" s="9"/>
      <c r="E914" s="9"/>
      <c r="F914" s="9"/>
      <c r="G914" s="59"/>
      <c r="H914" s="9"/>
    </row>
    <row r="915">
      <c r="A915" s="9"/>
      <c r="B915" s="9"/>
      <c r="C915" s="9"/>
      <c r="D915" s="9"/>
      <c r="E915" s="9"/>
      <c r="F915" s="9"/>
      <c r="G915" s="59"/>
      <c r="H915" s="9"/>
    </row>
    <row r="916">
      <c r="A916" s="9"/>
      <c r="B916" s="9"/>
      <c r="C916" s="9"/>
      <c r="D916" s="9"/>
      <c r="E916" s="9"/>
      <c r="F916" s="9"/>
      <c r="G916" s="59"/>
      <c r="H916" s="9"/>
    </row>
    <row r="917">
      <c r="A917" s="9"/>
      <c r="B917" s="9"/>
      <c r="C917" s="9"/>
      <c r="D917" s="9"/>
      <c r="E917" s="9"/>
      <c r="F917" s="9"/>
      <c r="G917" s="59"/>
      <c r="H917" s="9"/>
    </row>
    <row r="918">
      <c r="A918" s="9"/>
      <c r="B918" s="9"/>
      <c r="C918" s="9"/>
      <c r="D918" s="9"/>
      <c r="E918" s="9"/>
      <c r="F918" s="9"/>
      <c r="G918" s="59"/>
      <c r="H918" s="9"/>
    </row>
    <row r="919">
      <c r="A919" s="9"/>
      <c r="B919" s="9"/>
      <c r="C919" s="9"/>
      <c r="D919" s="9"/>
      <c r="E919" s="9"/>
      <c r="F919" s="9"/>
      <c r="G919" s="59"/>
      <c r="H919" s="9"/>
    </row>
    <row r="920">
      <c r="A920" s="9"/>
      <c r="B920" s="9"/>
      <c r="C920" s="9"/>
      <c r="D920" s="9"/>
      <c r="E920" s="9"/>
      <c r="F920" s="9"/>
      <c r="G920" s="59"/>
      <c r="H920" s="9"/>
    </row>
    <row r="921">
      <c r="A921" s="9"/>
      <c r="B921" s="9"/>
      <c r="C921" s="9"/>
      <c r="D921" s="9"/>
      <c r="E921" s="9"/>
      <c r="F921" s="9"/>
      <c r="G921" s="59"/>
      <c r="H921" s="9"/>
    </row>
    <row r="922">
      <c r="A922" s="9"/>
      <c r="B922" s="9"/>
      <c r="C922" s="9"/>
      <c r="D922" s="9"/>
      <c r="E922" s="9"/>
      <c r="F922" s="9"/>
      <c r="G922" s="59"/>
      <c r="H922" s="9"/>
    </row>
    <row r="923">
      <c r="A923" s="9"/>
      <c r="B923" s="9"/>
      <c r="C923" s="9"/>
      <c r="D923" s="9"/>
      <c r="E923" s="9"/>
      <c r="F923" s="9"/>
      <c r="G923" s="59"/>
      <c r="H923" s="9"/>
    </row>
    <row r="924">
      <c r="A924" s="9"/>
      <c r="B924" s="9"/>
      <c r="C924" s="9"/>
      <c r="D924" s="9"/>
      <c r="E924" s="9"/>
      <c r="F924" s="9"/>
      <c r="G924" s="59"/>
      <c r="H924" s="9"/>
    </row>
    <row r="925">
      <c r="A925" s="9"/>
      <c r="B925" s="9"/>
      <c r="C925" s="9"/>
      <c r="D925" s="9"/>
      <c r="E925" s="9"/>
      <c r="F925" s="9"/>
      <c r="G925" s="59"/>
      <c r="H925" s="9"/>
    </row>
    <row r="926">
      <c r="A926" s="9"/>
      <c r="B926" s="9"/>
      <c r="C926" s="9"/>
      <c r="D926" s="9"/>
      <c r="E926" s="9"/>
      <c r="F926" s="9"/>
      <c r="G926" s="59"/>
      <c r="H926" s="9"/>
    </row>
    <row r="927">
      <c r="A927" s="9"/>
      <c r="B927" s="9"/>
      <c r="C927" s="9"/>
      <c r="D927" s="9"/>
      <c r="E927" s="9"/>
      <c r="F927" s="9"/>
      <c r="G927" s="59"/>
      <c r="H927" s="9"/>
    </row>
    <row r="928">
      <c r="A928" s="9"/>
      <c r="B928" s="9"/>
      <c r="C928" s="9"/>
      <c r="D928" s="9"/>
      <c r="E928" s="9"/>
      <c r="F928" s="9"/>
      <c r="G928" s="59"/>
      <c r="H928" s="9"/>
    </row>
    <row r="929">
      <c r="A929" s="9"/>
      <c r="B929" s="9"/>
      <c r="C929" s="9"/>
      <c r="D929" s="9"/>
      <c r="E929" s="9"/>
      <c r="F929" s="9"/>
      <c r="G929" s="59"/>
      <c r="H929" s="9"/>
    </row>
    <row r="930">
      <c r="A930" s="9"/>
      <c r="B930" s="9"/>
      <c r="C930" s="9"/>
      <c r="D930" s="9"/>
      <c r="E930" s="9"/>
      <c r="F930" s="9"/>
      <c r="G930" s="59"/>
      <c r="H930" s="9"/>
    </row>
    <row r="931">
      <c r="A931" s="9"/>
      <c r="B931" s="9"/>
      <c r="C931" s="9"/>
      <c r="D931" s="9"/>
      <c r="E931" s="9"/>
      <c r="F931" s="9"/>
      <c r="G931" s="59"/>
      <c r="H931" s="9"/>
    </row>
    <row r="932">
      <c r="A932" s="9"/>
      <c r="B932" s="9"/>
      <c r="C932" s="9"/>
      <c r="D932" s="9"/>
      <c r="E932" s="9"/>
      <c r="F932" s="9"/>
      <c r="G932" s="59"/>
      <c r="H932" s="9"/>
    </row>
    <row r="933">
      <c r="A933" s="9"/>
      <c r="B933" s="9"/>
      <c r="C933" s="9"/>
      <c r="D933" s="9"/>
      <c r="E933" s="9"/>
      <c r="F933" s="9"/>
      <c r="G933" s="59"/>
      <c r="H933" s="9"/>
    </row>
    <row r="934">
      <c r="A934" s="9"/>
      <c r="B934" s="9"/>
      <c r="C934" s="9"/>
      <c r="D934" s="9"/>
      <c r="E934" s="9"/>
      <c r="F934" s="9"/>
      <c r="G934" s="59"/>
      <c r="H934" s="9"/>
    </row>
    <row r="935">
      <c r="A935" s="9"/>
      <c r="B935" s="9"/>
      <c r="C935" s="9"/>
      <c r="D935" s="9"/>
      <c r="E935" s="9"/>
      <c r="F935" s="9"/>
      <c r="G935" s="59"/>
      <c r="H935" s="9"/>
    </row>
    <row r="936">
      <c r="A936" s="9"/>
      <c r="B936" s="9"/>
      <c r="C936" s="9"/>
      <c r="D936" s="9"/>
      <c r="E936" s="9"/>
      <c r="F936" s="9"/>
      <c r="G936" s="59"/>
      <c r="H936" s="9"/>
    </row>
    <row r="937">
      <c r="A937" s="9"/>
      <c r="B937" s="9"/>
      <c r="C937" s="9"/>
      <c r="D937" s="9"/>
      <c r="E937" s="9"/>
      <c r="F937" s="9"/>
      <c r="G937" s="59"/>
      <c r="H937" s="9"/>
    </row>
    <row r="938">
      <c r="A938" s="9"/>
      <c r="B938" s="9"/>
      <c r="C938" s="9"/>
      <c r="D938" s="9"/>
      <c r="E938" s="9"/>
      <c r="F938" s="9"/>
      <c r="G938" s="59"/>
      <c r="H938" s="9"/>
    </row>
    <row r="939">
      <c r="A939" s="9"/>
      <c r="B939" s="9"/>
      <c r="C939" s="9"/>
      <c r="D939" s="9"/>
      <c r="E939" s="9"/>
      <c r="F939" s="9"/>
      <c r="G939" s="59"/>
      <c r="H939" s="9"/>
    </row>
    <row r="940">
      <c r="A940" s="9"/>
      <c r="B940" s="9"/>
      <c r="C940" s="9"/>
      <c r="D940" s="9"/>
      <c r="E940" s="9"/>
      <c r="F940" s="9"/>
      <c r="G940" s="59"/>
      <c r="H940" s="9"/>
    </row>
    <row r="941">
      <c r="A941" s="9"/>
      <c r="B941" s="9"/>
      <c r="C941" s="9"/>
      <c r="D941" s="9"/>
      <c r="E941" s="9"/>
      <c r="F941" s="9"/>
      <c r="G941" s="59"/>
      <c r="H941" s="9"/>
    </row>
    <row r="942">
      <c r="A942" s="9"/>
      <c r="B942" s="9"/>
      <c r="C942" s="9"/>
      <c r="D942" s="9"/>
      <c r="E942" s="9"/>
      <c r="F942" s="9"/>
      <c r="G942" s="59"/>
      <c r="H942" s="9"/>
    </row>
    <row r="943">
      <c r="A943" s="9"/>
      <c r="B943" s="9"/>
      <c r="C943" s="9"/>
      <c r="D943" s="9"/>
      <c r="E943" s="9"/>
      <c r="F943" s="9"/>
      <c r="G943" s="59"/>
      <c r="H943" s="9"/>
    </row>
    <row r="944">
      <c r="A944" s="9"/>
      <c r="B944" s="9"/>
      <c r="C944" s="9"/>
      <c r="D944" s="9"/>
      <c r="E944" s="9"/>
      <c r="F944" s="9"/>
      <c r="G944" s="59"/>
      <c r="H944" s="9"/>
    </row>
    <row r="945">
      <c r="A945" s="9"/>
      <c r="B945" s="9"/>
      <c r="C945" s="9"/>
      <c r="D945" s="9"/>
      <c r="E945" s="9"/>
      <c r="F945" s="9"/>
      <c r="G945" s="59"/>
      <c r="H945" s="9"/>
    </row>
    <row r="946">
      <c r="A946" s="9"/>
      <c r="B946" s="9"/>
      <c r="C946" s="9"/>
      <c r="D946" s="9"/>
      <c r="E946" s="9"/>
      <c r="F946" s="9"/>
      <c r="G946" s="59"/>
      <c r="H946" s="9"/>
    </row>
    <row r="947">
      <c r="A947" s="9"/>
      <c r="B947" s="9"/>
      <c r="C947" s="9"/>
      <c r="D947" s="9"/>
      <c r="E947" s="9"/>
      <c r="F947" s="9"/>
      <c r="G947" s="59"/>
      <c r="H947" s="9"/>
    </row>
    <row r="948">
      <c r="A948" s="9"/>
      <c r="B948" s="9"/>
      <c r="C948" s="9"/>
      <c r="D948" s="9"/>
      <c r="E948" s="9"/>
      <c r="F948" s="9"/>
      <c r="G948" s="59"/>
      <c r="H948" s="9"/>
    </row>
    <row r="949">
      <c r="A949" s="9"/>
      <c r="B949" s="9"/>
      <c r="C949" s="9"/>
      <c r="D949" s="9"/>
      <c r="E949" s="9"/>
      <c r="F949" s="9"/>
      <c r="G949" s="59"/>
      <c r="H949" s="9"/>
    </row>
    <row r="950">
      <c r="A950" s="9"/>
      <c r="B950" s="9"/>
      <c r="C950" s="9"/>
      <c r="D950" s="9"/>
      <c r="E950" s="9"/>
      <c r="F950" s="9"/>
      <c r="G950" s="59"/>
      <c r="H950" s="9"/>
    </row>
    <row r="951">
      <c r="A951" s="9"/>
      <c r="B951" s="9"/>
      <c r="C951" s="9"/>
      <c r="D951" s="9"/>
      <c r="E951" s="9"/>
      <c r="F951" s="9"/>
      <c r="G951" s="59"/>
      <c r="H951" s="9"/>
    </row>
    <row r="952">
      <c r="A952" s="9"/>
      <c r="B952" s="9"/>
      <c r="C952" s="9"/>
      <c r="D952" s="9"/>
      <c r="E952" s="9"/>
      <c r="F952" s="9"/>
      <c r="G952" s="59"/>
      <c r="H952" s="9"/>
    </row>
    <row r="953">
      <c r="A953" s="9"/>
      <c r="B953" s="9"/>
      <c r="C953" s="9"/>
      <c r="D953" s="9"/>
      <c r="E953" s="9"/>
      <c r="F953" s="9"/>
      <c r="G953" s="59"/>
      <c r="H953" s="9"/>
    </row>
    <row r="954">
      <c r="A954" s="9"/>
      <c r="B954" s="9"/>
      <c r="C954" s="9"/>
      <c r="D954" s="9"/>
      <c r="E954" s="9"/>
      <c r="F954" s="9"/>
      <c r="G954" s="59"/>
      <c r="H954" s="9"/>
    </row>
    <row r="955">
      <c r="A955" s="9"/>
      <c r="B955" s="9"/>
      <c r="C955" s="9"/>
      <c r="D955" s="9"/>
      <c r="E955" s="9"/>
      <c r="F955" s="9"/>
      <c r="G955" s="59"/>
      <c r="H955" s="9"/>
    </row>
    <row r="956">
      <c r="A956" s="9"/>
      <c r="B956" s="9"/>
      <c r="C956" s="9"/>
      <c r="D956" s="9"/>
      <c r="E956" s="9"/>
      <c r="F956" s="9"/>
      <c r="G956" s="59"/>
      <c r="H956" s="9"/>
    </row>
    <row r="957">
      <c r="A957" s="9"/>
      <c r="B957" s="9"/>
      <c r="C957" s="9"/>
      <c r="D957" s="9"/>
      <c r="E957" s="9"/>
      <c r="F957" s="9"/>
      <c r="G957" s="59"/>
      <c r="H957" s="9"/>
    </row>
    <row r="958">
      <c r="A958" s="9"/>
      <c r="B958" s="9"/>
      <c r="C958" s="9"/>
      <c r="D958" s="9"/>
      <c r="E958" s="9"/>
      <c r="F958" s="9"/>
      <c r="G958" s="59"/>
      <c r="H958" s="9"/>
    </row>
    <row r="959">
      <c r="A959" s="9"/>
      <c r="B959" s="9"/>
      <c r="C959" s="9"/>
      <c r="D959" s="9"/>
      <c r="E959" s="9"/>
      <c r="F959" s="9"/>
      <c r="G959" s="59"/>
      <c r="H959" s="9"/>
    </row>
    <row r="960">
      <c r="A960" s="9"/>
      <c r="B960" s="9"/>
      <c r="C960" s="9"/>
      <c r="D960" s="9"/>
      <c r="E960" s="9"/>
      <c r="F960" s="9"/>
      <c r="G960" s="59"/>
      <c r="H960" s="9"/>
    </row>
    <row r="961">
      <c r="A961" s="9"/>
      <c r="B961" s="9"/>
      <c r="C961" s="9"/>
      <c r="D961" s="9"/>
      <c r="E961" s="9"/>
      <c r="F961" s="9"/>
      <c r="G961" s="59"/>
      <c r="H961" s="9"/>
    </row>
    <row r="962">
      <c r="A962" s="9"/>
      <c r="B962" s="9"/>
      <c r="C962" s="9"/>
      <c r="D962" s="9"/>
      <c r="E962" s="9"/>
      <c r="F962" s="9"/>
      <c r="G962" s="59"/>
      <c r="H962" s="9"/>
    </row>
    <row r="963">
      <c r="A963" s="9"/>
      <c r="B963" s="9"/>
      <c r="C963" s="9"/>
      <c r="D963" s="9"/>
      <c r="E963" s="9"/>
      <c r="F963" s="9"/>
      <c r="G963" s="59"/>
      <c r="H963" s="9"/>
    </row>
    <row r="964">
      <c r="A964" s="9"/>
      <c r="B964" s="9"/>
      <c r="C964" s="9"/>
      <c r="D964" s="9"/>
      <c r="E964" s="9"/>
      <c r="F964" s="9"/>
      <c r="G964" s="59"/>
      <c r="H964" s="9"/>
    </row>
  </sheetData>
  <mergeCells count="5">
    <mergeCell ref="A1:F1"/>
    <mergeCell ref="A5:A6"/>
    <mergeCell ref="I5:R6"/>
    <mergeCell ref="J9:Q10"/>
    <mergeCell ref="J20:Q21"/>
  </mergeCells>
  <dataValidations>
    <dataValidation type="list" allowBlank="1" showErrorMessage="1" sqref="B9:B374">
      <formula1>"🕹 Lucky Draw,เข้าร่วมทุกคน,รอตรวจสอบ"</formula1>
    </dataValidation>
    <dataValidation type="list" allowBlank="1" showErrorMessage="1" sqref="E9:E374">
      <formula1>"🌐 เว็บไซต์,💌 จดหมายภายในเกม,📱 ข้อความ sms,📦 จัดส่งพัสดุ"</formula1>
    </dataValidation>
    <dataValidation type="list" allowBlank="1" showErrorMessage="1" sqref="F9:F374">
      <formula1>"เปิดรับยืนยันตัวตน,ปิดรับยืนยันตัวตน,⚙️ กำลังดำเนินการ,✅ จัดส่งแล้ว,🟡 ติดต่อแก้ข้อมูล"</formula1>
    </dataValidation>
    <dataValidation type="list" allowBlank="1" showErrorMessage="1" sqref="B3">
      <formula1>"⚙️ กำลังดำเนินการ,✅ จัดส่งเรียบร้อย"</formula1>
    </dataValidation>
    <dataValidation type="list" allowBlank="1" showErrorMessage="1" sqref="D3">
      <formula1>"ทีมสีเหลือง,ทีมสีฟ้า,MKT,BD"</formula1>
    </dataValidation>
    <dataValidation type="list" allowBlank="1" showErrorMessage="1" sqref="L12:L17 L23:L29">
      <formula1>Data!E4:E964</formula1>
    </dataValidation>
  </dataValidations>
  <hyperlinks>
    <hyperlink r:id="rId1" ref="C3"/>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29.75"/>
    <col customWidth="1" min="3" max="3" width="37.25"/>
    <col customWidth="1" min="4" max="4" width="27.5"/>
    <col customWidth="1" min="5" max="5" width="24.63"/>
    <col customWidth="1" min="6" max="6" width="25.25"/>
    <col customWidth="1" min="7" max="7" width="6.75"/>
  </cols>
  <sheetData>
    <row r="1">
      <c r="A1" s="92" t="s">
        <v>41</v>
      </c>
      <c r="G1" s="59"/>
    </row>
    <row r="2">
      <c r="A2" s="60" t="s">
        <v>46</v>
      </c>
      <c r="B2" s="93">
        <v>46183.0</v>
      </c>
      <c r="C2" s="60" t="s">
        <v>47</v>
      </c>
      <c r="D2" s="62" t="s">
        <v>48</v>
      </c>
      <c r="E2" s="63" t="s">
        <v>49</v>
      </c>
      <c r="F2" s="9"/>
      <c r="G2" s="59"/>
    </row>
    <row r="3">
      <c r="A3" s="60" t="s">
        <v>51</v>
      </c>
      <c r="B3" s="65" t="s">
        <v>27</v>
      </c>
      <c r="C3" s="113" t="s">
        <v>52</v>
      </c>
      <c r="D3" s="65" t="s">
        <v>53</v>
      </c>
      <c r="E3" s="67" t="s">
        <v>54</v>
      </c>
      <c r="F3" s="9"/>
      <c r="G3" s="59"/>
    </row>
    <row r="4">
      <c r="A4" s="105"/>
      <c r="B4" s="65"/>
      <c r="C4" s="66"/>
      <c r="D4" s="65"/>
      <c r="E4" s="67"/>
      <c r="F4" s="9"/>
      <c r="G4" s="59"/>
    </row>
    <row r="5">
      <c r="A5" s="70" t="s">
        <v>57</v>
      </c>
      <c r="B5" s="71" t="s">
        <v>58</v>
      </c>
      <c r="C5" s="72" t="s">
        <v>59</v>
      </c>
      <c r="D5" s="9"/>
      <c r="E5" s="9"/>
      <c r="F5" s="9"/>
      <c r="G5" s="59"/>
    </row>
    <row r="6">
      <c r="B6" s="71" t="s">
        <v>60</v>
      </c>
      <c r="C6" s="72" t="s">
        <v>61</v>
      </c>
      <c r="D6" s="9"/>
      <c r="E6" s="9"/>
      <c r="F6" s="9"/>
      <c r="G6" s="59"/>
      <c r="I6" s="160" t="s">
        <v>50</v>
      </c>
    </row>
    <row r="7">
      <c r="A7" s="9"/>
      <c r="B7" s="9"/>
      <c r="C7" s="9"/>
      <c r="D7" s="9"/>
      <c r="E7" s="9"/>
      <c r="F7" s="9"/>
      <c r="G7" s="59"/>
    </row>
    <row r="8">
      <c r="A8" s="9"/>
      <c r="B8" s="9"/>
      <c r="C8" s="9"/>
      <c r="D8" s="9"/>
      <c r="E8" s="9"/>
      <c r="F8" s="9"/>
      <c r="G8" s="59"/>
    </row>
    <row r="9">
      <c r="A9" s="73" t="s">
        <v>62</v>
      </c>
      <c r="B9" s="73" t="s">
        <v>63</v>
      </c>
      <c r="C9" s="73" t="s">
        <v>64</v>
      </c>
      <c r="D9" s="73" t="s">
        <v>65</v>
      </c>
      <c r="E9" s="73" t="s">
        <v>66</v>
      </c>
      <c r="F9" s="73" t="s">
        <v>51</v>
      </c>
      <c r="G9" s="59"/>
      <c r="I9" s="9"/>
      <c r="J9" s="9"/>
      <c r="K9" s="9"/>
      <c r="L9" s="9"/>
      <c r="M9" s="9"/>
      <c r="N9" s="9"/>
      <c r="O9" s="9"/>
      <c r="P9" s="9"/>
      <c r="Q9" s="9"/>
      <c r="R9" s="9"/>
    </row>
    <row r="10">
      <c r="A10" s="65">
        <v>1.0</v>
      </c>
      <c r="B10" s="50" t="s">
        <v>67</v>
      </c>
      <c r="C10" s="143" t="s">
        <v>569</v>
      </c>
      <c r="D10" s="143" t="s">
        <v>570</v>
      </c>
      <c r="E10" s="75" t="s">
        <v>68</v>
      </c>
      <c r="F10" s="117" t="s">
        <v>69</v>
      </c>
      <c r="G10" s="59"/>
      <c r="I10" s="9"/>
      <c r="J10" s="9"/>
      <c r="K10" s="9"/>
      <c r="L10" s="9"/>
      <c r="M10" s="9"/>
      <c r="N10" s="9"/>
      <c r="O10" s="9"/>
      <c r="P10" s="9"/>
      <c r="Q10" s="9"/>
      <c r="R10" s="9"/>
    </row>
    <row r="11">
      <c r="A11" s="65">
        <v>2.0</v>
      </c>
      <c r="B11" s="50" t="s">
        <v>67</v>
      </c>
      <c r="C11" s="143" t="s">
        <v>1253</v>
      </c>
      <c r="D11" s="143" t="s">
        <v>1254</v>
      </c>
      <c r="E11" s="75" t="s">
        <v>68</v>
      </c>
      <c r="F11" s="117" t="s">
        <v>69</v>
      </c>
      <c r="G11" s="59"/>
      <c r="I11" s="9"/>
      <c r="J11" s="161" t="s">
        <v>1255</v>
      </c>
      <c r="R11" s="9"/>
    </row>
    <row r="12">
      <c r="A12" s="65">
        <v>3.0</v>
      </c>
      <c r="B12" s="50" t="s">
        <v>67</v>
      </c>
      <c r="C12" s="143" t="s">
        <v>1256</v>
      </c>
      <c r="D12" s="143" t="s">
        <v>1257</v>
      </c>
      <c r="E12" s="75" t="s">
        <v>68</v>
      </c>
      <c r="F12" s="117" t="s">
        <v>69</v>
      </c>
      <c r="G12" s="59"/>
      <c r="I12" s="9"/>
      <c r="R12" s="9"/>
    </row>
    <row r="13">
      <c r="A13" s="65">
        <v>4.0</v>
      </c>
      <c r="B13" s="50" t="s">
        <v>67</v>
      </c>
      <c r="C13" s="143" t="s">
        <v>1258</v>
      </c>
      <c r="D13" s="143" t="s">
        <v>1259</v>
      </c>
      <c r="E13" s="75" t="s">
        <v>68</v>
      </c>
      <c r="F13" s="117" t="s">
        <v>69</v>
      </c>
      <c r="G13" s="59"/>
      <c r="I13" s="96" t="s">
        <v>55</v>
      </c>
      <c r="J13" s="121" t="s">
        <v>71</v>
      </c>
      <c r="K13" s="121" t="s">
        <v>72</v>
      </c>
      <c r="L13" s="121" t="s">
        <v>73</v>
      </c>
      <c r="M13" s="162" t="s">
        <v>74</v>
      </c>
      <c r="N13" s="121" t="s">
        <v>75</v>
      </c>
      <c r="O13" s="121" t="s">
        <v>76</v>
      </c>
      <c r="P13" s="121" t="s">
        <v>77</v>
      </c>
      <c r="Q13" s="124" t="s">
        <v>78</v>
      </c>
      <c r="R13" s="9"/>
    </row>
    <row r="14">
      <c r="A14" s="65">
        <v>5.0</v>
      </c>
      <c r="B14" s="50" t="s">
        <v>67</v>
      </c>
      <c r="C14" s="143" t="s">
        <v>1260</v>
      </c>
      <c r="D14" s="143" t="s">
        <v>1261</v>
      </c>
      <c r="E14" s="75" t="s">
        <v>68</v>
      </c>
      <c r="F14" s="117" t="s">
        <v>69</v>
      </c>
      <c r="G14" s="59"/>
      <c r="I14" s="118">
        <v>1201.0</v>
      </c>
      <c r="J14" s="82" t="str">
        <f t="array" ref="J14">IFERROR(INDEX(Data!$A$4:$O1004, MATCH($L14, INDEX(Data!$A$4:$O1004, 0, MATCH("Item EN", Data!$A$3:$O$3, FALSE)), FALSE), MATCH("Image", Data!$A$3:$O$3, FALSE)
),"")</f>
        <v/>
      </c>
      <c r="K14" s="83">
        <f t="array" ref="K14">IFERROR(INDEX(Data!$A$4:$O1004, MATCH($L14, INDEX(Data!$A$4:$O1004, 0, MATCH("Item EN", Data!$A$3:$O$3, FALSE)), FALSE), MATCH("Item ID", Data!$A$3:$O$3, FALSE)
),"")</f>
        <v>101501</v>
      </c>
      <c r="L14" s="138" t="s">
        <v>533</v>
      </c>
      <c r="M14" s="103"/>
      <c r="N14" s="83" t="str">
        <f t="array" ref="N14">IFERROR(INDEX(Data!$A$4:$O1004, MATCH($L14, INDEX(Data!$A$4:$O1004, 0, MATCH("Item EN", Data!$A$3:$O$3, FALSE)), FALSE), MATCH("Item Type", Data!$A$3:$O$3, FALSE)
),"")</f>
        <v>Consumable</v>
      </c>
      <c r="O14" s="102">
        <v>1.0</v>
      </c>
      <c r="P14" s="87">
        <f t="array" ref="P14">IF(O14="",,IFERROR(INDEX(Data!$A$4:$O1004, MATCH($L14, INDEX(Data!$A$4:$O1004, 0, MATCH("Item EN", Data!$A$3:$O$3, FALSE)), FALSE), MATCH("Price", Data!$A$3:$O$3, FALSE)
),"")*O14)</f>
        <v>30</v>
      </c>
      <c r="Q14" s="88" t="str">
        <f t="array" ref="Q14">IFERROR(INDEX(Data!$A$4:$O1004, MATCH($L14, INDEX(Data!$A$4:$O1004, 0, MATCH("Item EN", Data!$A$3:$O$3, FALSE)), FALSE), MATCH("Image URL", Data!$A$3:$O$3, FALSE)
),"")</f>
        <v>https://cdn.exe.in.th/marketing/WarzTH_LE/Item%20Dict/rod_fishing_01.png</v>
      </c>
      <c r="R14" s="163">
        <v>1287.0</v>
      </c>
    </row>
    <row r="15">
      <c r="A15" s="65">
        <v>6.0</v>
      </c>
      <c r="B15" s="50" t="s">
        <v>67</v>
      </c>
      <c r="C15" s="143" t="s">
        <v>277</v>
      </c>
      <c r="D15" s="143" t="s">
        <v>278</v>
      </c>
      <c r="E15" s="75" t="s">
        <v>68</v>
      </c>
      <c r="F15" s="117" t="s">
        <v>69</v>
      </c>
      <c r="G15" s="59"/>
      <c r="I15" s="120" t="s">
        <v>114</v>
      </c>
      <c r="J15" s="82" t="str">
        <f t="array" ref="J15">IFERROR(INDEX(Data!$A$4:$O1004, MATCH($L15, INDEX(Data!$A$4:$O1004, 0, MATCH("Item EN", Data!$A$3:$O$3, FALSE)), FALSE), MATCH("Image", Data!$A$3:$O$3, FALSE)
),"")</f>
        <v/>
      </c>
      <c r="K15" s="83">
        <f t="array" ref="K15">IFERROR(INDEX(Data!$A$4:$O1004, MATCH($L15, INDEX(Data!$A$4:$O1004, 0, MATCH("Item EN", Data!$A$3:$O$3, FALSE)), FALSE), MATCH("Item ID", Data!$A$3:$O$3, FALSE)
),"")</f>
        <v>101511</v>
      </c>
      <c r="L15" s="138" t="s">
        <v>1262</v>
      </c>
      <c r="M15" s="103"/>
      <c r="N15" s="83" t="str">
        <f t="array" ref="N15">IFERROR(INDEX(Data!$A$4:$O1004, MATCH($L15, INDEX(Data!$A$4:$O1004, 0, MATCH("Item EN", Data!$A$3:$O$3, FALSE)), FALSE), MATCH("Item Type", Data!$A$3:$O$3, FALSE)
),"")</f>
        <v>Consumable</v>
      </c>
      <c r="O15" s="102">
        <v>30.0</v>
      </c>
      <c r="P15" s="87">
        <f t="array" ref="P15">IF(O15="",,IFERROR(INDEX(Data!$A$4:$O1004, MATCH($L15, INDEX(Data!$A$4:$O1004, 0, MATCH("Item EN", Data!$A$3:$O$3, FALSE)), FALSE), MATCH("Price", Data!$A$3:$O$3, FALSE)
),"")*O15)</f>
        <v>30</v>
      </c>
      <c r="Q15" s="88" t="str">
        <f t="array" ref="Q15">IFERROR(INDEX(Data!$A$4:$O1004, MATCH($L15, INDEX(Data!$A$4:$O1004, 0, MATCH("Item EN", Data!$A$3:$O$3, FALSE)), FALSE), MATCH("Image URL", Data!$A$3:$O$3, FALSE)
),"")</f>
        <v>https://cdn.exe.in.th/marketing/WarzTH_LE/Item%20Dict/bait_lv2.png</v>
      </c>
      <c r="R15" s="163">
        <v>1288.0</v>
      </c>
    </row>
    <row r="16">
      <c r="A16" s="65">
        <v>7.0</v>
      </c>
      <c r="B16" s="50" t="s">
        <v>67</v>
      </c>
      <c r="C16" s="143" t="s">
        <v>1263</v>
      </c>
      <c r="D16" s="143" t="s">
        <v>1264</v>
      </c>
      <c r="E16" s="75" t="s">
        <v>68</v>
      </c>
      <c r="F16" s="117" t="s">
        <v>69</v>
      </c>
      <c r="G16" s="59"/>
      <c r="H16" s="9"/>
      <c r="I16" s="114" t="s">
        <v>108</v>
      </c>
      <c r="J16" s="82" t="str">
        <f t="array" ref="J16">IFERROR(INDEX(Data!$A$4:$O1004, MATCH($L16, INDEX(Data!$A$4:$O1004, 0, MATCH("Item EN", Data!$A$3:$O$3, FALSE)), FALSE), MATCH("Image", Data!$A$3:$O$3, FALSE)
),"")</f>
        <v/>
      </c>
      <c r="K16" s="83">
        <f t="array" ref="K16">IFERROR(INDEX(Data!$A$4:$O1004, MATCH($L16, INDEX(Data!$A$4:$O1004, 0, MATCH("Item EN", Data!$A$3:$O$3, FALSE)), FALSE), MATCH("Item ID", Data!$A$3:$O$3, FALSE)
),"")</f>
        <v>20180</v>
      </c>
      <c r="L16" s="138" t="s">
        <v>1265</v>
      </c>
      <c r="M16" s="103"/>
      <c r="N16" s="83" t="str">
        <f t="array" ref="N16">IFERROR(INDEX(Data!$A$4:$O1004, MATCH($L16, INDEX(Data!$A$4:$O1004, 0, MATCH("Item EN", Data!$A$3:$O$3, FALSE)), FALSE), MATCH("Item Type", Data!$A$3:$O$3, FALSE)
),"")</f>
        <v>Equipment</v>
      </c>
      <c r="O16" s="102">
        <v>1.0</v>
      </c>
      <c r="P16" s="87">
        <f t="array" ref="P16">IF(O16="",,IFERROR(INDEX(Data!$A$4:$O1004, MATCH($L16, INDEX(Data!$A$4:$O1004, 0, MATCH("Item EN", Data!$A$3:$O$3, FALSE)), FALSE), MATCH("Price", Data!$A$3:$O$3, FALSE)
),"")*O16)</f>
        <v>3</v>
      </c>
      <c r="Q16" s="88" t="str">
        <f t="array" ref="Q16">IFERROR(INDEX(Data!$A$4:$O1004, MATCH($L16, INDEX(Data!$A$4:$O1004, 0, MATCH("Item EN", Data!$A$3:$O$3, FALSE)), FALSE), MATCH("Image URL", Data!$A$3:$O$3, FALSE)
),"")</f>
        <v>https://cdn.exe.in.th/marketing/WarzTH_LE/Item%20Dict/military_ruck.png</v>
      </c>
      <c r="R16" s="163">
        <v>1219.0</v>
      </c>
    </row>
    <row r="17">
      <c r="A17" s="65">
        <v>8.0</v>
      </c>
      <c r="B17" s="50" t="s">
        <v>67</v>
      </c>
      <c r="C17" s="143" t="s">
        <v>1266</v>
      </c>
      <c r="D17" s="143" t="s">
        <v>1267</v>
      </c>
      <c r="E17" s="75" t="s">
        <v>68</v>
      </c>
      <c r="F17" s="117" t="s">
        <v>69</v>
      </c>
      <c r="G17" s="59"/>
      <c r="H17" s="9"/>
      <c r="I17" s="9"/>
      <c r="J17" s="82" t="str">
        <f t="array" ref="J17">IFERROR(INDEX(Data!$A$4:$O1004, MATCH($L17, INDEX(Data!$A$4:$O1004, 0, MATCH("Item EN", Data!$A$3:$O$3, FALSE)), FALSE), MATCH("Image", Data!$A$3:$O$3, FALSE)
),"")</f>
        <v/>
      </c>
      <c r="K17" s="83">
        <f t="array" ref="K17">IFERROR(INDEX(Data!$A$4:$O1004, MATCH($L17, INDEX(Data!$A$4:$O1004, 0, MATCH("Item EN", Data!$A$3:$O$3, FALSE)), FALSE), MATCH("Item ID", Data!$A$3:$O$3, FALSE)
),"")</f>
        <v>101284</v>
      </c>
      <c r="L17" s="138" t="s">
        <v>88</v>
      </c>
      <c r="M17" s="103"/>
      <c r="N17" s="83" t="str">
        <f t="array" ref="N17">IFERROR(INDEX(Data!$A$4:$O1004, MATCH($L17, INDEX(Data!$A$4:$O1004, 0, MATCH("Item EN", Data!$A$3:$O$3, FALSE)), FALSE), MATCH("Item Type", Data!$A$3:$O$3, FALSE)
),"")</f>
        <v>Consumable</v>
      </c>
      <c r="O17" s="102">
        <v>3.0</v>
      </c>
      <c r="P17" s="87">
        <f t="array" ref="P17">IF(O17="",,IFERROR(INDEX(Data!$A$4:$O1004, MATCH($L17, INDEX(Data!$A$4:$O1004, 0, MATCH("Item EN", Data!$A$3:$O$3, FALSE)), FALSE), MATCH("Price", Data!$A$3:$O$3, FALSE)
),"")*O17)</f>
        <v>3</v>
      </c>
      <c r="Q17" s="88" t="str">
        <f t="array" ref="Q17">IFERROR(INDEX(Data!$A$4:$O1004, MATCH($L17, INDEX(Data!$A$4:$O1004, 0, MATCH("Item EN", Data!$A$3:$O$3, FALSE)), FALSE), MATCH("Image URL", Data!$A$3:$O$3, FALSE)
),"")</f>
        <v>https://cdn.exe.in.th/marketing/WarzTH_LE/Item%20Dict/mre.png</v>
      </c>
      <c r="R17" s="163">
        <v>1187.0</v>
      </c>
    </row>
    <row r="18">
      <c r="A18" s="65">
        <v>9.0</v>
      </c>
      <c r="B18" s="50" t="s">
        <v>67</v>
      </c>
      <c r="C18" s="143" t="s">
        <v>1268</v>
      </c>
      <c r="D18" s="143" t="s">
        <v>1269</v>
      </c>
      <c r="E18" s="75" t="s">
        <v>68</v>
      </c>
      <c r="F18" s="117" t="s">
        <v>69</v>
      </c>
      <c r="G18" s="59"/>
      <c r="H18" s="9"/>
    </row>
    <row r="19">
      <c r="A19" s="65">
        <v>10.0</v>
      </c>
      <c r="B19" s="50" t="s">
        <v>67</v>
      </c>
      <c r="C19" s="143" t="s">
        <v>1270</v>
      </c>
      <c r="D19" s="143" t="s">
        <v>1271</v>
      </c>
      <c r="E19" s="75" t="s">
        <v>68</v>
      </c>
      <c r="F19" s="117" t="s">
        <v>69</v>
      </c>
      <c r="G19" s="59"/>
      <c r="H19" s="9"/>
    </row>
    <row r="20">
      <c r="A20" s="65">
        <v>11.0</v>
      </c>
      <c r="B20" s="50" t="s">
        <v>67</v>
      </c>
      <c r="C20" s="143" t="s">
        <v>775</v>
      </c>
      <c r="D20" s="143" t="s">
        <v>776</v>
      </c>
      <c r="E20" s="75" t="s">
        <v>68</v>
      </c>
      <c r="F20" s="117" t="s">
        <v>69</v>
      </c>
      <c r="G20" s="59"/>
      <c r="H20" s="9"/>
    </row>
    <row r="21">
      <c r="A21" s="65">
        <v>12.0</v>
      </c>
      <c r="B21" s="50" t="s">
        <v>67</v>
      </c>
      <c r="C21" s="143" t="s">
        <v>1272</v>
      </c>
      <c r="D21" s="143" t="s">
        <v>1273</v>
      </c>
      <c r="E21" s="75" t="s">
        <v>68</v>
      </c>
      <c r="F21" s="117" t="s">
        <v>69</v>
      </c>
      <c r="G21" s="59"/>
      <c r="H21" s="9"/>
    </row>
    <row r="22">
      <c r="A22" s="65">
        <v>13.0</v>
      </c>
      <c r="B22" s="50" t="s">
        <v>67</v>
      </c>
      <c r="C22" s="143" t="s">
        <v>1274</v>
      </c>
      <c r="D22" s="143" t="s">
        <v>1275</v>
      </c>
      <c r="E22" s="75" t="s">
        <v>68</v>
      </c>
      <c r="F22" s="117" t="s">
        <v>69</v>
      </c>
      <c r="G22" s="59"/>
      <c r="H22" s="9"/>
    </row>
    <row r="23">
      <c r="A23" s="65">
        <v>14.0</v>
      </c>
      <c r="B23" s="50" t="s">
        <v>67</v>
      </c>
      <c r="C23" s="143" t="s">
        <v>867</v>
      </c>
      <c r="D23" s="143" t="s">
        <v>868</v>
      </c>
      <c r="E23" s="75" t="s">
        <v>68</v>
      </c>
      <c r="F23" s="117" t="s">
        <v>69</v>
      </c>
      <c r="G23" s="59"/>
      <c r="H23" s="9"/>
    </row>
    <row r="24">
      <c r="A24" s="65">
        <v>15.0</v>
      </c>
      <c r="B24" s="50" t="s">
        <v>67</v>
      </c>
      <c r="C24" s="143" t="s">
        <v>1276</v>
      </c>
      <c r="D24" s="143" t="s">
        <v>1277</v>
      </c>
      <c r="E24" s="75" t="s">
        <v>68</v>
      </c>
      <c r="F24" s="117" t="s">
        <v>69</v>
      </c>
      <c r="G24" s="59"/>
      <c r="H24" s="9"/>
    </row>
    <row r="25">
      <c r="A25" s="65">
        <v>16.0</v>
      </c>
      <c r="B25" s="50" t="s">
        <v>67</v>
      </c>
      <c r="C25" s="143" t="s">
        <v>1278</v>
      </c>
      <c r="D25" s="143" t="s">
        <v>1279</v>
      </c>
      <c r="E25" s="75" t="s">
        <v>68</v>
      </c>
      <c r="F25" s="117" t="s">
        <v>69</v>
      </c>
      <c r="G25" s="59"/>
      <c r="H25" s="9"/>
    </row>
    <row r="26">
      <c r="A26" s="65">
        <v>17.0</v>
      </c>
      <c r="B26" s="50" t="s">
        <v>67</v>
      </c>
      <c r="C26" s="143" t="s">
        <v>1280</v>
      </c>
      <c r="D26" s="143" t="s">
        <v>1281</v>
      </c>
      <c r="E26" s="75" t="s">
        <v>68</v>
      </c>
      <c r="F26" s="117" t="s">
        <v>69</v>
      </c>
      <c r="G26" s="59"/>
      <c r="H26" s="9"/>
    </row>
    <row r="27">
      <c r="A27" s="65">
        <v>18.0</v>
      </c>
      <c r="B27" s="50" t="s">
        <v>67</v>
      </c>
      <c r="C27" s="143" t="s">
        <v>1282</v>
      </c>
      <c r="D27" s="143" t="s">
        <v>1283</v>
      </c>
      <c r="E27" s="75" t="s">
        <v>68</v>
      </c>
      <c r="F27" s="117" t="s">
        <v>69</v>
      </c>
      <c r="G27" s="59"/>
      <c r="H27" s="9"/>
    </row>
    <row r="28">
      <c r="A28" s="65">
        <v>19.0</v>
      </c>
      <c r="B28" s="50" t="s">
        <v>67</v>
      </c>
      <c r="C28" s="143" t="s">
        <v>1284</v>
      </c>
      <c r="D28" s="143" t="s">
        <v>1285</v>
      </c>
      <c r="E28" s="75" t="s">
        <v>68</v>
      </c>
      <c r="F28" s="117" t="s">
        <v>69</v>
      </c>
      <c r="G28" s="59"/>
      <c r="H28" s="9"/>
    </row>
    <row r="29">
      <c r="A29" s="65">
        <v>20.0</v>
      </c>
      <c r="B29" s="50" t="s">
        <v>67</v>
      </c>
      <c r="C29" s="143" t="s">
        <v>1286</v>
      </c>
      <c r="D29" s="143" t="s">
        <v>1287</v>
      </c>
      <c r="E29" s="75" t="s">
        <v>68</v>
      </c>
      <c r="F29" s="117" t="s">
        <v>69</v>
      </c>
      <c r="G29" s="59"/>
      <c r="H29" s="9"/>
    </row>
    <row r="30">
      <c r="A30" s="65">
        <v>21.0</v>
      </c>
      <c r="B30" s="50" t="s">
        <v>67</v>
      </c>
      <c r="C30" s="143" t="s">
        <v>1288</v>
      </c>
      <c r="D30" s="143" t="s">
        <v>1289</v>
      </c>
      <c r="E30" s="75" t="s">
        <v>68</v>
      </c>
      <c r="F30" s="117" t="s">
        <v>69</v>
      </c>
      <c r="G30" s="59"/>
      <c r="H30" s="9"/>
    </row>
    <row r="31">
      <c r="A31" s="65">
        <v>22.0</v>
      </c>
      <c r="B31" s="50" t="s">
        <v>67</v>
      </c>
      <c r="C31" s="143" t="s">
        <v>1290</v>
      </c>
      <c r="D31" s="143" t="s">
        <v>1291</v>
      </c>
      <c r="E31" s="75" t="s">
        <v>68</v>
      </c>
      <c r="F31" s="117" t="s">
        <v>69</v>
      </c>
      <c r="G31" s="59"/>
      <c r="H31" s="9"/>
    </row>
    <row r="32">
      <c r="A32" s="65">
        <v>23.0</v>
      </c>
      <c r="B32" s="50" t="s">
        <v>67</v>
      </c>
      <c r="C32" s="143" t="s">
        <v>1292</v>
      </c>
      <c r="D32" s="143" t="s">
        <v>1293</v>
      </c>
      <c r="E32" s="75" t="s">
        <v>68</v>
      </c>
      <c r="F32" s="117" t="s">
        <v>69</v>
      </c>
      <c r="G32" s="59"/>
      <c r="H32" s="9"/>
    </row>
    <row r="33">
      <c r="A33" s="65">
        <v>24.0</v>
      </c>
      <c r="B33" s="50" t="s">
        <v>67</v>
      </c>
      <c r="C33" s="143" t="s">
        <v>1294</v>
      </c>
      <c r="D33" s="143" t="s">
        <v>1295</v>
      </c>
      <c r="E33" s="75" t="s">
        <v>68</v>
      </c>
      <c r="F33" s="117" t="s">
        <v>69</v>
      </c>
      <c r="G33" s="59"/>
      <c r="H33" s="9"/>
    </row>
    <row r="34">
      <c r="A34" s="65">
        <v>25.0</v>
      </c>
      <c r="B34" s="50" t="s">
        <v>67</v>
      </c>
      <c r="C34" s="143" t="s">
        <v>1105</v>
      </c>
      <c r="D34" s="143" t="s">
        <v>1106</v>
      </c>
      <c r="E34" s="75" t="s">
        <v>68</v>
      </c>
      <c r="F34" s="117" t="s">
        <v>69</v>
      </c>
      <c r="G34" s="59"/>
      <c r="H34" s="9"/>
    </row>
    <row r="35">
      <c r="A35" s="65">
        <v>26.0</v>
      </c>
      <c r="B35" s="50" t="s">
        <v>67</v>
      </c>
      <c r="C35" s="143" t="s">
        <v>1296</v>
      </c>
      <c r="D35" s="143" t="s">
        <v>1297</v>
      </c>
      <c r="E35" s="75" t="s">
        <v>68</v>
      </c>
      <c r="F35" s="117" t="s">
        <v>69</v>
      </c>
      <c r="G35" s="59"/>
      <c r="H35" s="9"/>
    </row>
    <row r="36">
      <c r="A36" s="65">
        <v>27.0</v>
      </c>
      <c r="B36" s="50" t="s">
        <v>67</v>
      </c>
      <c r="C36" s="143" t="s">
        <v>1298</v>
      </c>
      <c r="D36" s="143" t="s">
        <v>1299</v>
      </c>
      <c r="E36" s="75" t="s">
        <v>68</v>
      </c>
      <c r="F36" s="117" t="s">
        <v>69</v>
      </c>
      <c r="G36" s="59"/>
      <c r="H36" s="9"/>
    </row>
    <row r="37">
      <c r="A37" s="65">
        <v>28.0</v>
      </c>
      <c r="B37" s="50" t="s">
        <v>67</v>
      </c>
      <c r="C37" s="143" t="s">
        <v>1300</v>
      </c>
      <c r="D37" s="143" t="s">
        <v>1301</v>
      </c>
      <c r="E37" s="75" t="s">
        <v>68</v>
      </c>
      <c r="F37" s="117" t="s">
        <v>69</v>
      </c>
      <c r="G37" s="59"/>
      <c r="H37" s="9"/>
    </row>
    <row r="38">
      <c r="A38" s="65">
        <v>29.0</v>
      </c>
      <c r="B38" s="50" t="s">
        <v>67</v>
      </c>
      <c r="C38" s="143" t="s">
        <v>889</v>
      </c>
      <c r="D38" s="143" t="s">
        <v>890</v>
      </c>
      <c r="E38" s="75" t="s">
        <v>68</v>
      </c>
      <c r="F38" s="117" t="s">
        <v>69</v>
      </c>
      <c r="G38" s="59"/>
      <c r="H38" s="9"/>
    </row>
    <row r="39">
      <c r="A39" s="65">
        <v>30.0</v>
      </c>
      <c r="B39" s="50" t="s">
        <v>67</v>
      </c>
      <c r="C39" s="143" t="s">
        <v>605</v>
      </c>
      <c r="D39" s="143" t="s">
        <v>606</v>
      </c>
      <c r="E39" s="75" t="s">
        <v>68</v>
      </c>
      <c r="F39" s="117" t="s">
        <v>69</v>
      </c>
      <c r="G39" s="59"/>
      <c r="H39" s="9"/>
    </row>
    <row r="40">
      <c r="A40" s="65">
        <v>31.0</v>
      </c>
      <c r="B40" s="50" t="s">
        <v>67</v>
      </c>
      <c r="C40" s="143" t="s">
        <v>1302</v>
      </c>
      <c r="D40" s="143" t="s">
        <v>1303</v>
      </c>
      <c r="E40" s="75" t="s">
        <v>68</v>
      </c>
      <c r="F40" s="117" t="s">
        <v>69</v>
      </c>
      <c r="G40" s="59"/>
      <c r="H40" s="9"/>
    </row>
    <row r="41">
      <c r="A41" s="65">
        <v>32.0</v>
      </c>
      <c r="B41" s="50" t="s">
        <v>67</v>
      </c>
      <c r="C41" s="143" t="s">
        <v>1304</v>
      </c>
      <c r="D41" s="143" t="s">
        <v>1305</v>
      </c>
      <c r="E41" s="75" t="s">
        <v>68</v>
      </c>
      <c r="F41" s="117" t="s">
        <v>69</v>
      </c>
      <c r="G41" s="59"/>
      <c r="H41" s="9"/>
    </row>
    <row r="42">
      <c r="A42" s="65">
        <v>33.0</v>
      </c>
      <c r="B42" s="50" t="s">
        <v>67</v>
      </c>
      <c r="C42" s="143" t="s">
        <v>1306</v>
      </c>
      <c r="D42" s="143" t="s">
        <v>1307</v>
      </c>
      <c r="E42" s="75" t="s">
        <v>68</v>
      </c>
      <c r="F42" s="117" t="s">
        <v>69</v>
      </c>
      <c r="G42" s="59"/>
      <c r="H42" s="9"/>
    </row>
    <row r="43">
      <c r="A43" s="65">
        <v>34.0</v>
      </c>
      <c r="B43" s="128" t="s">
        <v>67</v>
      </c>
      <c r="C43" s="150" t="s">
        <v>1308</v>
      </c>
      <c r="D43" s="150" t="s">
        <v>1309</v>
      </c>
      <c r="E43" s="130" t="s">
        <v>68</v>
      </c>
      <c r="F43" s="131" t="s">
        <v>27</v>
      </c>
      <c r="G43" s="132"/>
      <c r="H43" s="133" t="s">
        <v>291</v>
      </c>
    </row>
    <row r="44">
      <c r="A44" s="65">
        <v>35.0</v>
      </c>
      <c r="B44" s="50" t="s">
        <v>67</v>
      </c>
      <c r="C44" s="143" t="s">
        <v>526</v>
      </c>
      <c r="D44" s="143" t="s">
        <v>527</v>
      </c>
      <c r="E44" s="75" t="s">
        <v>68</v>
      </c>
      <c r="F44" s="117" t="s">
        <v>69</v>
      </c>
      <c r="G44" s="59"/>
      <c r="H44" s="9"/>
    </row>
    <row r="45">
      <c r="A45" s="65">
        <v>36.0</v>
      </c>
      <c r="B45" s="50" t="s">
        <v>67</v>
      </c>
      <c r="C45" s="143" t="s">
        <v>1310</v>
      </c>
      <c r="D45" s="143" t="s">
        <v>1311</v>
      </c>
      <c r="E45" s="75" t="s">
        <v>68</v>
      </c>
      <c r="F45" s="117" t="s">
        <v>69</v>
      </c>
      <c r="G45" s="59"/>
      <c r="H45" s="9"/>
    </row>
    <row r="46">
      <c r="A46" s="65">
        <v>37.0</v>
      </c>
      <c r="B46" s="50" t="s">
        <v>67</v>
      </c>
      <c r="C46" s="143" t="s">
        <v>1312</v>
      </c>
      <c r="D46" s="143" t="s">
        <v>1313</v>
      </c>
      <c r="E46" s="75" t="s">
        <v>68</v>
      </c>
      <c r="F46" s="117" t="s">
        <v>69</v>
      </c>
      <c r="G46" s="59"/>
      <c r="H46" s="9"/>
    </row>
    <row r="47">
      <c r="A47" s="65">
        <v>38.0</v>
      </c>
      <c r="B47" s="50" t="s">
        <v>67</v>
      </c>
      <c r="C47" s="143" t="s">
        <v>1314</v>
      </c>
      <c r="D47" s="143" t="s">
        <v>1315</v>
      </c>
      <c r="E47" s="75" t="s">
        <v>68</v>
      </c>
      <c r="F47" s="117" t="s">
        <v>69</v>
      </c>
      <c r="G47" s="59"/>
      <c r="H47" s="9"/>
    </row>
    <row r="48">
      <c r="A48" s="65">
        <v>39.0</v>
      </c>
      <c r="B48" s="50" t="s">
        <v>67</v>
      </c>
      <c r="C48" s="143" t="s">
        <v>1316</v>
      </c>
      <c r="D48" s="143" t="s">
        <v>1317</v>
      </c>
      <c r="E48" s="75" t="s">
        <v>68</v>
      </c>
      <c r="F48" s="117" t="s">
        <v>69</v>
      </c>
      <c r="G48" s="59"/>
      <c r="H48" s="9"/>
    </row>
    <row r="49">
      <c r="A49" s="65">
        <v>40.0</v>
      </c>
      <c r="B49" s="50" t="s">
        <v>67</v>
      </c>
      <c r="C49" s="143" t="s">
        <v>990</v>
      </c>
      <c r="D49" s="143" t="s">
        <v>991</v>
      </c>
      <c r="E49" s="75" t="s">
        <v>68</v>
      </c>
      <c r="F49" s="117" t="s">
        <v>69</v>
      </c>
      <c r="G49" s="59"/>
      <c r="H49" s="9"/>
    </row>
    <row r="50">
      <c r="A50" s="65">
        <v>41.0</v>
      </c>
      <c r="B50" s="50" t="s">
        <v>67</v>
      </c>
      <c r="C50" s="143" t="s">
        <v>1318</v>
      </c>
      <c r="D50" s="143" t="s">
        <v>1319</v>
      </c>
      <c r="E50" s="75" t="s">
        <v>68</v>
      </c>
      <c r="F50" s="117" t="s">
        <v>69</v>
      </c>
      <c r="G50" s="59"/>
      <c r="H50" s="9"/>
    </row>
    <row r="51">
      <c r="A51" s="65">
        <v>42.0</v>
      </c>
      <c r="B51" s="50" t="s">
        <v>67</v>
      </c>
      <c r="C51" s="143" t="s">
        <v>537</v>
      </c>
      <c r="D51" s="143" t="s">
        <v>538</v>
      </c>
      <c r="E51" s="75" t="s">
        <v>68</v>
      </c>
      <c r="F51" s="117" t="s">
        <v>69</v>
      </c>
      <c r="G51" s="59"/>
      <c r="H51" s="9"/>
    </row>
    <row r="52">
      <c r="A52" s="65">
        <v>43.0</v>
      </c>
      <c r="B52" s="50" t="s">
        <v>67</v>
      </c>
      <c r="C52" s="143" t="s">
        <v>1320</v>
      </c>
      <c r="D52" s="143" t="s">
        <v>1321</v>
      </c>
      <c r="E52" s="75" t="s">
        <v>68</v>
      </c>
      <c r="F52" s="117" t="s">
        <v>69</v>
      </c>
      <c r="G52" s="59"/>
      <c r="H52" s="9"/>
    </row>
    <row r="53">
      <c r="A53" s="65">
        <v>44.0</v>
      </c>
      <c r="B53" s="50" t="s">
        <v>67</v>
      </c>
      <c r="C53" s="143" t="s">
        <v>1322</v>
      </c>
      <c r="D53" s="143" t="s">
        <v>1323</v>
      </c>
      <c r="E53" s="75" t="s">
        <v>68</v>
      </c>
      <c r="F53" s="117" t="s">
        <v>69</v>
      </c>
      <c r="G53" s="59"/>
      <c r="H53" s="9"/>
    </row>
    <row r="54">
      <c r="A54" s="65">
        <v>45.0</v>
      </c>
      <c r="B54" s="50" t="s">
        <v>67</v>
      </c>
      <c r="C54" s="143" t="s">
        <v>1324</v>
      </c>
      <c r="D54" s="143" t="s">
        <v>1325</v>
      </c>
      <c r="E54" s="75" t="s">
        <v>68</v>
      </c>
      <c r="F54" s="117" t="s">
        <v>69</v>
      </c>
      <c r="G54" s="59"/>
      <c r="H54" s="9"/>
    </row>
    <row r="55">
      <c r="A55" s="65">
        <v>46.0</v>
      </c>
      <c r="B55" s="50" t="s">
        <v>67</v>
      </c>
      <c r="C55" s="143" t="s">
        <v>1326</v>
      </c>
      <c r="D55" s="143" t="s">
        <v>1327</v>
      </c>
      <c r="E55" s="75" t="s">
        <v>68</v>
      </c>
      <c r="F55" s="117" t="s">
        <v>69</v>
      </c>
      <c r="G55" s="59"/>
      <c r="H55" s="9"/>
    </row>
    <row r="56">
      <c r="A56" s="65">
        <v>47.0</v>
      </c>
      <c r="B56" s="50" t="s">
        <v>67</v>
      </c>
      <c r="C56" s="143" t="s">
        <v>1328</v>
      </c>
      <c r="D56" s="143" t="s">
        <v>1329</v>
      </c>
      <c r="E56" s="75" t="s">
        <v>68</v>
      </c>
      <c r="F56" s="117" t="s">
        <v>69</v>
      </c>
      <c r="G56" s="59"/>
      <c r="H56" s="9"/>
    </row>
    <row r="57">
      <c r="A57" s="65">
        <v>48.0</v>
      </c>
      <c r="B57" s="50" t="s">
        <v>67</v>
      </c>
      <c r="C57" s="143" t="s">
        <v>831</v>
      </c>
      <c r="D57" s="143" t="s">
        <v>832</v>
      </c>
      <c r="E57" s="75" t="s">
        <v>68</v>
      </c>
      <c r="F57" s="117" t="s">
        <v>69</v>
      </c>
      <c r="G57" s="59"/>
      <c r="H57" s="9"/>
    </row>
    <row r="58">
      <c r="A58" s="65">
        <v>49.0</v>
      </c>
      <c r="B58" s="50" t="s">
        <v>67</v>
      </c>
      <c r="C58" s="143" t="s">
        <v>929</v>
      </c>
      <c r="D58" s="143" t="s">
        <v>930</v>
      </c>
      <c r="E58" s="75" t="s">
        <v>68</v>
      </c>
      <c r="F58" s="117" t="s">
        <v>69</v>
      </c>
      <c r="G58" s="59"/>
      <c r="H58" s="9"/>
    </row>
    <row r="59">
      <c r="A59" s="65">
        <v>50.0</v>
      </c>
      <c r="B59" s="50" t="s">
        <v>67</v>
      </c>
      <c r="C59" s="143" t="s">
        <v>1330</v>
      </c>
      <c r="D59" s="143" t="s">
        <v>1331</v>
      </c>
      <c r="E59" s="75" t="s">
        <v>68</v>
      </c>
      <c r="F59" s="117" t="s">
        <v>69</v>
      </c>
      <c r="G59" s="59"/>
      <c r="H59" s="9"/>
    </row>
    <row r="60">
      <c r="A60" s="9"/>
      <c r="B60" s="9"/>
      <c r="C60" s="9"/>
      <c r="D60" s="9"/>
      <c r="E60" s="9"/>
      <c r="F60" s="9"/>
      <c r="G60" s="59"/>
      <c r="H60" s="9"/>
    </row>
    <row r="61">
      <c r="A61" s="9"/>
      <c r="B61" s="9"/>
      <c r="C61" s="9"/>
      <c r="D61" s="9"/>
      <c r="E61" s="9"/>
      <c r="F61" s="9"/>
      <c r="G61" s="59"/>
      <c r="H61" s="9"/>
    </row>
    <row r="62">
      <c r="A62" s="9"/>
      <c r="B62" s="9"/>
      <c r="C62" s="9"/>
      <c r="D62" s="9"/>
      <c r="E62" s="9"/>
      <c r="F62" s="9"/>
      <c r="G62" s="59"/>
      <c r="H62" s="9"/>
    </row>
    <row r="63">
      <c r="A63" s="9"/>
      <c r="B63" s="9"/>
      <c r="C63" s="9"/>
      <c r="D63" s="9"/>
      <c r="E63" s="9"/>
      <c r="F63" s="9"/>
      <c r="G63" s="59"/>
      <c r="H63" s="9"/>
    </row>
    <row r="64">
      <c r="A64" s="9"/>
      <c r="B64" s="9"/>
      <c r="C64" s="9"/>
      <c r="D64" s="9"/>
      <c r="E64" s="9"/>
      <c r="F64" s="9"/>
      <c r="G64" s="59"/>
      <c r="H64" s="9"/>
    </row>
    <row r="65">
      <c r="A65" s="9"/>
      <c r="B65" s="9"/>
      <c r="C65" s="9"/>
      <c r="D65" s="9"/>
      <c r="E65" s="9"/>
      <c r="F65" s="9"/>
      <c r="G65" s="59"/>
      <c r="H65" s="9"/>
    </row>
    <row r="66">
      <c r="A66" s="9"/>
      <c r="B66" s="9"/>
      <c r="C66" s="9"/>
      <c r="D66" s="9"/>
      <c r="E66" s="9"/>
      <c r="F66" s="9"/>
      <c r="G66" s="59"/>
      <c r="H66" s="9"/>
    </row>
    <row r="67">
      <c r="A67" s="9"/>
      <c r="B67" s="9"/>
      <c r="C67" s="9"/>
      <c r="D67" s="9"/>
      <c r="E67" s="9"/>
      <c r="F67" s="9"/>
      <c r="G67" s="59"/>
      <c r="H67" s="9"/>
    </row>
    <row r="68">
      <c r="A68" s="9"/>
      <c r="B68" s="9"/>
      <c r="C68" s="9"/>
      <c r="D68" s="9"/>
      <c r="E68" s="9"/>
      <c r="F68" s="9"/>
      <c r="G68" s="59"/>
      <c r="H68" s="9"/>
    </row>
    <row r="69">
      <c r="A69" s="9"/>
      <c r="B69" s="9"/>
      <c r="C69" s="9"/>
      <c r="D69" s="9"/>
      <c r="E69" s="9"/>
      <c r="F69" s="9"/>
      <c r="G69" s="59"/>
      <c r="H69" s="9"/>
    </row>
    <row r="70">
      <c r="A70" s="9"/>
      <c r="B70" s="9"/>
      <c r="C70" s="9"/>
      <c r="D70" s="9"/>
      <c r="E70" s="9"/>
      <c r="F70" s="9"/>
      <c r="G70" s="59"/>
      <c r="H70" s="9"/>
    </row>
    <row r="71">
      <c r="A71" s="9"/>
      <c r="B71" s="9"/>
      <c r="C71" s="9"/>
      <c r="D71" s="9"/>
      <c r="E71" s="9"/>
      <c r="F71" s="9"/>
      <c r="G71" s="59"/>
      <c r="H71" s="9"/>
    </row>
    <row r="72">
      <c r="A72" s="9"/>
      <c r="B72" s="9"/>
      <c r="C72" s="9"/>
      <c r="D72" s="9"/>
      <c r="E72" s="9"/>
      <c r="F72" s="9"/>
      <c r="G72" s="59"/>
      <c r="H72" s="9"/>
    </row>
    <row r="73">
      <c r="A73" s="9"/>
      <c r="B73" s="9"/>
      <c r="C73" s="9"/>
      <c r="D73" s="9"/>
      <c r="E73" s="9"/>
      <c r="F73" s="9"/>
      <c r="G73" s="59"/>
      <c r="H73" s="9"/>
    </row>
    <row r="74">
      <c r="A74" s="9"/>
      <c r="B74" s="9"/>
      <c r="C74" s="9"/>
      <c r="D74" s="9"/>
      <c r="E74" s="9"/>
      <c r="F74" s="9"/>
      <c r="G74" s="59"/>
      <c r="H74" s="9"/>
    </row>
    <row r="75">
      <c r="A75" s="9"/>
      <c r="B75" s="9"/>
      <c r="C75" s="9"/>
      <c r="D75" s="9"/>
      <c r="E75" s="9"/>
      <c r="F75" s="9"/>
      <c r="G75" s="59"/>
      <c r="H75" s="9"/>
    </row>
    <row r="76">
      <c r="A76" s="9"/>
      <c r="B76" s="9"/>
      <c r="C76" s="9"/>
      <c r="D76" s="9"/>
      <c r="E76" s="9"/>
      <c r="F76" s="9"/>
      <c r="G76" s="59"/>
      <c r="H76" s="9"/>
    </row>
    <row r="77">
      <c r="A77" s="9"/>
      <c r="B77" s="9"/>
      <c r="C77" s="9"/>
      <c r="D77" s="9"/>
      <c r="E77" s="9"/>
      <c r="F77" s="9"/>
      <c r="G77" s="59"/>
      <c r="H77" s="9"/>
    </row>
    <row r="78">
      <c r="A78" s="9"/>
      <c r="B78" s="9"/>
      <c r="C78" s="9"/>
      <c r="D78" s="9"/>
      <c r="E78" s="9"/>
      <c r="F78" s="9"/>
      <c r="G78" s="59"/>
      <c r="H78" s="9"/>
    </row>
    <row r="79">
      <c r="A79" s="9"/>
      <c r="B79" s="9"/>
      <c r="C79" s="9"/>
      <c r="D79" s="9"/>
      <c r="E79" s="9"/>
      <c r="F79" s="9"/>
      <c r="G79" s="59"/>
      <c r="H79" s="9"/>
    </row>
    <row r="80">
      <c r="A80" s="9"/>
      <c r="B80" s="9"/>
      <c r="C80" s="9"/>
      <c r="D80" s="9"/>
      <c r="E80" s="9"/>
      <c r="F80" s="9"/>
      <c r="G80" s="59"/>
      <c r="H80" s="9"/>
    </row>
    <row r="81">
      <c r="A81" s="9"/>
      <c r="B81" s="9"/>
      <c r="C81" s="9"/>
      <c r="D81" s="9"/>
      <c r="E81" s="9"/>
      <c r="F81" s="9"/>
      <c r="G81" s="59"/>
      <c r="H81" s="9"/>
    </row>
    <row r="82">
      <c r="A82" s="9"/>
      <c r="B82" s="9"/>
      <c r="C82" s="9"/>
      <c r="D82" s="9"/>
      <c r="E82" s="9"/>
      <c r="F82" s="9"/>
      <c r="G82" s="59"/>
      <c r="H82" s="9"/>
    </row>
    <row r="83">
      <c r="A83" s="9"/>
      <c r="B83" s="9"/>
      <c r="C83" s="9"/>
      <c r="D83" s="9"/>
      <c r="E83" s="9"/>
      <c r="F83" s="9"/>
      <c r="G83" s="59"/>
      <c r="H83" s="9"/>
    </row>
    <row r="84">
      <c r="A84" s="9"/>
      <c r="B84" s="9"/>
      <c r="C84" s="9"/>
      <c r="D84" s="9"/>
      <c r="E84" s="9"/>
      <c r="F84" s="9"/>
      <c r="G84" s="59"/>
      <c r="H84" s="9"/>
    </row>
    <row r="85">
      <c r="A85" s="9"/>
      <c r="B85" s="9"/>
      <c r="C85" s="9"/>
      <c r="D85" s="9"/>
      <c r="E85" s="9"/>
      <c r="F85" s="9"/>
      <c r="G85" s="59"/>
      <c r="H85" s="9"/>
    </row>
    <row r="86">
      <c r="A86" s="9"/>
      <c r="B86" s="9"/>
      <c r="C86" s="9"/>
      <c r="D86" s="9"/>
      <c r="E86" s="9"/>
      <c r="F86" s="9"/>
      <c r="G86" s="59"/>
      <c r="H86" s="9"/>
    </row>
    <row r="87">
      <c r="A87" s="9"/>
      <c r="B87" s="9"/>
      <c r="C87" s="9"/>
      <c r="D87" s="9"/>
      <c r="E87" s="9"/>
      <c r="F87" s="9"/>
      <c r="G87" s="59"/>
      <c r="H87" s="9"/>
    </row>
    <row r="88">
      <c r="A88" s="9"/>
      <c r="B88" s="9"/>
      <c r="C88" s="9"/>
      <c r="D88" s="9"/>
      <c r="E88" s="9"/>
      <c r="F88" s="9"/>
      <c r="G88" s="59"/>
      <c r="H88" s="9"/>
    </row>
    <row r="89">
      <c r="A89" s="9"/>
      <c r="B89" s="9"/>
      <c r="C89" s="9"/>
      <c r="D89" s="9"/>
      <c r="E89" s="9"/>
      <c r="F89" s="9"/>
      <c r="G89" s="59"/>
      <c r="H89" s="9"/>
    </row>
    <row r="90">
      <c r="A90" s="9"/>
      <c r="B90" s="9"/>
      <c r="C90" s="9"/>
      <c r="D90" s="9"/>
      <c r="E90" s="9"/>
      <c r="F90" s="9"/>
      <c r="G90" s="59"/>
      <c r="H90" s="9"/>
    </row>
    <row r="91">
      <c r="A91" s="9"/>
      <c r="B91" s="9"/>
      <c r="C91" s="9"/>
      <c r="D91" s="9"/>
      <c r="E91" s="9"/>
      <c r="F91" s="9"/>
      <c r="G91" s="59"/>
      <c r="H91" s="9"/>
    </row>
    <row r="92">
      <c r="A92" s="9"/>
      <c r="B92" s="9"/>
      <c r="C92" s="9"/>
      <c r="D92" s="9"/>
      <c r="E92" s="9"/>
      <c r="F92" s="9"/>
      <c r="G92" s="59"/>
      <c r="H92" s="9"/>
    </row>
    <row r="93">
      <c r="A93" s="9"/>
      <c r="B93" s="9"/>
      <c r="C93" s="9"/>
      <c r="D93" s="9"/>
      <c r="E93" s="9"/>
      <c r="F93" s="9"/>
      <c r="G93" s="59"/>
      <c r="H93" s="9"/>
    </row>
    <row r="94">
      <c r="A94" s="9"/>
      <c r="B94" s="9"/>
      <c r="C94" s="9"/>
      <c r="D94" s="9"/>
      <c r="E94" s="9"/>
      <c r="F94" s="9"/>
      <c r="G94" s="59"/>
      <c r="H94" s="9"/>
    </row>
    <row r="95">
      <c r="A95" s="9"/>
      <c r="B95" s="9"/>
      <c r="C95" s="9"/>
      <c r="D95" s="9"/>
      <c r="E95" s="9"/>
      <c r="F95" s="9"/>
      <c r="G95" s="59"/>
      <c r="H95" s="9"/>
    </row>
    <row r="96">
      <c r="A96" s="9"/>
      <c r="B96" s="9"/>
      <c r="C96" s="9"/>
      <c r="D96" s="9"/>
      <c r="E96" s="9"/>
      <c r="F96" s="9"/>
      <c r="G96" s="59"/>
      <c r="H96" s="9"/>
    </row>
    <row r="97">
      <c r="A97" s="9"/>
      <c r="B97" s="9"/>
      <c r="C97" s="9"/>
      <c r="D97" s="9"/>
      <c r="E97" s="9"/>
      <c r="F97" s="9"/>
      <c r="G97" s="59"/>
      <c r="H97" s="9"/>
    </row>
    <row r="98">
      <c r="A98" s="9"/>
      <c r="B98" s="9"/>
      <c r="C98" s="9"/>
      <c r="D98" s="9"/>
      <c r="E98" s="9"/>
      <c r="F98" s="9"/>
      <c r="G98" s="59"/>
      <c r="H98" s="9"/>
    </row>
    <row r="99">
      <c r="A99" s="9"/>
      <c r="B99" s="9"/>
      <c r="C99" s="9"/>
      <c r="D99" s="9"/>
      <c r="E99" s="9"/>
      <c r="F99" s="9"/>
      <c r="G99" s="59"/>
      <c r="H99" s="9"/>
    </row>
    <row r="100">
      <c r="A100" s="9"/>
      <c r="B100" s="9"/>
      <c r="C100" s="9"/>
      <c r="D100" s="9"/>
      <c r="E100" s="9"/>
      <c r="F100" s="9"/>
      <c r="G100" s="59"/>
      <c r="H100" s="9"/>
    </row>
    <row r="101">
      <c r="A101" s="9"/>
      <c r="B101" s="9"/>
      <c r="C101" s="9"/>
      <c r="D101" s="9"/>
      <c r="E101" s="9"/>
      <c r="F101" s="9"/>
      <c r="G101" s="59"/>
      <c r="H101" s="9"/>
    </row>
    <row r="102">
      <c r="A102" s="9"/>
      <c r="B102" s="9"/>
      <c r="C102" s="9"/>
      <c r="D102" s="9"/>
      <c r="E102" s="9"/>
      <c r="F102" s="9"/>
      <c r="G102" s="59"/>
      <c r="H102" s="9"/>
    </row>
    <row r="103">
      <c r="A103" s="9"/>
      <c r="B103" s="9"/>
      <c r="C103" s="9"/>
      <c r="D103" s="9"/>
      <c r="E103" s="9"/>
      <c r="F103" s="9"/>
      <c r="G103" s="59"/>
      <c r="H103" s="9"/>
    </row>
    <row r="104">
      <c r="A104" s="9"/>
      <c r="B104" s="9"/>
      <c r="C104" s="9"/>
      <c r="D104" s="9"/>
      <c r="E104" s="9"/>
      <c r="F104" s="9"/>
      <c r="G104" s="59"/>
      <c r="H104" s="9"/>
    </row>
    <row r="105">
      <c r="A105" s="9"/>
      <c r="B105" s="9"/>
      <c r="C105" s="9"/>
      <c r="D105" s="9"/>
      <c r="E105" s="9"/>
      <c r="F105" s="9"/>
      <c r="G105" s="59"/>
      <c r="H105" s="9"/>
    </row>
    <row r="106">
      <c r="A106" s="9"/>
      <c r="B106" s="9"/>
      <c r="C106" s="9"/>
      <c r="D106" s="9"/>
      <c r="E106" s="9"/>
      <c r="F106" s="9"/>
      <c r="G106" s="59"/>
      <c r="H106" s="9"/>
    </row>
    <row r="107">
      <c r="A107" s="9"/>
      <c r="B107" s="9"/>
      <c r="C107" s="9"/>
      <c r="D107" s="9"/>
      <c r="E107" s="9"/>
      <c r="F107" s="9"/>
      <c r="G107" s="59"/>
      <c r="H107" s="9"/>
    </row>
    <row r="108">
      <c r="A108" s="9"/>
      <c r="B108" s="9"/>
      <c r="C108" s="9"/>
      <c r="D108" s="9"/>
      <c r="E108" s="9"/>
      <c r="F108" s="9"/>
      <c r="G108" s="59"/>
      <c r="H108" s="9"/>
    </row>
    <row r="109">
      <c r="A109" s="9"/>
      <c r="B109" s="9"/>
      <c r="C109" s="9"/>
      <c r="D109" s="9"/>
      <c r="E109" s="9"/>
      <c r="F109" s="9"/>
      <c r="G109" s="59"/>
      <c r="H109" s="9"/>
    </row>
    <row r="110">
      <c r="A110" s="9"/>
      <c r="B110" s="9"/>
      <c r="C110" s="9"/>
      <c r="D110" s="9"/>
      <c r="E110" s="9"/>
      <c r="F110" s="9"/>
      <c r="G110" s="59"/>
      <c r="H110" s="9"/>
    </row>
    <row r="111">
      <c r="A111" s="9"/>
      <c r="B111" s="9"/>
      <c r="C111" s="9"/>
      <c r="D111" s="9"/>
      <c r="E111" s="9"/>
      <c r="F111" s="9"/>
      <c r="G111" s="59"/>
      <c r="H111" s="9"/>
    </row>
    <row r="112">
      <c r="A112" s="9"/>
      <c r="B112" s="9"/>
      <c r="C112" s="9"/>
      <c r="D112" s="9"/>
      <c r="E112" s="9"/>
      <c r="F112" s="9"/>
      <c r="G112" s="59"/>
      <c r="H112" s="9"/>
    </row>
    <row r="113">
      <c r="A113" s="9"/>
      <c r="B113" s="9"/>
      <c r="C113" s="9"/>
      <c r="D113" s="9"/>
      <c r="E113" s="9"/>
      <c r="F113" s="9"/>
      <c r="G113" s="59"/>
      <c r="H113" s="9"/>
    </row>
    <row r="114">
      <c r="A114" s="9"/>
      <c r="B114" s="9"/>
      <c r="C114" s="9"/>
      <c r="D114" s="9"/>
      <c r="E114" s="9"/>
      <c r="F114" s="9"/>
      <c r="G114" s="59"/>
      <c r="H114" s="9"/>
    </row>
    <row r="115">
      <c r="A115" s="9"/>
      <c r="B115" s="9"/>
      <c r="C115" s="9"/>
      <c r="D115" s="9"/>
      <c r="E115" s="9"/>
      <c r="F115" s="9"/>
      <c r="G115" s="59"/>
      <c r="H115" s="9"/>
    </row>
    <row r="116">
      <c r="A116" s="9"/>
      <c r="B116" s="9"/>
      <c r="C116" s="9"/>
      <c r="D116" s="9"/>
      <c r="E116" s="9"/>
      <c r="F116" s="9"/>
      <c r="G116" s="59"/>
      <c r="H116" s="9"/>
    </row>
    <row r="117">
      <c r="A117" s="9"/>
      <c r="B117" s="9"/>
      <c r="C117" s="9"/>
      <c r="D117" s="9"/>
      <c r="E117" s="9"/>
      <c r="F117" s="9"/>
      <c r="G117" s="59"/>
      <c r="H117" s="9"/>
    </row>
    <row r="118">
      <c r="A118" s="9"/>
      <c r="B118" s="9"/>
      <c r="C118" s="9"/>
      <c r="D118" s="9"/>
      <c r="E118" s="9"/>
      <c r="F118" s="9"/>
      <c r="G118" s="59"/>
      <c r="H118" s="9"/>
    </row>
    <row r="119">
      <c r="A119" s="9"/>
      <c r="B119" s="9"/>
      <c r="C119" s="9"/>
      <c r="D119" s="9"/>
      <c r="E119" s="9"/>
      <c r="F119" s="9"/>
      <c r="G119" s="59"/>
      <c r="H119" s="9"/>
    </row>
    <row r="120">
      <c r="A120" s="9"/>
      <c r="B120" s="9"/>
      <c r="C120" s="9"/>
      <c r="D120" s="9"/>
      <c r="E120" s="9"/>
      <c r="F120" s="9"/>
      <c r="G120" s="59"/>
      <c r="H120" s="9"/>
    </row>
    <row r="121">
      <c r="A121" s="9"/>
      <c r="B121" s="9"/>
      <c r="C121" s="9"/>
      <c r="D121" s="9"/>
      <c r="E121" s="9"/>
      <c r="F121" s="9"/>
      <c r="G121" s="59"/>
      <c r="H121" s="9"/>
    </row>
    <row r="122">
      <c r="A122" s="9"/>
      <c r="B122" s="9"/>
      <c r="C122" s="9"/>
      <c r="D122" s="9"/>
      <c r="E122" s="9"/>
      <c r="F122" s="9"/>
      <c r="G122" s="59"/>
      <c r="H122" s="9"/>
    </row>
    <row r="123">
      <c r="A123" s="9"/>
      <c r="B123" s="9"/>
      <c r="C123" s="9"/>
      <c r="D123" s="9"/>
      <c r="E123" s="9"/>
      <c r="F123" s="9"/>
      <c r="G123" s="59"/>
      <c r="H123" s="9"/>
    </row>
    <row r="124">
      <c r="A124" s="9"/>
      <c r="B124" s="9"/>
      <c r="C124" s="9"/>
      <c r="D124" s="9"/>
      <c r="E124" s="9"/>
      <c r="F124" s="9"/>
      <c r="G124" s="59"/>
      <c r="H124" s="9"/>
    </row>
    <row r="125">
      <c r="A125" s="9"/>
      <c r="B125" s="9"/>
      <c r="C125" s="9"/>
      <c r="D125" s="9"/>
      <c r="E125" s="9"/>
      <c r="F125" s="9"/>
      <c r="G125" s="59"/>
      <c r="H125" s="9"/>
    </row>
    <row r="126">
      <c r="A126" s="9"/>
      <c r="B126" s="9"/>
      <c r="C126" s="9"/>
      <c r="D126" s="9"/>
      <c r="E126" s="9"/>
      <c r="F126" s="9"/>
      <c r="G126" s="59"/>
      <c r="H126" s="9"/>
    </row>
    <row r="127">
      <c r="A127" s="9"/>
      <c r="B127" s="9"/>
      <c r="C127" s="9"/>
      <c r="D127" s="9"/>
      <c r="E127" s="9"/>
      <c r="F127" s="9"/>
      <c r="G127" s="59"/>
      <c r="H127" s="9"/>
    </row>
    <row r="128">
      <c r="A128" s="9"/>
      <c r="B128" s="9"/>
      <c r="C128" s="9"/>
      <c r="D128" s="9"/>
      <c r="E128" s="9"/>
      <c r="F128" s="9"/>
      <c r="G128" s="59"/>
      <c r="H128" s="9"/>
    </row>
    <row r="129">
      <c r="A129" s="9"/>
      <c r="B129" s="9"/>
      <c r="C129" s="9"/>
      <c r="D129" s="9"/>
      <c r="E129" s="9"/>
      <c r="F129" s="9"/>
      <c r="G129" s="59"/>
      <c r="H129" s="9"/>
    </row>
    <row r="130">
      <c r="A130" s="9"/>
      <c r="B130" s="9"/>
      <c r="C130" s="9"/>
      <c r="D130" s="9"/>
      <c r="E130" s="9"/>
      <c r="F130" s="9"/>
      <c r="G130" s="59"/>
      <c r="H130" s="9"/>
    </row>
    <row r="131">
      <c r="A131" s="9"/>
      <c r="B131" s="9"/>
      <c r="C131" s="9"/>
      <c r="D131" s="9"/>
      <c r="E131" s="9"/>
      <c r="F131" s="9"/>
      <c r="G131" s="59"/>
      <c r="H131" s="9"/>
    </row>
    <row r="132">
      <c r="A132" s="9"/>
      <c r="B132" s="9"/>
      <c r="C132" s="9"/>
      <c r="D132" s="9"/>
      <c r="E132" s="9"/>
      <c r="F132" s="9"/>
      <c r="G132" s="59"/>
      <c r="H132" s="9"/>
    </row>
    <row r="133">
      <c r="A133" s="9"/>
      <c r="B133" s="9"/>
      <c r="C133" s="9"/>
      <c r="D133" s="9"/>
      <c r="E133" s="9"/>
      <c r="F133" s="9"/>
      <c r="G133" s="59"/>
      <c r="H133" s="9"/>
    </row>
    <row r="134">
      <c r="A134" s="9"/>
      <c r="B134" s="9"/>
      <c r="C134" s="9"/>
      <c r="D134" s="9"/>
      <c r="E134" s="9"/>
      <c r="F134" s="9"/>
      <c r="G134" s="59"/>
      <c r="H134" s="9"/>
    </row>
    <row r="135">
      <c r="A135" s="9"/>
      <c r="B135" s="9"/>
      <c r="C135" s="9"/>
      <c r="D135" s="9"/>
      <c r="E135" s="9"/>
      <c r="F135" s="9"/>
      <c r="G135" s="59"/>
      <c r="H135" s="9"/>
    </row>
    <row r="136">
      <c r="A136" s="9"/>
      <c r="B136" s="9"/>
      <c r="C136" s="9"/>
      <c r="D136" s="9"/>
      <c r="E136" s="9"/>
      <c r="F136" s="9"/>
      <c r="G136" s="59"/>
      <c r="H136" s="9"/>
    </row>
    <row r="137">
      <c r="A137" s="9"/>
      <c r="B137" s="9"/>
      <c r="C137" s="9"/>
      <c r="D137" s="9"/>
      <c r="E137" s="9"/>
      <c r="F137" s="9"/>
      <c r="G137" s="59"/>
      <c r="H137" s="9"/>
    </row>
    <row r="138">
      <c r="A138" s="9"/>
      <c r="B138" s="9"/>
      <c r="C138" s="9"/>
      <c r="D138" s="9"/>
      <c r="E138" s="9"/>
      <c r="F138" s="9"/>
      <c r="G138" s="59"/>
      <c r="H138" s="9"/>
    </row>
    <row r="139">
      <c r="A139" s="9"/>
      <c r="B139" s="9"/>
      <c r="C139" s="9"/>
      <c r="D139" s="9"/>
      <c r="E139" s="9"/>
      <c r="F139" s="9"/>
      <c r="G139" s="59"/>
      <c r="H139" s="9"/>
    </row>
    <row r="140">
      <c r="A140" s="9"/>
      <c r="B140" s="9"/>
      <c r="C140" s="9"/>
      <c r="D140" s="9"/>
      <c r="E140" s="9"/>
      <c r="F140" s="9"/>
      <c r="G140" s="59"/>
      <c r="H140" s="9"/>
    </row>
    <row r="141">
      <c r="A141" s="9"/>
      <c r="B141" s="9"/>
      <c r="C141" s="9"/>
      <c r="D141" s="9"/>
      <c r="E141" s="9"/>
      <c r="F141" s="9"/>
      <c r="G141" s="59"/>
      <c r="H141" s="9"/>
    </row>
    <row r="142">
      <c r="A142" s="9"/>
      <c r="B142" s="9"/>
      <c r="C142" s="9"/>
      <c r="D142" s="9"/>
      <c r="E142" s="9"/>
      <c r="F142" s="9"/>
      <c r="G142" s="59"/>
      <c r="H142" s="9"/>
    </row>
    <row r="143">
      <c r="A143" s="9"/>
      <c r="B143" s="9"/>
      <c r="C143" s="9"/>
      <c r="D143" s="9"/>
      <c r="E143" s="9"/>
      <c r="F143" s="9"/>
      <c r="G143" s="59"/>
      <c r="H143" s="9"/>
    </row>
    <row r="144">
      <c r="A144" s="9"/>
      <c r="B144" s="9"/>
      <c r="C144" s="9"/>
      <c r="D144" s="9"/>
      <c r="E144" s="9"/>
      <c r="F144" s="9"/>
      <c r="G144" s="59"/>
      <c r="H144" s="9"/>
    </row>
    <row r="145">
      <c r="A145" s="9"/>
      <c r="B145" s="9"/>
      <c r="C145" s="9"/>
      <c r="D145" s="9"/>
      <c r="E145" s="9"/>
      <c r="F145" s="9"/>
      <c r="G145" s="59"/>
      <c r="H145" s="9"/>
    </row>
    <row r="146">
      <c r="A146" s="9"/>
      <c r="B146" s="9"/>
      <c r="C146" s="9"/>
      <c r="D146" s="9"/>
      <c r="E146" s="9"/>
      <c r="F146" s="9"/>
      <c r="G146" s="59"/>
      <c r="H146" s="9"/>
    </row>
    <row r="147">
      <c r="A147" s="9"/>
      <c r="B147" s="9"/>
      <c r="C147" s="9"/>
      <c r="D147" s="9"/>
      <c r="E147" s="9"/>
      <c r="F147" s="9"/>
      <c r="G147" s="59"/>
      <c r="H147" s="9"/>
    </row>
    <row r="148">
      <c r="A148" s="9"/>
      <c r="B148" s="9"/>
      <c r="C148" s="9"/>
      <c r="D148" s="9"/>
      <c r="E148" s="9"/>
      <c r="F148" s="9"/>
      <c r="G148" s="59"/>
      <c r="H148" s="9"/>
    </row>
    <row r="149">
      <c r="A149" s="9"/>
      <c r="B149" s="9"/>
      <c r="C149" s="9"/>
      <c r="D149" s="9"/>
      <c r="E149" s="9"/>
      <c r="F149" s="9"/>
      <c r="G149" s="59"/>
      <c r="H149" s="9"/>
    </row>
    <row r="150">
      <c r="A150" s="9"/>
      <c r="B150" s="9"/>
      <c r="C150" s="9"/>
      <c r="D150" s="9"/>
      <c r="E150" s="9"/>
      <c r="F150" s="9"/>
      <c r="G150" s="59"/>
      <c r="H150" s="9"/>
    </row>
    <row r="151">
      <c r="A151" s="9"/>
      <c r="B151" s="9"/>
      <c r="C151" s="9"/>
      <c r="D151" s="9"/>
      <c r="E151" s="9"/>
      <c r="F151" s="9"/>
      <c r="G151" s="59"/>
      <c r="H151" s="9"/>
    </row>
    <row r="152">
      <c r="A152" s="9"/>
      <c r="B152" s="9"/>
      <c r="C152" s="9"/>
      <c r="D152" s="9"/>
      <c r="E152" s="9"/>
      <c r="F152" s="9"/>
      <c r="G152" s="59"/>
      <c r="H152" s="9"/>
    </row>
    <row r="153">
      <c r="A153" s="9"/>
      <c r="B153" s="9"/>
      <c r="C153" s="9"/>
      <c r="D153" s="9"/>
      <c r="E153" s="9"/>
      <c r="F153" s="9"/>
      <c r="G153" s="59"/>
      <c r="H153" s="9"/>
    </row>
    <row r="154">
      <c r="A154" s="9"/>
      <c r="B154" s="9"/>
      <c r="C154" s="9"/>
      <c r="D154" s="9"/>
      <c r="E154" s="9"/>
      <c r="F154" s="9"/>
      <c r="G154" s="59"/>
      <c r="H154" s="9"/>
    </row>
    <row r="155">
      <c r="A155" s="9"/>
      <c r="B155" s="9"/>
      <c r="C155" s="9"/>
      <c r="D155" s="9"/>
      <c r="E155" s="9"/>
      <c r="F155" s="9"/>
      <c r="G155" s="59"/>
      <c r="H155" s="9"/>
    </row>
    <row r="156">
      <c r="A156" s="9"/>
      <c r="B156" s="9"/>
      <c r="C156" s="9"/>
      <c r="D156" s="9"/>
      <c r="E156" s="9"/>
      <c r="F156" s="9"/>
      <c r="G156" s="59"/>
      <c r="H156" s="9"/>
    </row>
    <row r="157">
      <c r="A157" s="9"/>
      <c r="B157" s="9"/>
      <c r="C157" s="9"/>
      <c r="D157" s="9"/>
      <c r="E157" s="9"/>
      <c r="F157" s="9"/>
      <c r="G157" s="59"/>
      <c r="H157" s="9"/>
    </row>
    <row r="158">
      <c r="A158" s="9"/>
      <c r="B158" s="9"/>
      <c r="C158" s="9"/>
      <c r="D158" s="9"/>
      <c r="E158" s="9"/>
      <c r="F158" s="9"/>
      <c r="G158" s="59"/>
      <c r="H158" s="9"/>
    </row>
    <row r="159">
      <c r="A159" s="9"/>
      <c r="B159" s="9"/>
      <c r="C159" s="9"/>
      <c r="D159" s="9"/>
      <c r="E159" s="9"/>
      <c r="F159" s="9"/>
      <c r="G159" s="59"/>
      <c r="H159" s="9"/>
    </row>
    <row r="160">
      <c r="A160" s="9"/>
      <c r="B160" s="9"/>
      <c r="C160" s="9"/>
      <c r="D160" s="9"/>
      <c r="E160" s="9"/>
      <c r="F160" s="9"/>
      <c r="G160" s="59"/>
      <c r="H160" s="9"/>
    </row>
    <row r="161">
      <c r="A161" s="9"/>
      <c r="B161" s="9"/>
      <c r="C161" s="9"/>
      <c r="D161" s="9"/>
      <c r="E161" s="9"/>
      <c r="F161" s="9"/>
      <c r="G161" s="59"/>
      <c r="H161" s="9"/>
    </row>
    <row r="162">
      <c r="A162" s="9"/>
      <c r="B162" s="9"/>
      <c r="C162" s="9"/>
      <c r="D162" s="9"/>
      <c r="E162" s="9"/>
      <c r="F162" s="9"/>
      <c r="G162" s="59"/>
      <c r="H162" s="9"/>
    </row>
    <row r="163">
      <c r="A163" s="9"/>
      <c r="B163" s="9"/>
      <c r="C163" s="9"/>
      <c r="D163" s="9"/>
      <c r="E163" s="9"/>
      <c r="F163" s="9"/>
      <c r="G163" s="59"/>
      <c r="H163" s="9"/>
    </row>
    <row r="164">
      <c r="A164" s="9"/>
      <c r="B164" s="9"/>
      <c r="C164" s="9"/>
      <c r="D164" s="9"/>
      <c r="E164" s="9"/>
      <c r="F164" s="9"/>
      <c r="G164" s="59"/>
      <c r="H164" s="9"/>
    </row>
    <row r="165">
      <c r="A165" s="9"/>
      <c r="B165" s="9"/>
      <c r="C165" s="9"/>
      <c r="D165" s="9"/>
      <c r="E165" s="9"/>
      <c r="F165" s="9"/>
      <c r="G165" s="59"/>
      <c r="H165" s="9"/>
    </row>
    <row r="166">
      <c r="A166" s="9"/>
      <c r="B166" s="9"/>
      <c r="C166" s="9"/>
      <c r="D166" s="9"/>
      <c r="E166" s="9"/>
      <c r="F166" s="9"/>
      <c r="G166" s="59"/>
      <c r="H166" s="9"/>
    </row>
    <row r="167">
      <c r="A167" s="9"/>
      <c r="B167" s="9"/>
      <c r="C167" s="9"/>
      <c r="D167" s="9"/>
      <c r="E167" s="9"/>
      <c r="F167" s="9"/>
      <c r="G167" s="59"/>
      <c r="H167" s="9"/>
    </row>
    <row r="168">
      <c r="A168" s="9"/>
      <c r="B168" s="9"/>
      <c r="C168" s="9"/>
      <c r="D168" s="9"/>
      <c r="E168" s="9"/>
      <c r="F168" s="9"/>
      <c r="G168" s="59"/>
      <c r="H168" s="9"/>
    </row>
    <row r="169">
      <c r="A169" s="9"/>
      <c r="B169" s="9"/>
      <c r="C169" s="9"/>
      <c r="D169" s="9"/>
      <c r="E169" s="9"/>
      <c r="F169" s="9"/>
      <c r="G169" s="59"/>
      <c r="H169" s="9"/>
    </row>
    <row r="170">
      <c r="A170" s="9"/>
      <c r="B170" s="9"/>
      <c r="C170" s="9"/>
      <c r="D170" s="9"/>
      <c r="E170" s="9"/>
      <c r="F170" s="9"/>
      <c r="G170" s="59"/>
      <c r="H170" s="9"/>
    </row>
    <row r="171">
      <c r="A171" s="9"/>
      <c r="B171" s="9"/>
      <c r="C171" s="9"/>
      <c r="D171" s="9"/>
      <c r="E171" s="9"/>
      <c r="F171" s="9"/>
      <c r="G171" s="59"/>
      <c r="H171" s="9"/>
    </row>
    <row r="172">
      <c r="A172" s="9"/>
      <c r="B172" s="9"/>
      <c r="C172" s="9"/>
      <c r="D172" s="9"/>
      <c r="E172" s="9"/>
      <c r="F172" s="9"/>
      <c r="G172" s="59"/>
      <c r="H172" s="9"/>
    </row>
    <row r="173">
      <c r="A173" s="9"/>
      <c r="B173" s="9"/>
      <c r="C173" s="9"/>
      <c r="D173" s="9"/>
      <c r="E173" s="9"/>
      <c r="F173" s="9"/>
      <c r="G173" s="59"/>
      <c r="H173" s="9"/>
    </row>
    <row r="174">
      <c r="A174" s="9"/>
      <c r="B174" s="9"/>
      <c r="C174" s="9"/>
      <c r="D174" s="9"/>
      <c r="E174" s="9"/>
      <c r="F174" s="9"/>
      <c r="G174" s="59"/>
      <c r="H174" s="9"/>
    </row>
    <row r="175">
      <c r="A175" s="9"/>
      <c r="B175" s="9"/>
      <c r="C175" s="9"/>
      <c r="D175" s="9"/>
      <c r="E175" s="9"/>
      <c r="F175" s="9"/>
      <c r="G175" s="59"/>
      <c r="H175" s="9"/>
    </row>
    <row r="176">
      <c r="A176" s="9"/>
      <c r="B176" s="9"/>
      <c r="C176" s="9"/>
      <c r="D176" s="9"/>
      <c r="E176" s="9"/>
      <c r="F176" s="9"/>
      <c r="G176" s="59"/>
      <c r="H176" s="9"/>
    </row>
    <row r="177">
      <c r="A177" s="9"/>
      <c r="B177" s="9"/>
      <c r="C177" s="9"/>
      <c r="D177" s="9"/>
      <c r="E177" s="9"/>
      <c r="F177" s="9"/>
      <c r="G177" s="59"/>
      <c r="H177" s="9"/>
    </row>
    <row r="178">
      <c r="A178" s="9"/>
      <c r="B178" s="9"/>
      <c r="C178" s="9"/>
      <c r="D178" s="9"/>
      <c r="E178" s="9"/>
      <c r="F178" s="9"/>
      <c r="G178" s="59"/>
      <c r="H178" s="9"/>
    </row>
    <row r="179">
      <c r="A179" s="9"/>
      <c r="B179" s="9"/>
      <c r="C179" s="9"/>
      <c r="D179" s="9"/>
      <c r="E179" s="9"/>
      <c r="F179" s="9"/>
      <c r="G179" s="59"/>
      <c r="H179" s="9"/>
    </row>
    <row r="180">
      <c r="A180" s="9"/>
      <c r="B180" s="9"/>
      <c r="C180" s="9"/>
      <c r="D180" s="9"/>
      <c r="E180" s="9"/>
      <c r="F180" s="9"/>
      <c r="G180" s="59"/>
      <c r="H180" s="9"/>
    </row>
    <row r="181">
      <c r="A181" s="9"/>
      <c r="B181" s="9"/>
      <c r="C181" s="9"/>
      <c r="D181" s="9"/>
      <c r="E181" s="9"/>
      <c r="F181" s="9"/>
      <c r="G181" s="59"/>
      <c r="H181" s="9"/>
    </row>
    <row r="182">
      <c r="A182" s="9"/>
      <c r="B182" s="9"/>
      <c r="C182" s="9"/>
      <c r="D182" s="9"/>
      <c r="E182" s="9"/>
      <c r="F182" s="9"/>
      <c r="G182" s="59"/>
      <c r="H182" s="9"/>
    </row>
    <row r="183">
      <c r="A183" s="9"/>
      <c r="B183" s="9"/>
      <c r="C183" s="9"/>
      <c r="D183" s="9"/>
      <c r="E183" s="9"/>
      <c r="F183" s="9"/>
      <c r="G183" s="59"/>
      <c r="H183" s="9"/>
    </row>
    <row r="184">
      <c r="A184" s="9"/>
      <c r="B184" s="9"/>
      <c r="C184" s="9"/>
      <c r="D184" s="9"/>
      <c r="E184" s="9"/>
      <c r="F184" s="9"/>
      <c r="G184" s="59"/>
      <c r="H184" s="9"/>
    </row>
    <row r="185">
      <c r="A185" s="9"/>
      <c r="B185" s="9"/>
      <c r="C185" s="9"/>
      <c r="D185" s="9"/>
      <c r="E185" s="9"/>
      <c r="F185" s="9"/>
      <c r="G185" s="59"/>
      <c r="H185" s="9"/>
    </row>
    <row r="186">
      <c r="A186" s="9"/>
      <c r="B186" s="9"/>
      <c r="C186" s="9"/>
      <c r="D186" s="9"/>
      <c r="E186" s="9"/>
      <c r="F186" s="9"/>
      <c r="G186" s="59"/>
      <c r="H186" s="9"/>
    </row>
    <row r="187">
      <c r="A187" s="9"/>
      <c r="B187" s="9"/>
      <c r="C187" s="9"/>
      <c r="D187" s="9"/>
      <c r="E187" s="9"/>
      <c r="F187" s="9"/>
      <c r="G187" s="59"/>
      <c r="H187" s="9"/>
    </row>
    <row r="188">
      <c r="A188" s="9"/>
      <c r="B188" s="9"/>
      <c r="C188" s="9"/>
      <c r="D188" s="9"/>
      <c r="E188" s="9"/>
      <c r="F188" s="9"/>
      <c r="G188" s="59"/>
      <c r="H188" s="9"/>
    </row>
    <row r="189">
      <c r="A189" s="9"/>
      <c r="B189" s="9"/>
      <c r="C189" s="9"/>
      <c r="D189" s="9"/>
      <c r="E189" s="9"/>
      <c r="F189" s="9"/>
      <c r="G189" s="59"/>
      <c r="H189" s="9"/>
    </row>
    <row r="190">
      <c r="A190" s="9"/>
      <c r="B190" s="9"/>
      <c r="C190" s="9"/>
      <c r="D190" s="9"/>
      <c r="E190" s="9"/>
      <c r="F190" s="9"/>
      <c r="G190" s="59"/>
      <c r="H190" s="9"/>
    </row>
    <row r="191">
      <c r="A191" s="9"/>
      <c r="B191" s="9"/>
      <c r="C191" s="9"/>
      <c r="D191" s="9"/>
      <c r="E191" s="9"/>
      <c r="F191" s="9"/>
      <c r="G191" s="59"/>
      <c r="H191" s="9"/>
    </row>
    <row r="192">
      <c r="A192" s="9"/>
      <c r="B192" s="9"/>
      <c r="C192" s="9"/>
      <c r="D192" s="9"/>
      <c r="E192" s="9"/>
      <c r="F192" s="9"/>
      <c r="G192" s="59"/>
      <c r="H192" s="9"/>
    </row>
    <row r="193">
      <c r="A193" s="9"/>
      <c r="B193" s="9"/>
      <c r="C193" s="9"/>
      <c r="D193" s="9"/>
      <c r="E193" s="9"/>
      <c r="F193" s="9"/>
      <c r="G193" s="59"/>
      <c r="H193" s="9"/>
    </row>
    <row r="194">
      <c r="A194" s="9"/>
      <c r="B194" s="9"/>
      <c r="C194" s="9"/>
      <c r="D194" s="9"/>
      <c r="E194" s="9"/>
      <c r="F194" s="9"/>
      <c r="G194" s="59"/>
      <c r="H194" s="9"/>
    </row>
    <row r="195">
      <c r="A195" s="9"/>
      <c r="B195" s="9"/>
      <c r="C195" s="9"/>
      <c r="D195" s="9"/>
      <c r="E195" s="9"/>
      <c r="F195" s="9"/>
      <c r="G195" s="59"/>
      <c r="H195" s="9"/>
    </row>
    <row r="196">
      <c r="A196" s="9"/>
      <c r="B196" s="9"/>
      <c r="C196" s="9"/>
      <c r="D196" s="9"/>
      <c r="E196" s="9"/>
      <c r="F196" s="9"/>
      <c r="G196" s="59"/>
      <c r="H196" s="9"/>
    </row>
    <row r="197">
      <c r="A197" s="9"/>
      <c r="B197" s="9"/>
      <c r="C197" s="9"/>
      <c r="D197" s="9"/>
      <c r="E197" s="9"/>
      <c r="F197" s="9"/>
      <c r="G197" s="59"/>
      <c r="H197" s="9"/>
    </row>
    <row r="198">
      <c r="A198" s="9"/>
      <c r="B198" s="9"/>
      <c r="C198" s="9"/>
      <c r="D198" s="9"/>
      <c r="E198" s="9"/>
      <c r="F198" s="9"/>
      <c r="G198" s="59"/>
      <c r="H198" s="9"/>
    </row>
    <row r="199">
      <c r="A199" s="9"/>
      <c r="B199" s="9"/>
      <c r="C199" s="9"/>
      <c r="D199" s="9"/>
      <c r="E199" s="9"/>
      <c r="F199" s="9"/>
      <c r="G199" s="59"/>
      <c r="H199" s="9"/>
    </row>
    <row r="200">
      <c r="A200" s="9"/>
      <c r="B200" s="9"/>
      <c r="C200" s="9"/>
      <c r="D200" s="9"/>
      <c r="E200" s="9"/>
      <c r="F200" s="9"/>
      <c r="G200" s="59"/>
      <c r="H200" s="9"/>
    </row>
    <row r="201">
      <c r="A201" s="9"/>
      <c r="B201" s="9"/>
      <c r="C201" s="9"/>
      <c r="D201" s="9"/>
      <c r="E201" s="9"/>
      <c r="F201" s="9"/>
      <c r="G201" s="59"/>
      <c r="H201" s="9"/>
    </row>
    <row r="202">
      <c r="A202" s="9"/>
      <c r="B202" s="9"/>
      <c r="C202" s="9"/>
      <c r="D202" s="9"/>
      <c r="E202" s="9"/>
      <c r="F202" s="9"/>
      <c r="G202" s="59"/>
      <c r="H202" s="9"/>
    </row>
    <row r="203">
      <c r="A203" s="9"/>
      <c r="B203" s="9"/>
      <c r="C203" s="9"/>
      <c r="D203" s="9"/>
      <c r="E203" s="9"/>
      <c r="F203" s="9"/>
      <c r="G203" s="59"/>
      <c r="H203" s="9"/>
    </row>
    <row r="204">
      <c r="A204" s="9"/>
      <c r="B204" s="9"/>
      <c r="C204" s="9"/>
      <c r="D204" s="9"/>
      <c r="E204" s="9"/>
      <c r="F204" s="9"/>
      <c r="G204" s="59"/>
      <c r="H204" s="9"/>
    </row>
    <row r="205">
      <c r="A205" s="9"/>
      <c r="B205" s="9"/>
      <c r="C205" s="9"/>
      <c r="D205" s="9"/>
      <c r="E205" s="9"/>
      <c r="F205" s="9"/>
      <c r="G205" s="59"/>
      <c r="H205" s="9"/>
    </row>
    <row r="206">
      <c r="A206" s="9"/>
      <c r="B206" s="9"/>
      <c r="C206" s="9"/>
      <c r="D206" s="9"/>
      <c r="E206" s="9"/>
      <c r="F206" s="9"/>
      <c r="G206" s="59"/>
      <c r="H206" s="9"/>
    </row>
    <row r="207">
      <c r="A207" s="9"/>
      <c r="B207" s="9"/>
      <c r="C207" s="9"/>
      <c r="D207" s="9"/>
      <c r="E207" s="9"/>
      <c r="F207" s="9"/>
      <c r="G207" s="59"/>
      <c r="H207" s="9"/>
    </row>
    <row r="208">
      <c r="A208" s="9"/>
      <c r="B208" s="9"/>
      <c r="C208" s="9"/>
      <c r="D208" s="9"/>
      <c r="E208" s="9"/>
      <c r="F208" s="9"/>
      <c r="G208" s="59"/>
      <c r="H208" s="9"/>
    </row>
    <row r="209">
      <c r="A209" s="9"/>
      <c r="B209" s="9"/>
      <c r="C209" s="9"/>
      <c r="D209" s="9"/>
      <c r="E209" s="9"/>
      <c r="F209" s="9"/>
      <c r="G209" s="59"/>
      <c r="H209" s="9"/>
    </row>
    <row r="210">
      <c r="A210" s="9"/>
      <c r="B210" s="9"/>
      <c r="C210" s="9"/>
      <c r="D210" s="9"/>
      <c r="E210" s="9"/>
      <c r="F210" s="9"/>
      <c r="G210" s="59"/>
      <c r="H210" s="9"/>
    </row>
    <row r="211">
      <c r="A211" s="9"/>
      <c r="B211" s="9"/>
      <c r="C211" s="9"/>
      <c r="D211" s="9"/>
      <c r="E211" s="9"/>
      <c r="F211" s="9"/>
      <c r="G211" s="59"/>
      <c r="H211" s="9"/>
    </row>
    <row r="212">
      <c r="A212" s="9"/>
      <c r="B212" s="9"/>
      <c r="C212" s="9"/>
      <c r="D212" s="9"/>
      <c r="E212" s="9"/>
      <c r="F212" s="9"/>
      <c r="G212" s="59"/>
      <c r="H212" s="9"/>
    </row>
    <row r="213">
      <c r="A213" s="9"/>
      <c r="B213" s="9"/>
      <c r="C213" s="9"/>
      <c r="D213" s="9"/>
      <c r="E213" s="9"/>
      <c r="F213" s="9"/>
      <c r="G213" s="59"/>
      <c r="H213" s="9"/>
    </row>
    <row r="214">
      <c r="A214" s="9"/>
      <c r="B214" s="9"/>
      <c r="C214" s="9"/>
      <c r="D214" s="9"/>
      <c r="E214" s="9"/>
      <c r="F214" s="9"/>
      <c r="G214" s="59"/>
      <c r="H214" s="9"/>
    </row>
    <row r="215">
      <c r="A215" s="9"/>
      <c r="B215" s="9"/>
      <c r="C215" s="9"/>
      <c r="D215" s="9"/>
      <c r="E215" s="9"/>
      <c r="F215" s="9"/>
      <c r="G215" s="59"/>
      <c r="H215" s="9"/>
    </row>
    <row r="216">
      <c r="A216" s="9"/>
      <c r="B216" s="9"/>
      <c r="C216" s="9"/>
      <c r="D216" s="9"/>
      <c r="E216" s="9"/>
      <c r="F216" s="9"/>
      <c r="G216" s="59"/>
      <c r="H216" s="9"/>
    </row>
    <row r="217">
      <c r="A217" s="9"/>
      <c r="B217" s="9"/>
      <c r="C217" s="9"/>
      <c r="D217" s="9"/>
      <c r="E217" s="9"/>
      <c r="F217" s="9"/>
      <c r="G217" s="59"/>
      <c r="H217" s="9"/>
    </row>
    <row r="218">
      <c r="A218" s="9"/>
      <c r="B218" s="9"/>
      <c r="C218" s="9"/>
      <c r="D218" s="9"/>
      <c r="E218" s="9"/>
      <c r="F218" s="9"/>
      <c r="G218" s="59"/>
      <c r="H218" s="9"/>
    </row>
    <row r="219">
      <c r="A219" s="9"/>
      <c r="B219" s="9"/>
      <c r="C219" s="9"/>
      <c r="D219" s="9"/>
      <c r="E219" s="9"/>
      <c r="F219" s="9"/>
      <c r="G219" s="59"/>
      <c r="H219" s="9"/>
    </row>
    <row r="220">
      <c r="A220" s="9"/>
      <c r="B220" s="9"/>
      <c r="C220" s="9"/>
      <c r="D220" s="9"/>
      <c r="E220" s="9"/>
      <c r="F220" s="9"/>
      <c r="G220" s="59"/>
      <c r="H220" s="9"/>
    </row>
    <row r="221">
      <c r="A221" s="9"/>
      <c r="B221" s="9"/>
      <c r="C221" s="9"/>
      <c r="D221" s="9"/>
      <c r="E221" s="9"/>
      <c r="F221" s="9"/>
      <c r="G221" s="59"/>
      <c r="H221" s="9"/>
    </row>
    <row r="222">
      <c r="A222" s="9"/>
      <c r="B222" s="9"/>
      <c r="C222" s="9"/>
      <c r="D222" s="9"/>
      <c r="E222" s="9"/>
      <c r="F222" s="9"/>
      <c r="G222" s="59"/>
      <c r="H222" s="9"/>
    </row>
    <row r="223">
      <c r="A223" s="9"/>
      <c r="B223" s="9"/>
      <c r="C223" s="9"/>
      <c r="D223" s="9"/>
      <c r="E223" s="9"/>
      <c r="F223" s="9"/>
      <c r="G223" s="59"/>
      <c r="H223" s="9"/>
    </row>
    <row r="224">
      <c r="A224" s="9"/>
      <c r="B224" s="9"/>
      <c r="C224" s="9"/>
      <c r="D224" s="9"/>
      <c r="E224" s="9"/>
      <c r="F224" s="9"/>
      <c r="G224" s="59"/>
      <c r="H224" s="9"/>
    </row>
    <row r="225">
      <c r="A225" s="9"/>
      <c r="B225" s="9"/>
      <c r="C225" s="9"/>
      <c r="D225" s="9"/>
      <c r="E225" s="9"/>
      <c r="F225" s="9"/>
      <c r="G225" s="59"/>
      <c r="H225" s="9"/>
    </row>
    <row r="226">
      <c r="A226" s="9"/>
      <c r="B226" s="9"/>
      <c r="C226" s="9"/>
      <c r="D226" s="9"/>
      <c r="E226" s="9"/>
      <c r="F226" s="9"/>
      <c r="G226" s="59"/>
      <c r="H226" s="9"/>
    </row>
    <row r="227">
      <c r="A227" s="9"/>
      <c r="B227" s="9"/>
      <c r="C227" s="9"/>
      <c r="D227" s="9"/>
      <c r="E227" s="9"/>
      <c r="F227" s="9"/>
      <c r="G227" s="59"/>
      <c r="H227" s="9"/>
    </row>
    <row r="228">
      <c r="A228" s="9"/>
      <c r="B228" s="9"/>
      <c r="C228" s="9"/>
      <c r="D228" s="9"/>
      <c r="E228" s="9"/>
      <c r="F228" s="9"/>
      <c r="G228" s="59"/>
      <c r="H228" s="9"/>
    </row>
    <row r="229">
      <c r="A229" s="9"/>
      <c r="B229" s="9"/>
      <c r="C229" s="9"/>
      <c r="D229" s="9"/>
      <c r="E229" s="9"/>
      <c r="F229" s="9"/>
      <c r="G229" s="59"/>
      <c r="H229" s="9"/>
    </row>
    <row r="230">
      <c r="A230" s="9"/>
      <c r="B230" s="9"/>
      <c r="C230" s="9"/>
      <c r="D230" s="9"/>
      <c r="E230" s="9"/>
      <c r="F230" s="9"/>
      <c r="G230" s="59"/>
      <c r="H230" s="9"/>
    </row>
    <row r="231">
      <c r="A231" s="9"/>
      <c r="B231" s="9"/>
      <c r="C231" s="9"/>
      <c r="D231" s="9"/>
      <c r="E231" s="9"/>
      <c r="F231" s="9"/>
      <c r="G231" s="59"/>
      <c r="H231" s="9"/>
    </row>
    <row r="232">
      <c r="A232" s="9"/>
      <c r="B232" s="9"/>
      <c r="C232" s="9"/>
      <c r="D232" s="9"/>
      <c r="E232" s="9"/>
      <c r="F232" s="9"/>
      <c r="G232" s="59"/>
      <c r="H232" s="9"/>
    </row>
    <row r="233">
      <c r="A233" s="9"/>
      <c r="B233" s="9"/>
      <c r="C233" s="9"/>
      <c r="D233" s="9"/>
      <c r="E233" s="9"/>
      <c r="F233" s="9"/>
      <c r="G233" s="59"/>
      <c r="H233" s="9"/>
    </row>
    <row r="234">
      <c r="A234" s="9"/>
      <c r="B234" s="9"/>
      <c r="C234" s="9"/>
      <c r="D234" s="9"/>
      <c r="E234" s="9"/>
      <c r="F234" s="9"/>
      <c r="G234" s="59"/>
      <c r="H234" s="9"/>
    </row>
    <row r="235">
      <c r="A235" s="9"/>
      <c r="B235" s="9"/>
      <c r="C235" s="9"/>
      <c r="D235" s="9"/>
      <c r="E235" s="9"/>
      <c r="F235" s="9"/>
      <c r="G235" s="59"/>
      <c r="H235" s="9"/>
    </row>
    <row r="236">
      <c r="A236" s="9"/>
      <c r="B236" s="9"/>
      <c r="C236" s="9"/>
      <c r="D236" s="9"/>
      <c r="E236" s="9"/>
      <c r="F236" s="9"/>
      <c r="G236" s="59"/>
      <c r="H236" s="9"/>
    </row>
    <row r="237">
      <c r="A237" s="9"/>
      <c r="B237" s="9"/>
      <c r="C237" s="9"/>
      <c r="D237" s="9"/>
      <c r="E237" s="9"/>
      <c r="F237" s="9"/>
      <c r="G237" s="59"/>
      <c r="H237" s="9"/>
    </row>
    <row r="238">
      <c r="A238" s="9"/>
      <c r="B238" s="9"/>
      <c r="C238" s="9"/>
      <c r="D238" s="9"/>
      <c r="E238" s="9"/>
      <c r="F238" s="9"/>
      <c r="G238" s="59"/>
      <c r="H238" s="9"/>
    </row>
    <row r="239">
      <c r="A239" s="9"/>
      <c r="B239" s="9"/>
      <c r="C239" s="9"/>
      <c r="D239" s="9"/>
      <c r="E239" s="9"/>
      <c r="F239" s="9"/>
      <c r="G239" s="59"/>
      <c r="H239" s="9"/>
    </row>
    <row r="240">
      <c r="A240" s="9"/>
      <c r="B240" s="9"/>
      <c r="C240" s="9"/>
      <c r="D240" s="9"/>
      <c r="E240" s="9"/>
      <c r="F240" s="9"/>
      <c r="G240" s="59"/>
      <c r="H240" s="9"/>
    </row>
    <row r="241">
      <c r="A241" s="9"/>
      <c r="B241" s="9"/>
      <c r="C241" s="9"/>
      <c r="D241" s="9"/>
      <c r="E241" s="9"/>
      <c r="F241" s="9"/>
      <c r="G241" s="59"/>
      <c r="H241" s="9"/>
    </row>
    <row r="242">
      <c r="A242" s="9"/>
      <c r="B242" s="9"/>
      <c r="C242" s="9"/>
      <c r="D242" s="9"/>
      <c r="E242" s="9"/>
      <c r="F242" s="9"/>
      <c r="G242" s="59"/>
      <c r="H242" s="9"/>
    </row>
    <row r="243">
      <c r="A243" s="9"/>
      <c r="B243" s="9"/>
      <c r="C243" s="9"/>
      <c r="D243" s="9"/>
      <c r="E243" s="9"/>
      <c r="F243" s="9"/>
      <c r="G243" s="59"/>
      <c r="H243" s="9"/>
    </row>
    <row r="244">
      <c r="A244" s="9"/>
      <c r="B244" s="9"/>
      <c r="C244" s="9"/>
      <c r="D244" s="9"/>
      <c r="E244" s="9"/>
      <c r="F244" s="9"/>
      <c r="G244" s="59"/>
      <c r="H244" s="9"/>
    </row>
    <row r="245">
      <c r="A245" s="9"/>
      <c r="B245" s="9"/>
      <c r="C245" s="9"/>
      <c r="D245" s="9"/>
      <c r="E245" s="9"/>
      <c r="F245" s="9"/>
      <c r="G245" s="59"/>
      <c r="H245" s="9"/>
    </row>
    <row r="246">
      <c r="A246" s="9"/>
      <c r="B246" s="9"/>
      <c r="C246" s="9"/>
      <c r="D246" s="9"/>
      <c r="E246" s="9"/>
      <c r="F246" s="9"/>
      <c r="G246" s="59"/>
      <c r="H246" s="9"/>
    </row>
    <row r="247">
      <c r="A247" s="9"/>
      <c r="B247" s="9"/>
      <c r="C247" s="9"/>
      <c r="D247" s="9"/>
      <c r="E247" s="9"/>
      <c r="F247" s="9"/>
      <c r="G247" s="59"/>
      <c r="H247" s="9"/>
    </row>
    <row r="248">
      <c r="A248" s="9"/>
      <c r="B248" s="9"/>
      <c r="C248" s="9"/>
      <c r="D248" s="9"/>
      <c r="E248" s="9"/>
      <c r="F248" s="9"/>
      <c r="G248" s="59"/>
      <c r="H248" s="9"/>
    </row>
    <row r="249">
      <c r="A249" s="9"/>
      <c r="B249" s="9"/>
      <c r="C249" s="9"/>
      <c r="D249" s="9"/>
      <c r="E249" s="9"/>
      <c r="F249" s="9"/>
      <c r="G249" s="59"/>
      <c r="H249" s="9"/>
    </row>
    <row r="250">
      <c r="A250" s="9"/>
      <c r="B250" s="9"/>
      <c r="C250" s="9"/>
      <c r="D250" s="9"/>
      <c r="E250" s="9"/>
      <c r="F250" s="9"/>
      <c r="G250" s="59"/>
      <c r="H250" s="9"/>
    </row>
    <row r="251">
      <c r="A251" s="9"/>
      <c r="B251" s="9"/>
      <c r="C251" s="9"/>
      <c r="D251" s="9"/>
      <c r="E251" s="9"/>
      <c r="F251" s="9"/>
      <c r="G251" s="59"/>
      <c r="H251" s="9"/>
    </row>
    <row r="252">
      <c r="A252" s="9"/>
      <c r="B252" s="9"/>
      <c r="C252" s="9"/>
      <c r="D252" s="9"/>
      <c r="E252" s="9"/>
      <c r="F252" s="9"/>
      <c r="G252" s="59"/>
      <c r="H252" s="9"/>
    </row>
    <row r="253">
      <c r="A253" s="9"/>
      <c r="B253" s="9"/>
      <c r="C253" s="9"/>
      <c r="D253" s="9"/>
      <c r="E253" s="9"/>
      <c r="F253" s="9"/>
      <c r="G253" s="59"/>
      <c r="H253" s="9"/>
    </row>
    <row r="254">
      <c r="A254" s="9"/>
      <c r="B254" s="9"/>
      <c r="C254" s="9"/>
      <c r="D254" s="9"/>
      <c r="E254" s="9"/>
      <c r="F254" s="9"/>
      <c r="G254" s="59"/>
      <c r="H254" s="9"/>
    </row>
    <row r="255">
      <c r="A255" s="9"/>
      <c r="B255" s="9"/>
      <c r="C255" s="9"/>
      <c r="D255" s="9"/>
      <c r="E255" s="9"/>
      <c r="F255" s="9"/>
      <c r="G255" s="59"/>
      <c r="H255" s="9"/>
    </row>
    <row r="256">
      <c r="A256" s="9"/>
      <c r="B256" s="9"/>
      <c r="C256" s="9"/>
      <c r="D256" s="9"/>
      <c r="E256" s="9"/>
      <c r="F256" s="9"/>
      <c r="G256" s="59"/>
      <c r="H256" s="9"/>
    </row>
    <row r="257">
      <c r="A257" s="9"/>
      <c r="B257" s="9"/>
      <c r="C257" s="9"/>
      <c r="D257" s="9"/>
      <c r="E257" s="9"/>
      <c r="F257" s="9"/>
      <c r="G257" s="59"/>
      <c r="H257" s="9"/>
    </row>
    <row r="258">
      <c r="A258" s="9"/>
      <c r="B258" s="9"/>
      <c r="C258" s="9"/>
      <c r="D258" s="9"/>
      <c r="E258" s="9"/>
      <c r="F258" s="9"/>
      <c r="G258" s="59"/>
      <c r="H258" s="9"/>
    </row>
    <row r="259">
      <c r="A259" s="9"/>
      <c r="B259" s="9"/>
      <c r="C259" s="9"/>
      <c r="D259" s="9"/>
      <c r="E259" s="9"/>
      <c r="F259" s="9"/>
      <c r="G259" s="59"/>
      <c r="H259" s="9"/>
    </row>
    <row r="260">
      <c r="A260" s="9"/>
      <c r="B260" s="9"/>
      <c r="C260" s="9"/>
      <c r="D260" s="9"/>
      <c r="E260" s="9"/>
      <c r="F260" s="9"/>
      <c r="G260" s="59"/>
      <c r="H260" s="9"/>
    </row>
    <row r="261">
      <c r="A261" s="9"/>
      <c r="B261" s="9"/>
      <c r="C261" s="9"/>
      <c r="D261" s="9"/>
      <c r="E261" s="9"/>
      <c r="F261" s="9"/>
      <c r="G261" s="59"/>
      <c r="H261" s="9"/>
    </row>
    <row r="262">
      <c r="A262" s="9"/>
      <c r="B262" s="9"/>
      <c r="C262" s="9"/>
      <c r="D262" s="9"/>
      <c r="E262" s="9"/>
      <c r="F262" s="9"/>
      <c r="G262" s="59"/>
      <c r="H262" s="9"/>
    </row>
    <row r="263">
      <c r="A263" s="9"/>
      <c r="B263" s="9"/>
      <c r="C263" s="9"/>
      <c r="D263" s="9"/>
      <c r="E263" s="9"/>
      <c r="F263" s="9"/>
      <c r="G263" s="59"/>
      <c r="H263" s="9"/>
    </row>
    <row r="264">
      <c r="A264" s="9"/>
      <c r="B264" s="9"/>
      <c r="C264" s="9"/>
      <c r="D264" s="9"/>
      <c r="E264" s="9"/>
      <c r="F264" s="9"/>
      <c r="G264" s="59"/>
      <c r="H264" s="9"/>
    </row>
    <row r="265">
      <c r="A265" s="9"/>
      <c r="B265" s="9"/>
      <c r="C265" s="9"/>
      <c r="D265" s="9"/>
      <c r="E265" s="9"/>
      <c r="F265" s="9"/>
      <c r="G265" s="59"/>
      <c r="H265" s="9"/>
    </row>
    <row r="266">
      <c r="A266" s="9"/>
      <c r="B266" s="9"/>
      <c r="C266" s="9"/>
      <c r="D266" s="9"/>
      <c r="E266" s="9"/>
      <c r="F266" s="9"/>
      <c r="G266" s="59"/>
      <c r="H266" s="9"/>
    </row>
    <row r="267">
      <c r="A267" s="9"/>
      <c r="B267" s="9"/>
      <c r="C267" s="9"/>
      <c r="D267" s="9"/>
      <c r="E267" s="9"/>
      <c r="F267" s="9"/>
      <c r="G267" s="59"/>
      <c r="H267" s="9"/>
    </row>
    <row r="268">
      <c r="A268" s="9"/>
      <c r="B268" s="9"/>
      <c r="C268" s="9"/>
      <c r="D268" s="9"/>
      <c r="E268" s="9"/>
      <c r="F268" s="9"/>
      <c r="G268" s="59"/>
      <c r="H268" s="9"/>
    </row>
    <row r="269">
      <c r="A269" s="9"/>
      <c r="B269" s="9"/>
      <c r="C269" s="9"/>
      <c r="D269" s="9"/>
      <c r="E269" s="9"/>
      <c r="F269" s="9"/>
      <c r="G269" s="59"/>
      <c r="H269" s="9"/>
    </row>
    <row r="270">
      <c r="A270" s="9"/>
      <c r="B270" s="9"/>
      <c r="C270" s="9"/>
      <c r="D270" s="9"/>
      <c r="E270" s="9"/>
      <c r="F270" s="9"/>
      <c r="G270" s="59"/>
      <c r="H270" s="9"/>
    </row>
    <row r="271">
      <c r="A271" s="9"/>
      <c r="B271" s="9"/>
      <c r="C271" s="9"/>
      <c r="D271" s="9"/>
      <c r="E271" s="9"/>
      <c r="F271" s="9"/>
      <c r="G271" s="59"/>
      <c r="H271" s="9"/>
    </row>
    <row r="272">
      <c r="A272" s="9"/>
      <c r="B272" s="9"/>
      <c r="C272" s="9"/>
      <c r="D272" s="9"/>
      <c r="E272" s="9"/>
      <c r="F272" s="9"/>
      <c r="G272" s="59"/>
      <c r="H272" s="9"/>
    </row>
    <row r="273">
      <c r="A273" s="9"/>
      <c r="B273" s="9"/>
      <c r="C273" s="9"/>
      <c r="D273" s="9"/>
      <c r="E273" s="9"/>
      <c r="F273" s="9"/>
      <c r="G273" s="59"/>
      <c r="H273" s="9"/>
    </row>
    <row r="274">
      <c r="A274" s="9"/>
      <c r="B274" s="9"/>
      <c r="C274" s="9"/>
      <c r="D274" s="9"/>
      <c r="E274" s="9"/>
      <c r="F274" s="9"/>
      <c r="G274" s="59"/>
      <c r="H274" s="9"/>
    </row>
    <row r="275">
      <c r="A275" s="9"/>
      <c r="B275" s="9"/>
      <c r="C275" s="9"/>
      <c r="D275" s="9"/>
      <c r="E275" s="9"/>
      <c r="F275" s="9"/>
      <c r="G275" s="59"/>
      <c r="H275" s="9"/>
    </row>
    <row r="276">
      <c r="A276" s="9"/>
      <c r="B276" s="9"/>
      <c r="C276" s="9"/>
      <c r="D276" s="9"/>
      <c r="E276" s="9"/>
      <c r="F276" s="9"/>
      <c r="G276" s="59"/>
      <c r="H276" s="9"/>
    </row>
    <row r="277">
      <c r="A277" s="9"/>
      <c r="B277" s="9"/>
      <c r="C277" s="9"/>
      <c r="D277" s="9"/>
      <c r="E277" s="9"/>
      <c r="F277" s="9"/>
      <c r="G277" s="59"/>
      <c r="H277" s="9"/>
    </row>
    <row r="278">
      <c r="A278" s="9"/>
      <c r="B278" s="9"/>
      <c r="C278" s="9"/>
      <c r="D278" s="9"/>
      <c r="E278" s="9"/>
      <c r="F278" s="9"/>
      <c r="G278" s="59"/>
      <c r="H278" s="9"/>
    </row>
    <row r="279">
      <c r="A279" s="9"/>
      <c r="B279" s="9"/>
      <c r="C279" s="9"/>
      <c r="D279" s="9"/>
      <c r="E279" s="9"/>
      <c r="F279" s="9"/>
      <c r="G279" s="59"/>
      <c r="H279" s="9"/>
    </row>
    <row r="280">
      <c r="A280" s="9"/>
      <c r="B280" s="9"/>
      <c r="C280" s="9"/>
      <c r="D280" s="9"/>
      <c r="E280" s="9"/>
      <c r="F280" s="9"/>
      <c r="G280" s="59"/>
      <c r="H280" s="9"/>
    </row>
    <row r="281">
      <c r="A281" s="9"/>
      <c r="B281" s="9"/>
      <c r="C281" s="9"/>
      <c r="D281" s="9"/>
      <c r="E281" s="9"/>
      <c r="F281" s="9"/>
      <c r="G281" s="59"/>
      <c r="H281" s="9"/>
    </row>
    <row r="282">
      <c r="A282" s="9"/>
      <c r="B282" s="9"/>
      <c r="C282" s="9"/>
      <c r="D282" s="9"/>
      <c r="E282" s="9"/>
      <c r="F282" s="9"/>
      <c r="G282" s="59"/>
      <c r="H282" s="9"/>
    </row>
    <row r="283">
      <c r="A283" s="9"/>
      <c r="B283" s="9"/>
      <c r="C283" s="9"/>
      <c r="D283" s="9"/>
      <c r="E283" s="9"/>
      <c r="F283" s="9"/>
      <c r="G283" s="59"/>
      <c r="H283" s="9"/>
    </row>
    <row r="284">
      <c r="A284" s="9"/>
      <c r="B284" s="9"/>
      <c r="C284" s="9"/>
      <c r="D284" s="9"/>
      <c r="E284" s="9"/>
      <c r="F284" s="9"/>
      <c r="G284" s="59"/>
      <c r="H284" s="9"/>
    </row>
    <row r="285">
      <c r="A285" s="9"/>
      <c r="B285" s="9"/>
      <c r="C285" s="9"/>
      <c r="D285" s="9"/>
      <c r="E285" s="9"/>
      <c r="F285" s="9"/>
      <c r="G285" s="59"/>
      <c r="H285" s="9"/>
    </row>
    <row r="286">
      <c r="A286" s="9"/>
      <c r="B286" s="9"/>
      <c r="C286" s="9"/>
      <c r="D286" s="9"/>
      <c r="E286" s="9"/>
      <c r="F286" s="9"/>
      <c r="G286" s="59"/>
      <c r="H286" s="9"/>
    </row>
    <row r="287">
      <c r="A287" s="9"/>
      <c r="B287" s="9"/>
      <c r="C287" s="9"/>
      <c r="D287" s="9"/>
      <c r="E287" s="9"/>
      <c r="F287" s="9"/>
      <c r="G287" s="59"/>
      <c r="H287" s="9"/>
    </row>
    <row r="288">
      <c r="A288" s="9"/>
      <c r="B288" s="9"/>
      <c r="C288" s="9"/>
      <c r="D288" s="9"/>
      <c r="E288" s="9"/>
      <c r="F288" s="9"/>
      <c r="G288" s="59"/>
      <c r="H288" s="9"/>
    </row>
    <row r="289">
      <c r="A289" s="9"/>
      <c r="B289" s="9"/>
      <c r="C289" s="9"/>
      <c r="D289" s="9"/>
      <c r="E289" s="9"/>
      <c r="F289" s="9"/>
      <c r="G289" s="59"/>
      <c r="H289" s="9"/>
    </row>
    <row r="290">
      <c r="A290" s="9"/>
      <c r="B290" s="9"/>
      <c r="C290" s="9"/>
      <c r="D290" s="9"/>
      <c r="E290" s="9"/>
      <c r="F290" s="9"/>
      <c r="G290" s="59"/>
      <c r="H290" s="9"/>
    </row>
    <row r="291">
      <c r="A291" s="9"/>
      <c r="B291" s="9"/>
      <c r="C291" s="9"/>
      <c r="D291" s="9"/>
      <c r="E291" s="9"/>
      <c r="F291" s="9"/>
      <c r="G291" s="59"/>
      <c r="H291" s="9"/>
    </row>
    <row r="292">
      <c r="A292" s="9"/>
      <c r="B292" s="9"/>
      <c r="C292" s="9"/>
      <c r="D292" s="9"/>
      <c r="E292" s="9"/>
      <c r="F292" s="9"/>
      <c r="G292" s="59"/>
      <c r="H292" s="9"/>
    </row>
    <row r="293">
      <c r="A293" s="9"/>
      <c r="B293" s="9"/>
      <c r="C293" s="9"/>
      <c r="D293" s="9"/>
      <c r="E293" s="9"/>
      <c r="F293" s="9"/>
      <c r="G293" s="59"/>
      <c r="H293" s="9"/>
    </row>
    <row r="294">
      <c r="A294" s="9"/>
      <c r="B294" s="9"/>
      <c r="C294" s="9"/>
      <c r="D294" s="9"/>
      <c r="E294" s="9"/>
      <c r="F294" s="9"/>
      <c r="G294" s="59"/>
      <c r="H294" s="9"/>
    </row>
    <row r="295">
      <c r="A295" s="9"/>
      <c r="B295" s="9"/>
      <c r="C295" s="9"/>
      <c r="D295" s="9"/>
      <c r="E295" s="9"/>
      <c r="F295" s="9"/>
      <c r="G295" s="59"/>
      <c r="H295" s="9"/>
    </row>
    <row r="296">
      <c r="A296" s="9"/>
      <c r="B296" s="9"/>
      <c r="C296" s="9"/>
      <c r="D296" s="9"/>
      <c r="E296" s="9"/>
      <c r="F296" s="9"/>
      <c r="G296" s="59"/>
      <c r="H296" s="9"/>
    </row>
    <row r="297">
      <c r="A297" s="9"/>
      <c r="B297" s="9"/>
      <c r="C297" s="9"/>
      <c r="D297" s="9"/>
      <c r="E297" s="9"/>
      <c r="F297" s="9"/>
      <c r="G297" s="59"/>
      <c r="H297" s="9"/>
    </row>
    <row r="298">
      <c r="A298" s="9"/>
      <c r="B298" s="9"/>
      <c r="C298" s="9"/>
      <c r="D298" s="9"/>
      <c r="E298" s="9"/>
      <c r="F298" s="9"/>
      <c r="G298" s="59"/>
      <c r="H298" s="9"/>
    </row>
    <row r="299">
      <c r="A299" s="9"/>
      <c r="B299" s="9"/>
      <c r="C299" s="9"/>
      <c r="D299" s="9"/>
      <c r="E299" s="9"/>
      <c r="F299" s="9"/>
      <c r="G299" s="59"/>
      <c r="H299" s="9"/>
    </row>
    <row r="300">
      <c r="A300" s="9"/>
      <c r="B300" s="9"/>
      <c r="C300" s="9"/>
      <c r="D300" s="9"/>
      <c r="E300" s="9"/>
      <c r="F300" s="9"/>
      <c r="G300" s="59"/>
      <c r="H300" s="9"/>
    </row>
    <row r="301">
      <c r="A301" s="9"/>
      <c r="B301" s="9"/>
      <c r="C301" s="9"/>
      <c r="D301" s="9"/>
      <c r="E301" s="9"/>
      <c r="F301" s="9"/>
      <c r="G301" s="59"/>
      <c r="H301" s="9"/>
    </row>
    <row r="302">
      <c r="A302" s="9"/>
      <c r="B302" s="9"/>
      <c r="C302" s="9"/>
      <c r="D302" s="9"/>
      <c r="E302" s="9"/>
      <c r="F302" s="9"/>
      <c r="G302" s="59"/>
      <c r="H302" s="9"/>
    </row>
    <row r="303">
      <c r="A303" s="9"/>
      <c r="B303" s="9"/>
      <c r="C303" s="9"/>
      <c r="D303" s="9"/>
      <c r="E303" s="9"/>
      <c r="F303" s="9"/>
      <c r="G303" s="59"/>
      <c r="H303" s="9"/>
    </row>
    <row r="304">
      <c r="A304" s="9"/>
      <c r="B304" s="9"/>
      <c r="C304" s="9"/>
      <c r="D304" s="9"/>
      <c r="E304" s="9"/>
      <c r="F304" s="9"/>
      <c r="G304" s="59"/>
      <c r="H304" s="9"/>
    </row>
    <row r="305">
      <c r="A305" s="9"/>
      <c r="B305" s="9"/>
      <c r="C305" s="9"/>
      <c r="D305" s="9"/>
      <c r="E305" s="9"/>
      <c r="F305" s="9"/>
      <c r="G305" s="59"/>
      <c r="H305" s="9"/>
    </row>
    <row r="306">
      <c r="A306" s="9"/>
      <c r="B306" s="9"/>
      <c r="C306" s="9"/>
      <c r="D306" s="9"/>
      <c r="E306" s="9"/>
      <c r="F306" s="9"/>
      <c r="G306" s="59"/>
      <c r="H306" s="9"/>
    </row>
    <row r="307">
      <c r="A307" s="9"/>
      <c r="B307" s="9"/>
      <c r="C307" s="9"/>
      <c r="D307" s="9"/>
      <c r="E307" s="9"/>
      <c r="F307" s="9"/>
      <c r="G307" s="59"/>
      <c r="H307" s="9"/>
    </row>
    <row r="308">
      <c r="A308" s="9"/>
      <c r="B308" s="9"/>
      <c r="C308" s="9"/>
      <c r="D308" s="9"/>
      <c r="E308" s="9"/>
      <c r="F308" s="9"/>
      <c r="G308" s="59"/>
      <c r="H308" s="9"/>
    </row>
    <row r="309">
      <c r="A309" s="9"/>
      <c r="B309" s="9"/>
      <c r="C309" s="9"/>
      <c r="D309" s="9"/>
      <c r="E309" s="9"/>
      <c r="F309" s="9"/>
      <c r="G309" s="59"/>
      <c r="H309" s="9"/>
    </row>
    <row r="310">
      <c r="A310" s="9"/>
      <c r="B310" s="9"/>
      <c r="C310" s="9"/>
      <c r="D310" s="9"/>
      <c r="E310" s="9"/>
      <c r="F310" s="9"/>
      <c r="G310" s="59"/>
      <c r="H310" s="9"/>
    </row>
    <row r="311">
      <c r="A311" s="9"/>
      <c r="B311" s="9"/>
      <c r="C311" s="9"/>
      <c r="D311" s="9"/>
      <c r="E311" s="9"/>
      <c r="F311" s="9"/>
      <c r="G311" s="59"/>
      <c r="H311" s="9"/>
    </row>
    <row r="312">
      <c r="A312" s="9"/>
      <c r="B312" s="9"/>
      <c r="C312" s="9"/>
      <c r="D312" s="9"/>
      <c r="E312" s="9"/>
      <c r="F312" s="9"/>
      <c r="G312" s="59"/>
      <c r="H312" s="9"/>
    </row>
    <row r="313">
      <c r="A313" s="9"/>
      <c r="B313" s="9"/>
      <c r="C313" s="9"/>
      <c r="D313" s="9"/>
      <c r="E313" s="9"/>
      <c r="F313" s="9"/>
      <c r="G313" s="59"/>
      <c r="H313" s="9"/>
    </row>
    <row r="314">
      <c r="A314" s="9"/>
      <c r="B314" s="9"/>
      <c r="C314" s="9"/>
      <c r="D314" s="9"/>
      <c r="E314" s="9"/>
      <c r="F314" s="9"/>
      <c r="G314" s="59"/>
      <c r="H314" s="9"/>
    </row>
    <row r="315">
      <c r="A315" s="9"/>
      <c r="B315" s="9"/>
      <c r="C315" s="9"/>
      <c r="D315" s="9"/>
      <c r="E315" s="9"/>
      <c r="F315" s="9"/>
      <c r="G315" s="59"/>
      <c r="H315" s="9"/>
    </row>
    <row r="316">
      <c r="A316" s="9"/>
      <c r="B316" s="9"/>
      <c r="C316" s="9"/>
      <c r="D316" s="9"/>
      <c r="E316" s="9"/>
      <c r="F316" s="9"/>
      <c r="G316" s="59"/>
      <c r="H316" s="9"/>
    </row>
    <row r="317">
      <c r="A317" s="9"/>
      <c r="B317" s="9"/>
      <c r="C317" s="9"/>
      <c r="D317" s="9"/>
      <c r="E317" s="9"/>
      <c r="F317" s="9"/>
      <c r="G317" s="59"/>
      <c r="H317" s="9"/>
    </row>
    <row r="318">
      <c r="A318" s="9"/>
      <c r="B318" s="9"/>
      <c r="C318" s="9"/>
      <c r="D318" s="9"/>
      <c r="E318" s="9"/>
      <c r="F318" s="9"/>
      <c r="G318" s="59"/>
      <c r="H318" s="9"/>
    </row>
    <row r="319">
      <c r="A319" s="9"/>
      <c r="B319" s="9"/>
      <c r="C319" s="9"/>
      <c r="D319" s="9"/>
      <c r="E319" s="9"/>
      <c r="F319" s="9"/>
      <c r="G319" s="59"/>
      <c r="H319" s="9"/>
    </row>
    <row r="320">
      <c r="A320" s="9"/>
      <c r="B320" s="9"/>
      <c r="C320" s="9"/>
      <c r="D320" s="9"/>
      <c r="E320" s="9"/>
      <c r="F320" s="9"/>
      <c r="G320" s="59"/>
      <c r="H320" s="9"/>
    </row>
    <row r="321">
      <c r="A321" s="9"/>
      <c r="B321" s="9"/>
      <c r="C321" s="9"/>
      <c r="D321" s="9"/>
      <c r="E321" s="9"/>
      <c r="F321" s="9"/>
      <c r="G321" s="59"/>
      <c r="H321" s="9"/>
    </row>
    <row r="322">
      <c r="A322" s="9"/>
      <c r="B322" s="9"/>
      <c r="C322" s="9"/>
      <c r="D322" s="9"/>
      <c r="E322" s="9"/>
      <c r="F322" s="9"/>
      <c r="G322" s="59"/>
      <c r="H322" s="9"/>
    </row>
    <row r="323">
      <c r="A323" s="9"/>
      <c r="B323" s="9"/>
      <c r="C323" s="9"/>
      <c r="D323" s="9"/>
      <c r="E323" s="9"/>
      <c r="F323" s="9"/>
      <c r="G323" s="59"/>
      <c r="H323" s="9"/>
    </row>
    <row r="324">
      <c r="A324" s="9"/>
      <c r="B324" s="9"/>
      <c r="C324" s="9"/>
      <c r="D324" s="9"/>
      <c r="E324" s="9"/>
      <c r="F324" s="9"/>
      <c r="G324" s="59"/>
      <c r="H324" s="9"/>
    </row>
    <row r="325">
      <c r="A325" s="9"/>
      <c r="B325" s="9"/>
      <c r="C325" s="9"/>
      <c r="D325" s="9"/>
      <c r="E325" s="9"/>
      <c r="F325" s="9"/>
      <c r="G325" s="59"/>
      <c r="H325" s="9"/>
    </row>
    <row r="326">
      <c r="A326" s="9"/>
      <c r="B326" s="9"/>
      <c r="C326" s="9"/>
      <c r="D326" s="9"/>
      <c r="E326" s="9"/>
      <c r="F326" s="9"/>
      <c r="G326" s="59"/>
      <c r="H326" s="9"/>
    </row>
    <row r="327">
      <c r="A327" s="9"/>
      <c r="B327" s="9"/>
      <c r="C327" s="9"/>
      <c r="D327" s="9"/>
      <c r="E327" s="9"/>
      <c r="F327" s="9"/>
      <c r="G327" s="59"/>
      <c r="H327" s="9"/>
    </row>
    <row r="328">
      <c r="A328" s="9"/>
      <c r="B328" s="9"/>
      <c r="C328" s="9"/>
      <c r="D328" s="9"/>
      <c r="E328" s="9"/>
      <c r="F328" s="9"/>
      <c r="G328" s="59"/>
      <c r="H328" s="9"/>
    </row>
    <row r="329">
      <c r="A329" s="9"/>
      <c r="B329" s="9"/>
      <c r="C329" s="9"/>
      <c r="D329" s="9"/>
      <c r="E329" s="9"/>
      <c r="F329" s="9"/>
      <c r="G329" s="59"/>
      <c r="H329" s="9"/>
    </row>
    <row r="330">
      <c r="A330" s="9"/>
      <c r="B330" s="9"/>
      <c r="C330" s="9"/>
      <c r="D330" s="9"/>
      <c r="E330" s="9"/>
      <c r="F330" s="9"/>
      <c r="G330" s="59"/>
      <c r="H330" s="9"/>
    </row>
    <row r="331">
      <c r="A331" s="9"/>
      <c r="B331" s="9"/>
      <c r="C331" s="9"/>
      <c r="D331" s="9"/>
      <c r="E331" s="9"/>
      <c r="F331" s="9"/>
      <c r="G331" s="59"/>
      <c r="H331" s="9"/>
    </row>
    <row r="332">
      <c r="A332" s="9"/>
      <c r="B332" s="9"/>
      <c r="C332" s="9"/>
      <c r="D332" s="9"/>
      <c r="E332" s="9"/>
      <c r="F332" s="9"/>
      <c r="G332" s="59"/>
      <c r="H332" s="9"/>
    </row>
    <row r="333">
      <c r="A333" s="9"/>
      <c r="B333" s="9"/>
      <c r="C333" s="9"/>
      <c r="D333" s="9"/>
      <c r="E333" s="9"/>
      <c r="F333" s="9"/>
      <c r="G333" s="59"/>
      <c r="H333" s="9"/>
    </row>
    <row r="334">
      <c r="A334" s="9"/>
      <c r="B334" s="9"/>
      <c r="C334" s="9"/>
      <c r="D334" s="9"/>
      <c r="E334" s="9"/>
      <c r="F334" s="9"/>
      <c r="G334" s="59"/>
      <c r="H334" s="9"/>
    </row>
    <row r="335">
      <c r="A335" s="9"/>
      <c r="B335" s="9"/>
      <c r="C335" s="9"/>
      <c r="D335" s="9"/>
      <c r="E335" s="9"/>
      <c r="F335" s="9"/>
      <c r="G335" s="59"/>
      <c r="H335" s="9"/>
    </row>
    <row r="336">
      <c r="A336" s="9"/>
      <c r="B336" s="9"/>
      <c r="C336" s="9"/>
      <c r="D336" s="9"/>
      <c r="E336" s="9"/>
      <c r="F336" s="9"/>
      <c r="G336" s="59"/>
      <c r="H336" s="9"/>
    </row>
    <row r="337">
      <c r="A337" s="9"/>
      <c r="B337" s="9"/>
      <c r="C337" s="9"/>
      <c r="D337" s="9"/>
      <c r="E337" s="9"/>
      <c r="F337" s="9"/>
      <c r="G337" s="59"/>
      <c r="H337" s="9"/>
    </row>
    <row r="338">
      <c r="A338" s="9"/>
      <c r="B338" s="9"/>
      <c r="C338" s="9"/>
      <c r="D338" s="9"/>
      <c r="E338" s="9"/>
      <c r="F338" s="9"/>
      <c r="G338" s="59"/>
      <c r="H338" s="9"/>
    </row>
    <row r="339">
      <c r="A339" s="9"/>
      <c r="B339" s="9"/>
      <c r="C339" s="9"/>
      <c r="D339" s="9"/>
      <c r="E339" s="9"/>
      <c r="F339" s="9"/>
      <c r="G339" s="59"/>
      <c r="H339" s="9"/>
    </row>
    <row r="340">
      <c r="A340" s="9"/>
      <c r="B340" s="9"/>
      <c r="C340" s="9"/>
      <c r="D340" s="9"/>
      <c r="E340" s="9"/>
      <c r="F340" s="9"/>
      <c r="G340" s="59"/>
      <c r="H340" s="9"/>
    </row>
    <row r="341">
      <c r="A341" s="9"/>
      <c r="B341" s="9"/>
      <c r="C341" s="9"/>
      <c r="D341" s="9"/>
      <c r="E341" s="9"/>
      <c r="F341" s="9"/>
      <c r="G341" s="59"/>
      <c r="H341" s="9"/>
    </row>
    <row r="342">
      <c r="A342" s="9"/>
      <c r="B342" s="9"/>
      <c r="C342" s="9"/>
      <c r="D342" s="9"/>
      <c r="E342" s="9"/>
      <c r="F342" s="9"/>
      <c r="G342" s="59"/>
      <c r="H342" s="9"/>
    </row>
    <row r="343">
      <c r="A343" s="9"/>
      <c r="B343" s="9"/>
      <c r="C343" s="9"/>
      <c r="D343" s="9"/>
      <c r="E343" s="9"/>
      <c r="F343" s="9"/>
      <c r="G343" s="59"/>
      <c r="H343" s="9"/>
    </row>
    <row r="344">
      <c r="A344" s="9"/>
      <c r="B344" s="9"/>
      <c r="C344" s="9"/>
      <c r="D344" s="9"/>
      <c r="E344" s="9"/>
      <c r="F344" s="9"/>
      <c r="G344" s="59"/>
      <c r="H344" s="9"/>
    </row>
    <row r="345">
      <c r="A345" s="9"/>
      <c r="B345" s="9"/>
      <c r="C345" s="9"/>
      <c r="D345" s="9"/>
      <c r="E345" s="9"/>
      <c r="F345" s="9"/>
      <c r="G345" s="59"/>
      <c r="H345" s="9"/>
    </row>
    <row r="346">
      <c r="A346" s="9"/>
      <c r="B346" s="9"/>
      <c r="C346" s="9"/>
      <c r="D346" s="9"/>
      <c r="E346" s="9"/>
      <c r="F346" s="9"/>
      <c r="G346" s="59"/>
      <c r="H346" s="9"/>
    </row>
    <row r="347">
      <c r="A347" s="9"/>
      <c r="B347" s="9"/>
      <c r="C347" s="9"/>
      <c r="D347" s="9"/>
      <c r="E347" s="9"/>
      <c r="F347" s="9"/>
      <c r="G347" s="59"/>
      <c r="H347" s="9"/>
    </row>
    <row r="348">
      <c r="A348" s="9"/>
      <c r="B348" s="9"/>
      <c r="C348" s="9"/>
      <c r="D348" s="9"/>
      <c r="E348" s="9"/>
      <c r="F348" s="9"/>
      <c r="G348" s="59"/>
      <c r="H348" s="9"/>
    </row>
    <row r="349">
      <c r="A349" s="9"/>
      <c r="B349" s="9"/>
      <c r="C349" s="9"/>
      <c r="D349" s="9"/>
      <c r="E349" s="9"/>
      <c r="F349" s="9"/>
      <c r="G349" s="59"/>
      <c r="H349" s="9"/>
    </row>
    <row r="350">
      <c r="A350" s="9"/>
      <c r="B350" s="9"/>
      <c r="C350" s="9"/>
      <c r="D350" s="9"/>
      <c r="E350" s="9"/>
      <c r="F350" s="9"/>
      <c r="G350" s="59"/>
      <c r="H350" s="9"/>
    </row>
    <row r="351">
      <c r="A351" s="9"/>
      <c r="B351" s="9"/>
      <c r="C351" s="9"/>
      <c r="D351" s="9"/>
      <c r="E351" s="9"/>
      <c r="F351" s="9"/>
      <c r="G351" s="59"/>
      <c r="H351" s="9"/>
    </row>
    <row r="352">
      <c r="A352" s="9"/>
      <c r="B352" s="9"/>
      <c r="C352" s="9"/>
      <c r="D352" s="9"/>
      <c r="E352" s="9"/>
      <c r="F352" s="9"/>
      <c r="G352" s="59"/>
      <c r="H352" s="9"/>
    </row>
    <row r="353">
      <c r="A353" s="9"/>
      <c r="B353" s="9"/>
      <c r="C353" s="9"/>
      <c r="D353" s="9"/>
      <c r="E353" s="9"/>
      <c r="F353" s="9"/>
      <c r="G353" s="59"/>
      <c r="H353" s="9"/>
    </row>
    <row r="354">
      <c r="A354" s="9"/>
      <c r="B354" s="9"/>
      <c r="C354" s="9"/>
      <c r="D354" s="9"/>
      <c r="E354" s="9"/>
      <c r="F354" s="9"/>
      <c r="G354" s="59"/>
      <c r="H354" s="9"/>
    </row>
    <row r="355">
      <c r="A355" s="9"/>
      <c r="B355" s="9"/>
      <c r="C355" s="9"/>
      <c r="D355" s="9"/>
      <c r="E355" s="9"/>
      <c r="F355" s="9"/>
      <c r="G355" s="59"/>
      <c r="H355" s="9"/>
    </row>
    <row r="356">
      <c r="A356" s="9"/>
      <c r="B356" s="9"/>
      <c r="C356" s="9"/>
      <c r="D356" s="9"/>
      <c r="E356" s="9"/>
      <c r="F356" s="9"/>
      <c r="G356" s="59"/>
      <c r="H356" s="9"/>
    </row>
    <row r="357">
      <c r="A357" s="9"/>
      <c r="B357" s="9"/>
      <c r="C357" s="9"/>
      <c r="D357" s="9"/>
      <c r="E357" s="9"/>
      <c r="F357" s="9"/>
      <c r="G357" s="59"/>
      <c r="H357" s="9"/>
    </row>
    <row r="358">
      <c r="A358" s="9"/>
      <c r="B358" s="9"/>
      <c r="C358" s="9"/>
      <c r="D358" s="9"/>
      <c r="E358" s="9"/>
      <c r="F358" s="9"/>
      <c r="G358" s="59"/>
      <c r="H358" s="9"/>
    </row>
    <row r="359">
      <c r="A359" s="9"/>
      <c r="B359" s="9"/>
      <c r="C359" s="9"/>
      <c r="D359" s="9"/>
      <c r="E359" s="9"/>
      <c r="F359" s="9"/>
      <c r="G359" s="59"/>
      <c r="H359" s="9"/>
    </row>
    <row r="360">
      <c r="A360" s="9"/>
      <c r="B360" s="9"/>
      <c r="C360" s="9"/>
      <c r="D360" s="9"/>
      <c r="E360" s="9"/>
      <c r="F360" s="9"/>
      <c r="G360" s="59"/>
      <c r="H360" s="9"/>
    </row>
    <row r="361">
      <c r="A361" s="9"/>
      <c r="B361" s="9"/>
      <c r="C361" s="9"/>
      <c r="D361" s="9"/>
      <c r="E361" s="9"/>
      <c r="F361" s="9"/>
      <c r="G361" s="59"/>
      <c r="H361" s="9"/>
    </row>
    <row r="362">
      <c r="A362" s="9"/>
      <c r="B362" s="9"/>
      <c r="C362" s="9"/>
      <c r="D362" s="9"/>
      <c r="E362" s="9"/>
      <c r="F362" s="9"/>
      <c r="G362" s="59"/>
      <c r="H362" s="9"/>
    </row>
    <row r="363">
      <c r="A363" s="9"/>
      <c r="B363" s="9"/>
      <c r="C363" s="9"/>
      <c r="D363" s="9"/>
      <c r="E363" s="9"/>
      <c r="F363" s="9"/>
      <c r="G363" s="59"/>
      <c r="H363" s="9"/>
    </row>
    <row r="364">
      <c r="A364" s="9"/>
      <c r="B364" s="9"/>
      <c r="C364" s="9"/>
      <c r="D364" s="9"/>
      <c r="E364" s="9"/>
      <c r="F364" s="9"/>
      <c r="G364" s="59"/>
      <c r="H364" s="9"/>
    </row>
    <row r="365">
      <c r="A365" s="9"/>
      <c r="B365" s="9"/>
      <c r="C365" s="9"/>
      <c r="D365" s="9"/>
      <c r="E365" s="9"/>
      <c r="F365" s="9"/>
      <c r="G365" s="59"/>
      <c r="H365" s="9"/>
    </row>
    <row r="366">
      <c r="A366" s="9"/>
      <c r="B366" s="9"/>
      <c r="C366" s="9"/>
      <c r="D366" s="9"/>
      <c r="E366" s="9"/>
      <c r="F366" s="9"/>
      <c r="G366" s="59"/>
      <c r="H366" s="9"/>
    </row>
    <row r="367">
      <c r="A367" s="9"/>
      <c r="B367" s="9"/>
      <c r="C367" s="9"/>
      <c r="D367" s="9"/>
      <c r="E367" s="9"/>
      <c r="F367" s="9"/>
      <c r="G367" s="59"/>
      <c r="H367" s="9"/>
    </row>
    <row r="368">
      <c r="A368" s="9"/>
      <c r="B368" s="9"/>
      <c r="C368" s="9"/>
      <c r="D368" s="9"/>
      <c r="E368" s="9"/>
      <c r="F368" s="9"/>
      <c r="G368" s="59"/>
      <c r="H368" s="9"/>
    </row>
    <row r="369">
      <c r="A369" s="9"/>
      <c r="B369" s="9"/>
      <c r="C369" s="9"/>
      <c r="D369" s="9"/>
      <c r="E369" s="9"/>
      <c r="F369" s="9"/>
      <c r="G369" s="59"/>
      <c r="H369" s="9"/>
    </row>
    <row r="370">
      <c r="A370" s="9"/>
      <c r="B370" s="9"/>
      <c r="C370" s="9"/>
      <c r="D370" s="9"/>
      <c r="E370" s="9"/>
      <c r="F370" s="9"/>
      <c r="G370" s="59"/>
      <c r="H370" s="9"/>
    </row>
    <row r="371">
      <c r="A371" s="9"/>
      <c r="B371" s="9"/>
      <c r="C371" s="9"/>
      <c r="D371" s="9"/>
      <c r="E371" s="9"/>
      <c r="F371" s="9"/>
      <c r="G371" s="59"/>
      <c r="H371" s="9"/>
    </row>
    <row r="372">
      <c r="A372" s="9"/>
      <c r="B372" s="9"/>
      <c r="C372" s="9"/>
      <c r="D372" s="9"/>
      <c r="E372" s="9"/>
      <c r="F372" s="9"/>
      <c r="G372" s="59"/>
      <c r="H372" s="9"/>
    </row>
    <row r="373">
      <c r="A373" s="9"/>
      <c r="B373" s="9"/>
      <c r="C373" s="9"/>
      <c r="D373" s="9"/>
      <c r="E373" s="9"/>
      <c r="F373" s="9"/>
      <c r="G373" s="59"/>
      <c r="H373" s="9"/>
    </row>
    <row r="374">
      <c r="A374" s="9"/>
      <c r="B374" s="9"/>
      <c r="C374" s="9"/>
      <c r="D374" s="9"/>
      <c r="E374" s="9"/>
      <c r="F374" s="9"/>
      <c r="G374" s="59"/>
      <c r="H374" s="9"/>
    </row>
    <row r="375">
      <c r="A375" s="9"/>
      <c r="B375" s="9"/>
      <c r="C375" s="9"/>
      <c r="D375" s="9"/>
      <c r="E375" s="9"/>
      <c r="F375" s="9"/>
      <c r="G375" s="59"/>
      <c r="H375" s="9"/>
    </row>
    <row r="376">
      <c r="A376" s="9"/>
      <c r="B376" s="9"/>
      <c r="C376" s="9"/>
      <c r="D376" s="9"/>
      <c r="E376" s="9"/>
      <c r="F376" s="9"/>
      <c r="G376" s="59"/>
      <c r="H376" s="9"/>
    </row>
    <row r="377">
      <c r="A377" s="9"/>
      <c r="B377" s="9"/>
      <c r="C377" s="9"/>
      <c r="D377" s="9"/>
      <c r="E377" s="9"/>
      <c r="F377" s="9"/>
      <c r="G377" s="59"/>
      <c r="H377" s="9"/>
    </row>
    <row r="378">
      <c r="A378" s="9"/>
      <c r="B378" s="9"/>
      <c r="C378" s="9"/>
      <c r="D378" s="9"/>
      <c r="E378" s="9"/>
      <c r="F378" s="9"/>
      <c r="G378" s="59"/>
      <c r="H378" s="9"/>
    </row>
    <row r="379">
      <c r="A379" s="9"/>
      <c r="B379" s="9"/>
      <c r="C379" s="9"/>
      <c r="D379" s="9"/>
      <c r="E379" s="9"/>
      <c r="F379" s="9"/>
      <c r="G379" s="59"/>
      <c r="H379" s="9"/>
    </row>
    <row r="380">
      <c r="A380" s="9"/>
      <c r="B380" s="9"/>
      <c r="C380" s="9"/>
      <c r="D380" s="9"/>
      <c r="E380" s="9"/>
      <c r="F380" s="9"/>
      <c r="G380" s="59"/>
      <c r="H380" s="9"/>
    </row>
    <row r="381">
      <c r="A381" s="9"/>
      <c r="B381" s="9"/>
      <c r="C381" s="9"/>
      <c r="D381" s="9"/>
      <c r="E381" s="9"/>
      <c r="F381" s="9"/>
      <c r="G381" s="59"/>
      <c r="H381" s="9"/>
    </row>
    <row r="382">
      <c r="A382" s="9"/>
      <c r="B382" s="9"/>
      <c r="C382" s="9"/>
      <c r="D382" s="9"/>
      <c r="E382" s="9"/>
      <c r="F382" s="9"/>
      <c r="G382" s="59"/>
      <c r="H382" s="9"/>
    </row>
    <row r="383">
      <c r="A383" s="9"/>
      <c r="B383" s="9"/>
      <c r="C383" s="9"/>
      <c r="D383" s="9"/>
      <c r="E383" s="9"/>
      <c r="F383" s="9"/>
      <c r="G383" s="59"/>
      <c r="H383" s="9"/>
    </row>
    <row r="384">
      <c r="A384" s="9"/>
      <c r="B384" s="9"/>
      <c r="C384" s="9"/>
      <c r="D384" s="9"/>
      <c r="E384" s="9"/>
      <c r="F384" s="9"/>
      <c r="G384" s="59"/>
      <c r="H384" s="9"/>
    </row>
    <row r="385">
      <c r="A385" s="9"/>
      <c r="B385" s="9"/>
      <c r="C385" s="9"/>
      <c r="D385" s="9"/>
      <c r="E385" s="9"/>
      <c r="F385" s="9"/>
      <c r="G385" s="59"/>
      <c r="H385" s="9"/>
    </row>
    <row r="386">
      <c r="A386" s="9"/>
      <c r="B386" s="9"/>
      <c r="C386" s="9"/>
      <c r="D386" s="9"/>
      <c r="E386" s="9"/>
      <c r="F386" s="9"/>
      <c r="G386" s="59"/>
      <c r="H386" s="9"/>
    </row>
    <row r="387">
      <c r="A387" s="9"/>
      <c r="B387" s="9"/>
      <c r="C387" s="9"/>
      <c r="D387" s="9"/>
      <c r="E387" s="9"/>
      <c r="F387" s="9"/>
      <c r="G387" s="59"/>
      <c r="H387" s="9"/>
    </row>
    <row r="388">
      <c r="A388" s="9"/>
      <c r="B388" s="9"/>
      <c r="C388" s="9"/>
      <c r="D388" s="9"/>
      <c r="E388" s="9"/>
      <c r="F388" s="9"/>
      <c r="G388" s="59"/>
      <c r="H388" s="9"/>
    </row>
    <row r="389">
      <c r="A389" s="9"/>
      <c r="B389" s="9"/>
      <c r="C389" s="9"/>
      <c r="D389" s="9"/>
      <c r="E389" s="9"/>
      <c r="F389" s="9"/>
      <c r="G389" s="59"/>
      <c r="H389" s="9"/>
    </row>
    <row r="390">
      <c r="A390" s="9"/>
      <c r="B390" s="9"/>
      <c r="C390" s="9"/>
      <c r="D390" s="9"/>
      <c r="E390" s="9"/>
      <c r="F390" s="9"/>
      <c r="G390" s="59"/>
      <c r="H390" s="9"/>
    </row>
    <row r="391">
      <c r="A391" s="9"/>
      <c r="B391" s="9"/>
      <c r="C391" s="9"/>
      <c r="D391" s="9"/>
      <c r="E391" s="9"/>
      <c r="F391" s="9"/>
      <c r="G391" s="59"/>
      <c r="H391" s="9"/>
    </row>
    <row r="392">
      <c r="A392" s="9"/>
      <c r="B392" s="9"/>
      <c r="C392" s="9"/>
      <c r="D392" s="9"/>
      <c r="E392" s="9"/>
      <c r="F392" s="9"/>
      <c r="G392" s="59"/>
      <c r="H392" s="9"/>
    </row>
    <row r="393">
      <c r="A393" s="9"/>
      <c r="B393" s="9"/>
      <c r="C393" s="9"/>
      <c r="D393" s="9"/>
      <c r="E393" s="9"/>
      <c r="F393" s="9"/>
      <c r="G393" s="59"/>
      <c r="H393" s="9"/>
    </row>
    <row r="394">
      <c r="A394" s="9"/>
      <c r="B394" s="9"/>
      <c r="C394" s="9"/>
      <c r="D394" s="9"/>
      <c r="E394" s="9"/>
      <c r="F394" s="9"/>
      <c r="G394" s="59"/>
      <c r="H394" s="9"/>
    </row>
    <row r="395">
      <c r="A395" s="9"/>
      <c r="B395" s="9"/>
      <c r="C395" s="9"/>
      <c r="D395" s="9"/>
      <c r="E395" s="9"/>
      <c r="F395" s="9"/>
      <c r="G395" s="59"/>
      <c r="H395" s="9"/>
    </row>
    <row r="396">
      <c r="A396" s="9"/>
      <c r="B396" s="9"/>
      <c r="C396" s="9"/>
      <c r="D396" s="9"/>
      <c r="E396" s="9"/>
      <c r="F396" s="9"/>
      <c r="G396" s="59"/>
      <c r="H396" s="9"/>
    </row>
    <row r="397">
      <c r="A397" s="9"/>
      <c r="B397" s="9"/>
      <c r="C397" s="9"/>
      <c r="D397" s="9"/>
      <c r="E397" s="9"/>
      <c r="F397" s="9"/>
      <c r="G397" s="59"/>
      <c r="H397" s="9"/>
    </row>
    <row r="398">
      <c r="A398" s="9"/>
      <c r="B398" s="9"/>
      <c r="C398" s="9"/>
      <c r="D398" s="9"/>
      <c r="E398" s="9"/>
      <c r="F398" s="9"/>
      <c r="G398" s="59"/>
      <c r="H398" s="9"/>
    </row>
    <row r="399">
      <c r="A399" s="9"/>
      <c r="B399" s="9"/>
      <c r="C399" s="9"/>
      <c r="D399" s="9"/>
      <c r="E399" s="9"/>
      <c r="F399" s="9"/>
      <c r="G399" s="59"/>
      <c r="H399" s="9"/>
    </row>
    <row r="400">
      <c r="A400" s="9"/>
      <c r="B400" s="9"/>
      <c r="C400" s="9"/>
      <c r="D400" s="9"/>
      <c r="E400" s="9"/>
      <c r="F400" s="9"/>
      <c r="G400" s="59"/>
      <c r="H400" s="9"/>
    </row>
    <row r="401">
      <c r="A401" s="9"/>
      <c r="B401" s="9"/>
      <c r="C401" s="9"/>
      <c r="D401" s="9"/>
      <c r="E401" s="9"/>
      <c r="F401" s="9"/>
      <c r="G401" s="59"/>
      <c r="H401" s="9"/>
    </row>
    <row r="402">
      <c r="A402" s="9"/>
      <c r="B402" s="9"/>
      <c r="C402" s="9"/>
      <c r="D402" s="9"/>
      <c r="E402" s="9"/>
      <c r="F402" s="9"/>
      <c r="G402" s="59"/>
      <c r="H402" s="9"/>
    </row>
    <row r="403">
      <c r="A403" s="9"/>
      <c r="B403" s="9"/>
      <c r="C403" s="9"/>
      <c r="D403" s="9"/>
      <c r="E403" s="9"/>
      <c r="F403" s="9"/>
      <c r="G403" s="59"/>
      <c r="H403" s="9"/>
    </row>
    <row r="404">
      <c r="A404" s="9"/>
      <c r="B404" s="9"/>
      <c r="C404" s="9"/>
      <c r="D404" s="9"/>
      <c r="E404" s="9"/>
      <c r="F404" s="9"/>
      <c r="G404" s="59"/>
      <c r="H404" s="9"/>
    </row>
    <row r="405">
      <c r="A405" s="9"/>
      <c r="B405" s="9"/>
      <c r="C405" s="9"/>
      <c r="D405" s="9"/>
      <c r="E405" s="9"/>
      <c r="F405" s="9"/>
      <c r="G405" s="59"/>
      <c r="H405" s="9"/>
    </row>
    <row r="406">
      <c r="A406" s="9"/>
      <c r="B406" s="9"/>
      <c r="C406" s="9"/>
      <c r="D406" s="9"/>
      <c r="E406" s="9"/>
      <c r="F406" s="9"/>
      <c r="G406" s="59"/>
      <c r="H406" s="9"/>
    </row>
    <row r="407">
      <c r="A407" s="9"/>
      <c r="B407" s="9"/>
      <c r="C407" s="9"/>
      <c r="D407" s="9"/>
      <c r="E407" s="9"/>
      <c r="F407" s="9"/>
      <c r="G407" s="59"/>
      <c r="H407" s="9"/>
    </row>
    <row r="408">
      <c r="A408" s="9"/>
      <c r="B408" s="9"/>
      <c r="C408" s="9"/>
      <c r="D408" s="9"/>
      <c r="E408" s="9"/>
      <c r="F408" s="9"/>
      <c r="G408" s="59"/>
      <c r="H408" s="9"/>
    </row>
    <row r="409">
      <c r="A409" s="9"/>
      <c r="B409" s="9"/>
      <c r="C409" s="9"/>
      <c r="D409" s="9"/>
      <c r="E409" s="9"/>
      <c r="F409" s="9"/>
      <c r="G409" s="59"/>
      <c r="H409" s="9"/>
    </row>
    <row r="410">
      <c r="A410" s="9"/>
      <c r="B410" s="9"/>
      <c r="C410" s="9"/>
      <c r="D410" s="9"/>
      <c r="E410" s="9"/>
      <c r="F410" s="9"/>
      <c r="G410" s="59"/>
      <c r="H410" s="9"/>
    </row>
    <row r="411">
      <c r="A411" s="9"/>
      <c r="B411" s="9"/>
      <c r="C411" s="9"/>
      <c r="D411" s="9"/>
      <c r="E411" s="9"/>
      <c r="F411" s="9"/>
      <c r="G411" s="59"/>
      <c r="H411" s="9"/>
    </row>
    <row r="412">
      <c r="A412" s="9"/>
      <c r="B412" s="9"/>
      <c r="C412" s="9"/>
      <c r="D412" s="9"/>
      <c r="E412" s="9"/>
      <c r="F412" s="9"/>
      <c r="G412" s="59"/>
      <c r="H412" s="9"/>
    </row>
    <row r="413">
      <c r="A413" s="9"/>
      <c r="B413" s="9"/>
      <c r="C413" s="9"/>
      <c r="D413" s="9"/>
      <c r="E413" s="9"/>
      <c r="F413" s="9"/>
      <c r="G413" s="59"/>
      <c r="H413" s="9"/>
    </row>
    <row r="414">
      <c r="A414" s="9"/>
      <c r="B414" s="9"/>
      <c r="C414" s="9"/>
      <c r="D414" s="9"/>
      <c r="E414" s="9"/>
      <c r="F414" s="9"/>
      <c r="G414" s="59"/>
      <c r="H414" s="9"/>
    </row>
    <row r="415">
      <c r="A415" s="9"/>
      <c r="B415" s="9"/>
      <c r="C415" s="9"/>
      <c r="D415" s="9"/>
      <c r="E415" s="9"/>
      <c r="F415" s="9"/>
      <c r="G415" s="59"/>
      <c r="H415" s="9"/>
    </row>
    <row r="416">
      <c r="A416" s="9"/>
      <c r="B416" s="9"/>
      <c r="C416" s="9"/>
      <c r="D416" s="9"/>
      <c r="E416" s="9"/>
      <c r="F416" s="9"/>
      <c r="G416" s="59"/>
      <c r="H416" s="9"/>
    </row>
    <row r="417">
      <c r="A417" s="9"/>
      <c r="B417" s="9"/>
      <c r="C417" s="9"/>
      <c r="D417" s="9"/>
      <c r="E417" s="9"/>
      <c r="F417" s="9"/>
      <c r="G417" s="59"/>
      <c r="H417" s="9"/>
    </row>
    <row r="418">
      <c r="A418" s="9"/>
      <c r="B418" s="9"/>
      <c r="C418" s="9"/>
      <c r="D418" s="9"/>
      <c r="E418" s="9"/>
      <c r="F418" s="9"/>
      <c r="G418" s="59"/>
      <c r="H418" s="9"/>
    </row>
    <row r="419">
      <c r="A419" s="9"/>
      <c r="B419" s="9"/>
      <c r="C419" s="9"/>
      <c r="D419" s="9"/>
      <c r="E419" s="9"/>
      <c r="F419" s="9"/>
      <c r="G419" s="59"/>
      <c r="H419" s="9"/>
    </row>
    <row r="420">
      <c r="A420" s="9"/>
      <c r="B420" s="9"/>
      <c r="C420" s="9"/>
      <c r="D420" s="9"/>
      <c r="E420" s="9"/>
      <c r="F420" s="9"/>
      <c r="G420" s="59"/>
      <c r="H420" s="9"/>
    </row>
    <row r="421">
      <c r="A421" s="9"/>
      <c r="B421" s="9"/>
      <c r="C421" s="9"/>
      <c r="D421" s="9"/>
      <c r="E421" s="9"/>
      <c r="F421" s="9"/>
      <c r="G421" s="59"/>
      <c r="H421" s="9"/>
    </row>
    <row r="422">
      <c r="A422" s="9"/>
      <c r="B422" s="9"/>
      <c r="C422" s="9"/>
      <c r="D422" s="9"/>
      <c r="E422" s="9"/>
      <c r="F422" s="9"/>
      <c r="G422" s="59"/>
      <c r="H422" s="9"/>
    </row>
    <row r="423">
      <c r="A423" s="9"/>
      <c r="B423" s="9"/>
      <c r="C423" s="9"/>
      <c r="D423" s="9"/>
      <c r="E423" s="9"/>
      <c r="F423" s="9"/>
      <c r="G423" s="59"/>
      <c r="H423" s="9"/>
    </row>
    <row r="424">
      <c r="A424" s="9"/>
      <c r="B424" s="9"/>
      <c r="C424" s="9"/>
      <c r="D424" s="9"/>
      <c r="E424" s="9"/>
      <c r="F424" s="9"/>
      <c r="G424" s="59"/>
      <c r="H424" s="9"/>
    </row>
    <row r="425">
      <c r="A425" s="9"/>
      <c r="B425" s="9"/>
      <c r="C425" s="9"/>
      <c r="D425" s="9"/>
      <c r="E425" s="9"/>
      <c r="F425" s="9"/>
      <c r="G425" s="59"/>
      <c r="H425" s="9"/>
    </row>
    <row r="426">
      <c r="A426" s="9"/>
      <c r="B426" s="9"/>
      <c r="C426" s="9"/>
      <c r="D426" s="9"/>
      <c r="E426" s="9"/>
      <c r="F426" s="9"/>
      <c r="G426" s="59"/>
      <c r="H426" s="9"/>
    </row>
    <row r="427">
      <c r="A427" s="9"/>
      <c r="B427" s="9"/>
      <c r="C427" s="9"/>
      <c r="D427" s="9"/>
      <c r="E427" s="9"/>
      <c r="F427" s="9"/>
      <c r="G427" s="59"/>
      <c r="H427" s="9"/>
    </row>
    <row r="428">
      <c r="A428" s="9"/>
      <c r="B428" s="9"/>
      <c r="C428" s="9"/>
      <c r="D428" s="9"/>
      <c r="E428" s="9"/>
      <c r="F428" s="9"/>
      <c r="G428" s="59"/>
      <c r="H428" s="9"/>
    </row>
    <row r="429">
      <c r="A429" s="9"/>
      <c r="B429" s="9"/>
      <c r="C429" s="9"/>
      <c r="D429" s="9"/>
      <c r="E429" s="9"/>
      <c r="F429" s="9"/>
      <c r="G429" s="59"/>
      <c r="H429" s="9"/>
    </row>
    <row r="430">
      <c r="A430" s="9"/>
      <c r="B430" s="9"/>
      <c r="C430" s="9"/>
      <c r="D430" s="9"/>
      <c r="E430" s="9"/>
      <c r="F430" s="9"/>
      <c r="G430" s="59"/>
      <c r="H430" s="9"/>
    </row>
    <row r="431">
      <c r="A431" s="9"/>
      <c r="B431" s="9"/>
      <c r="C431" s="9"/>
      <c r="D431" s="9"/>
      <c r="E431" s="9"/>
      <c r="F431" s="9"/>
      <c r="G431" s="59"/>
      <c r="H431" s="9"/>
    </row>
    <row r="432">
      <c r="A432" s="9"/>
      <c r="B432" s="9"/>
      <c r="C432" s="9"/>
      <c r="D432" s="9"/>
      <c r="E432" s="9"/>
      <c r="F432" s="9"/>
      <c r="G432" s="59"/>
      <c r="H432" s="9"/>
    </row>
    <row r="433">
      <c r="A433" s="9"/>
      <c r="B433" s="9"/>
      <c r="C433" s="9"/>
      <c r="D433" s="9"/>
      <c r="E433" s="9"/>
      <c r="F433" s="9"/>
      <c r="G433" s="59"/>
      <c r="H433" s="9"/>
    </row>
    <row r="434">
      <c r="A434" s="9"/>
      <c r="B434" s="9"/>
      <c r="C434" s="9"/>
      <c r="D434" s="9"/>
      <c r="E434" s="9"/>
      <c r="F434" s="9"/>
      <c r="G434" s="59"/>
      <c r="H434" s="9"/>
    </row>
    <row r="435">
      <c r="A435" s="9"/>
      <c r="B435" s="9"/>
      <c r="C435" s="9"/>
      <c r="D435" s="9"/>
      <c r="E435" s="9"/>
      <c r="F435" s="9"/>
      <c r="G435" s="59"/>
      <c r="H435" s="9"/>
    </row>
    <row r="436">
      <c r="A436" s="9"/>
      <c r="B436" s="9"/>
      <c r="C436" s="9"/>
      <c r="D436" s="9"/>
      <c r="E436" s="9"/>
      <c r="F436" s="9"/>
      <c r="G436" s="59"/>
      <c r="H436" s="9"/>
    </row>
    <row r="437">
      <c r="A437" s="9"/>
      <c r="B437" s="9"/>
      <c r="C437" s="9"/>
      <c r="D437" s="9"/>
      <c r="E437" s="9"/>
      <c r="F437" s="9"/>
      <c r="G437" s="59"/>
      <c r="H437" s="9"/>
    </row>
    <row r="438">
      <c r="A438" s="9"/>
      <c r="B438" s="9"/>
      <c r="C438" s="9"/>
      <c r="D438" s="9"/>
      <c r="E438" s="9"/>
      <c r="F438" s="9"/>
      <c r="G438" s="59"/>
      <c r="H438" s="9"/>
    </row>
    <row r="439">
      <c r="A439" s="9"/>
      <c r="B439" s="9"/>
      <c r="C439" s="9"/>
      <c r="D439" s="9"/>
      <c r="E439" s="9"/>
      <c r="F439" s="9"/>
      <c r="G439" s="59"/>
      <c r="H439" s="9"/>
    </row>
    <row r="440">
      <c r="A440" s="9"/>
      <c r="B440" s="9"/>
      <c r="C440" s="9"/>
      <c r="D440" s="9"/>
      <c r="E440" s="9"/>
      <c r="F440" s="9"/>
      <c r="G440" s="59"/>
      <c r="H440" s="9"/>
    </row>
    <row r="441">
      <c r="A441" s="9"/>
      <c r="B441" s="9"/>
      <c r="C441" s="9"/>
      <c r="D441" s="9"/>
      <c r="E441" s="9"/>
      <c r="F441" s="9"/>
      <c r="G441" s="59"/>
      <c r="H441" s="9"/>
    </row>
    <row r="442">
      <c r="A442" s="9"/>
      <c r="B442" s="9"/>
      <c r="C442" s="9"/>
      <c r="D442" s="9"/>
      <c r="E442" s="9"/>
      <c r="F442" s="9"/>
      <c r="G442" s="59"/>
      <c r="H442" s="9"/>
    </row>
    <row r="443">
      <c r="A443" s="9"/>
      <c r="B443" s="9"/>
      <c r="C443" s="9"/>
      <c r="D443" s="9"/>
      <c r="E443" s="9"/>
      <c r="F443" s="9"/>
      <c r="G443" s="59"/>
      <c r="H443" s="9"/>
    </row>
    <row r="444">
      <c r="A444" s="9"/>
      <c r="B444" s="9"/>
      <c r="C444" s="9"/>
      <c r="D444" s="9"/>
      <c r="E444" s="9"/>
      <c r="F444" s="9"/>
      <c r="G444" s="59"/>
      <c r="H444" s="9"/>
    </row>
    <row r="445">
      <c r="A445" s="9"/>
      <c r="B445" s="9"/>
      <c r="C445" s="9"/>
      <c r="D445" s="9"/>
      <c r="E445" s="9"/>
      <c r="F445" s="9"/>
      <c r="G445" s="59"/>
      <c r="H445" s="9"/>
    </row>
    <row r="446">
      <c r="A446" s="9"/>
      <c r="B446" s="9"/>
      <c r="C446" s="9"/>
      <c r="D446" s="9"/>
      <c r="E446" s="9"/>
      <c r="F446" s="9"/>
      <c r="G446" s="59"/>
      <c r="H446" s="9"/>
    </row>
    <row r="447">
      <c r="A447" s="9"/>
      <c r="B447" s="9"/>
      <c r="C447" s="9"/>
      <c r="D447" s="9"/>
      <c r="E447" s="9"/>
      <c r="F447" s="9"/>
      <c r="G447" s="59"/>
      <c r="H447" s="9"/>
    </row>
    <row r="448">
      <c r="A448" s="9"/>
      <c r="B448" s="9"/>
      <c r="C448" s="9"/>
      <c r="D448" s="9"/>
      <c r="E448" s="9"/>
      <c r="F448" s="9"/>
      <c r="G448" s="59"/>
      <c r="H448" s="9"/>
    </row>
    <row r="449">
      <c r="A449" s="9"/>
      <c r="B449" s="9"/>
      <c r="C449" s="9"/>
      <c r="D449" s="9"/>
      <c r="E449" s="9"/>
      <c r="F449" s="9"/>
      <c r="G449" s="59"/>
      <c r="H449" s="9"/>
    </row>
    <row r="450">
      <c r="A450" s="9"/>
      <c r="B450" s="9"/>
      <c r="C450" s="9"/>
      <c r="D450" s="9"/>
      <c r="E450" s="9"/>
      <c r="F450" s="9"/>
      <c r="G450" s="59"/>
      <c r="H450" s="9"/>
    </row>
    <row r="451">
      <c r="A451" s="9"/>
      <c r="B451" s="9"/>
      <c r="C451" s="9"/>
      <c r="D451" s="9"/>
      <c r="E451" s="9"/>
      <c r="F451" s="9"/>
      <c r="G451" s="59"/>
      <c r="H451" s="9"/>
    </row>
    <row r="452">
      <c r="A452" s="9"/>
      <c r="B452" s="9"/>
      <c r="C452" s="9"/>
      <c r="D452" s="9"/>
      <c r="E452" s="9"/>
      <c r="F452" s="9"/>
      <c r="G452" s="59"/>
      <c r="H452" s="9"/>
    </row>
    <row r="453">
      <c r="A453" s="9"/>
      <c r="B453" s="9"/>
      <c r="C453" s="9"/>
      <c r="D453" s="9"/>
      <c r="E453" s="9"/>
      <c r="F453" s="9"/>
      <c r="G453" s="59"/>
      <c r="H453" s="9"/>
    </row>
    <row r="454">
      <c r="A454" s="9"/>
      <c r="B454" s="9"/>
      <c r="C454" s="9"/>
      <c r="D454" s="9"/>
      <c r="E454" s="9"/>
      <c r="F454" s="9"/>
      <c r="G454" s="59"/>
      <c r="H454" s="9"/>
    </row>
    <row r="455">
      <c r="A455" s="9"/>
      <c r="B455" s="9"/>
      <c r="C455" s="9"/>
      <c r="D455" s="9"/>
      <c r="E455" s="9"/>
      <c r="F455" s="9"/>
      <c r="G455" s="59"/>
      <c r="H455" s="9"/>
    </row>
    <row r="456">
      <c r="A456" s="9"/>
      <c r="B456" s="9"/>
      <c r="C456" s="9"/>
      <c r="D456" s="9"/>
      <c r="E456" s="9"/>
      <c r="F456" s="9"/>
      <c r="G456" s="59"/>
      <c r="H456" s="9"/>
    </row>
    <row r="457">
      <c r="A457" s="9"/>
      <c r="B457" s="9"/>
      <c r="C457" s="9"/>
      <c r="D457" s="9"/>
      <c r="E457" s="9"/>
      <c r="F457" s="9"/>
      <c r="G457" s="59"/>
      <c r="H457" s="9"/>
    </row>
    <row r="458">
      <c r="A458" s="9"/>
      <c r="B458" s="9"/>
      <c r="C458" s="9"/>
      <c r="D458" s="9"/>
      <c r="E458" s="9"/>
      <c r="F458" s="9"/>
      <c r="G458" s="59"/>
      <c r="H458" s="9"/>
    </row>
    <row r="459">
      <c r="A459" s="9"/>
      <c r="B459" s="9"/>
      <c r="C459" s="9"/>
      <c r="D459" s="9"/>
      <c r="E459" s="9"/>
      <c r="F459" s="9"/>
      <c r="G459" s="59"/>
      <c r="H459" s="9"/>
    </row>
    <row r="460">
      <c r="A460" s="9"/>
      <c r="B460" s="9"/>
      <c r="C460" s="9"/>
      <c r="D460" s="9"/>
      <c r="E460" s="9"/>
      <c r="F460" s="9"/>
      <c r="G460" s="59"/>
      <c r="H460" s="9"/>
    </row>
    <row r="461">
      <c r="A461" s="9"/>
      <c r="B461" s="9"/>
      <c r="C461" s="9"/>
      <c r="D461" s="9"/>
      <c r="E461" s="9"/>
      <c r="F461" s="9"/>
      <c r="G461" s="59"/>
      <c r="H461" s="9"/>
    </row>
    <row r="462">
      <c r="A462" s="9"/>
      <c r="B462" s="9"/>
      <c r="C462" s="9"/>
      <c r="D462" s="9"/>
      <c r="E462" s="9"/>
      <c r="F462" s="9"/>
      <c r="G462" s="59"/>
      <c r="H462" s="9"/>
    </row>
    <row r="463">
      <c r="A463" s="9"/>
      <c r="B463" s="9"/>
      <c r="C463" s="9"/>
      <c r="D463" s="9"/>
      <c r="E463" s="9"/>
      <c r="F463" s="9"/>
      <c r="G463" s="59"/>
      <c r="H463" s="9"/>
    </row>
    <row r="464">
      <c r="A464" s="9"/>
      <c r="B464" s="9"/>
      <c r="C464" s="9"/>
      <c r="D464" s="9"/>
      <c r="E464" s="9"/>
      <c r="F464" s="9"/>
      <c r="G464" s="59"/>
      <c r="H464" s="9"/>
    </row>
    <row r="465">
      <c r="A465" s="9"/>
      <c r="B465" s="9"/>
      <c r="C465" s="9"/>
      <c r="D465" s="9"/>
      <c r="E465" s="9"/>
      <c r="F465" s="9"/>
      <c r="G465" s="59"/>
      <c r="H465" s="9"/>
    </row>
    <row r="466">
      <c r="A466" s="9"/>
      <c r="B466" s="9"/>
      <c r="C466" s="9"/>
      <c r="D466" s="9"/>
      <c r="E466" s="9"/>
      <c r="F466" s="9"/>
      <c r="G466" s="59"/>
      <c r="H466" s="9"/>
    </row>
    <row r="467">
      <c r="A467" s="9"/>
      <c r="B467" s="9"/>
      <c r="C467" s="9"/>
      <c r="D467" s="9"/>
      <c r="E467" s="9"/>
      <c r="F467" s="9"/>
      <c r="G467" s="59"/>
      <c r="H467" s="9"/>
    </row>
    <row r="468">
      <c r="A468" s="9"/>
      <c r="B468" s="9"/>
      <c r="C468" s="9"/>
      <c r="D468" s="9"/>
      <c r="E468" s="9"/>
      <c r="F468" s="9"/>
      <c r="G468" s="59"/>
      <c r="H468" s="9"/>
    </row>
    <row r="469">
      <c r="A469" s="9"/>
      <c r="B469" s="9"/>
      <c r="C469" s="9"/>
      <c r="D469" s="9"/>
      <c r="E469" s="9"/>
      <c r="F469" s="9"/>
      <c r="G469" s="59"/>
      <c r="H469" s="9"/>
    </row>
    <row r="470">
      <c r="A470" s="9"/>
      <c r="B470" s="9"/>
      <c r="C470" s="9"/>
      <c r="D470" s="9"/>
      <c r="E470" s="9"/>
      <c r="F470" s="9"/>
      <c r="G470" s="59"/>
      <c r="H470" s="9"/>
    </row>
    <row r="471">
      <c r="A471" s="9"/>
      <c r="B471" s="9"/>
      <c r="C471" s="9"/>
      <c r="D471" s="9"/>
      <c r="E471" s="9"/>
      <c r="F471" s="9"/>
      <c r="G471" s="59"/>
      <c r="H471" s="9"/>
    </row>
    <row r="472">
      <c r="A472" s="9"/>
      <c r="B472" s="9"/>
      <c r="C472" s="9"/>
      <c r="D472" s="9"/>
      <c r="E472" s="9"/>
      <c r="F472" s="9"/>
      <c r="G472" s="59"/>
      <c r="H472" s="9"/>
    </row>
    <row r="473">
      <c r="A473" s="9"/>
      <c r="B473" s="9"/>
      <c r="C473" s="9"/>
      <c r="D473" s="9"/>
      <c r="E473" s="9"/>
      <c r="F473" s="9"/>
      <c r="G473" s="59"/>
      <c r="H473" s="9"/>
    </row>
    <row r="474">
      <c r="A474" s="9"/>
      <c r="B474" s="9"/>
      <c r="C474" s="9"/>
      <c r="D474" s="9"/>
      <c r="E474" s="9"/>
      <c r="F474" s="9"/>
      <c r="G474" s="59"/>
      <c r="H474" s="9"/>
    </row>
    <row r="475">
      <c r="A475" s="9"/>
      <c r="B475" s="9"/>
      <c r="C475" s="9"/>
      <c r="D475" s="9"/>
      <c r="E475" s="9"/>
      <c r="F475" s="9"/>
      <c r="G475" s="59"/>
      <c r="H475" s="9"/>
    </row>
    <row r="476">
      <c r="A476" s="9"/>
      <c r="B476" s="9"/>
      <c r="C476" s="9"/>
      <c r="D476" s="9"/>
      <c r="E476" s="9"/>
      <c r="F476" s="9"/>
      <c r="G476" s="59"/>
      <c r="H476" s="9"/>
    </row>
    <row r="477">
      <c r="A477" s="9"/>
      <c r="B477" s="9"/>
      <c r="C477" s="9"/>
      <c r="D477" s="9"/>
      <c r="E477" s="9"/>
      <c r="F477" s="9"/>
      <c r="G477" s="59"/>
      <c r="H477" s="9"/>
    </row>
    <row r="478">
      <c r="A478" s="9"/>
      <c r="B478" s="9"/>
      <c r="C478" s="9"/>
      <c r="D478" s="9"/>
      <c r="E478" s="9"/>
      <c r="F478" s="9"/>
      <c r="G478" s="59"/>
      <c r="H478" s="9"/>
    </row>
    <row r="479">
      <c r="A479" s="9"/>
      <c r="B479" s="9"/>
      <c r="C479" s="9"/>
      <c r="D479" s="9"/>
      <c r="E479" s="9"/>
      <c r="F479" s="9"/>
      <c r="G479" s="59"/>
      <c r="H479" s="9"/>
    </row>
    <row r="480">
      <c r="A480" s="9"/>
      <c r="B480" s="9"/>
      <c r="C480" s="9"/>
      <c r="D480" s="9"/>
      <c r="E480" s="9"/>
      <c r="F480" s="9"/>
      <c r="G480" s="59"/>
      <c r="H480" s="9"/>
    </row>
    <row r="481">
      <c r="A481" s="9"/>
      <c r="B481" s="9"/>
      <c r="C481" s="9"/>
      <c r="D481" s="9"/>
      <c r="E481" s="9"/>
      <c r="F481" s="9"/>
      <c r="G481" s="59"/>
      <c r="H481" s="9"/>
    </row>
    <row r="482">
      <c r="A482" s="9"/>
      <c r="B482" s="9"/>
      <c r="C482" s="9"/>
      <c r="D482" s="9"/>
      <c r="E482" s="9"/>
      <c r="F482" s="9"/>
      <c r="G482" s="59"/>
      <c r="H482" s="9"/>
    </row>
    <row r="483">
      <c r="A483" s="9"/>
      <c r="B483" s="9"/>
      <c r="C483" s="9"/>
      <c r="D483" s="9"/>
      <c r="E483" s="9"/>
      <c r="F483" s="9"/>
      <c r="G483" s="59"/>
      <c r="H483" s="9"/>
    </row>
    <row r="484">
      <c r="A484" s="9"/>
      <c r="B484" s="9"/>
      <c r="C484" s="9"/>
      <c r="D484" s="9"/>
      <c r="E484" s="9"/>
      <c r="F484" s="9"/>
      <c r="G484" s="59"/>
      <c r="H484" s="9"/>
    </row>
    <row r="485">
      <c r="A485" s="9"/>
      <c r="B485" s="9"/>
      <c r="C485" s="9"/>
      <c r="D485" s="9"/>
      <c r="E485" s="9"/>
      <c r="F485" s="9"/>
      <c r="G485" s="59"/>
      <c r="H485" s="9"/>
    </row>
    <row r="486">
      <c r="A486" s="9"/>
      <c r="B486" s="9"/>
      <c r="C486" s="9"/>
      <c r="D486" s="9"/>
      <c r="E486" s="9"/>
      <c r="F486" s="9"/>
      <c r="G486" s="59"/>
      <c r="H486" s="9"/>
    </row>
    <row r="487">
      <c r="A487" s="9"/>
      <c r="B487" s="9"/>
      <c r="C487" s="9"/>
      <c r="D487" s="9"/>
      <c r="E487" s="9"/>
      <c r="F487" s="9"/>
      <c r="G487" s="59"/>
      <c r="H487" s="9"/>
    </row>
    <row r="488">
      <c r="A488" s="9"/>
      <c r="B488" s="9"/>
      <c r="C488" s="9"/>
      <c r="D488" s="9"/>
      <c r="E488" s="9"/>
      <c r="F488" s="9"/>
      <c r="G488" s="59"/>
      <c r="H488" s="9"/>
    </row>
    <row r="489">
      <c r="A489" s="9"/>
      <c r="B489" s="9"/>
      <c r="C489" s="9"/>
      <c r="D489" s="9"/>
      <c r="E489" s="9"/>
      <c r="F489" s="9"/>
      <c r="G489" s="59"/>
      <c r="H489" s="9"/>
    </row>
    <row r="490">
      <c r="A490" s="9"/>
      <c r="B490" s="9"/>
      <c r="C490" s="9"/>
      <c r="D490" s="9"/>
      <c r="E490" s="9"/>
      <c r="F490" s="9"/>
      <c r="G490" s="59"/>
      <c r="H490" s="9"/>
    </row>
    <row r="491">
      <c r="A491" s="9"/>
      <c r="B491" s="9"/>
      <c r="C491" s="9"/>
      <c r="D491" s="9"/>
      <c r="E491" s="9"/>
      <c r="F491" s="9"/>
      <c r="G491" s="59"/>
      <c r="H491" s="9"/>
    </row>
    <row r="492">
      <c r="A492" s="9"/>
      <c r="B492" s="9"/>
      <c r="C492" s="9"/>
      <c r="D492" s="9"/>
      <c r="E492" s="9"/>
      <c r="F492" s="9"/>
      <c r="G492" s="59"/>
      <c r="H492" s="9"/>
    </row>
    <row r="493">
      <c r="A493" s="9"/>
      <c r="B493" s="9"/>
      <c r="C493" s="9"/>
      <c r="D493" s="9"/>
      <c r="E493" s="9"/>
      <c r="F493" s="9"/>
      <c r="G493" s="59"/>
      <c r="H493" s="9"/>
    </row>
    <row r="494">
      <c r="A494" s="9"/>
      <c r="B494" s="9"/>
      <c r="C494" s="9"/>
      <c r="D494" s="9"/>
      <c r="E494" s="9"/>
      <c r="F494" s="9"/>
      <c r="G494" s="59"/>
      <c r="H494" s="9"/>
    </row>
    <row r="495">
      <c r="A495" s="9"/>
      <c r="B495" s="9"/>
      <c r="C495" s="9"/>
      <c r="D495" s="9"/>
      <c r="E495" s="9"/>
      <c r="F495" s="9"/>
      <c r="G495" s="59"/>
      <c r="H495" s="9"/>
    </row>
    <row r="496">
      <c r="A496" s="9"/>
      <c r="B496" s="9"/>
      <c r="C496" s="9"/>
      <c r="D496" s="9"/>
      <c r="E496" s="9"/>
      <c r="F496" s="9"/>
      <c r="G496" s="59"/>
      <c r="H496" s="9"/>
    </row>
    <row r="497">
      <c r="A497" s="9"/>
      <c r="B497" s="9"/>
      <c r="C497" s="9"/>
      <c r="D497" s="9"/>
      <c r="E497" s="9"/>
      <c r="F497" s="9"/>
      <c r="G497" s="59"/>
      <c r="H497" s="9"/>
    </row>
    <row r="498">
      <c r="A498" s="9"/>
      <c r="B498" s="9"/>
      <c r="C498" s="9"/>
      <c r="D498" s="9"/>
      <c r="E498" s="9"/>
      <c r="F498" s="9"/>
      <c r="G498" s="59"/>
      <c r="H498" s="9"/>
    </row>
    <row r="499">
      <c r="A499" s="9"/>
      <c r="B499" s="9"/>
      <c r="C499" s="9"/>
      <c r="D499" s="9"/>
      <c r="E499" s="9"/>
      <c r="F499" s="9"/>
      <c r="G499" s="59"/>
      <c r="H499" s="9"/>
    </row>
    <row r="500">
      <c r="A500" s="9"/>
      <c r="B500" s="9"/>
      <c r="C500" s="9"/>
      <c r="D500" s="9"/>
      <c r="E500" s="9"/>
      <c r="F500" s="9"/>
      <c r="G500" s="59"/>
      <c r="H500" s="9"/>
    </row>
    <row r="501">
      <c r="A501" s="9"/>
      <c r="B501" s="9"/>
      <c r="C501" s="9"/>
      <c r="D501" s="9"/>
      <c r="E501" s="9"/>
      <c r="F501" s="9"/>
      <c r="G501" s="59"/>
      <c r="H501" s="9"/>
    </row>
    <row r="502">
      <c r="A502" s="9"/>
      <c r="B502" s="9"/>
      <c r="C502" s="9"/>
      <c r="D502" s="9"/>
      <c r="E502" s="9"/>
      <c r="F502" s="9"/>
      <c r="G502" s="59"/>
      <c r="H502" s="9"/>
    </row>
    <row r="503">
      <c r="A503" s="9"/>
      <c r="B503" s="9"/>
      <c r="C503" s="9"/>
      <c r="D503" s="9"/>
      <c r="E503" s="9"/>
      <c r="F503" s="9"/>
      <c r="G503" s="59"/>
      <c r="H503" s="9"/>
    </row>
    <row r="504">
      <c r="A504" s="9"/>
      <c r="B504" s="9"/>
      <c r="C504" s="9"/>
      <c r="D504" s="9"/>
      <c r="E504" s="9"/>
      <c r="F504" s="9"/>
      <c r="G504" s="59"/>
      <c r="H504" s="9"/>
    </row>
    <row r="505">
      <c r="A505" s="9"/>
      <c r="B505" s="9"/>
      <c r="C505" s="9"/>
      <c r="D505" s="9"/>
      <c r="E505" s="9"/>
      <c r="F505" s="9"/>
      <c r="G505" s="59"/>
      <c r="H505" s="9"/>
    </row>
    <row r="506">
      <c r="A506" s="9"/>
      <c r="B506" s="9"/>
      <c r="C506" s="9"/>
      <c r="D506" s="9"/>
      <c r="E506" s="9"/>
      <c r="F506" s="9"/>
      <c r="G506" s="59"/>
      <c r="H506" s="9"/>
    </row>
    <row r="507">
      <c r="A507" s="9"/>
      <c r="B507" s="9"/>
      <c r="C507" s="9"/>
      <c r="D507" s="9"/>
      <c r="E507" s="9"/>
      <c r="F507" s="9"/>
      <c r="G507" s="59"/>
      <c r="H507" s="9"/>
    </row>
    <row r="508">
      <c r="A508" s="9"/>
      <c r="B508" s="9"/>
      <c r="C508" s="9"/>
      <c r="D508" s="9"/>
      <c r="E508" s="9"/>
      <c r="F508" s="9"/>
      <c r="G508" s="59"/>
      <c r="H508" s="9"/>
    </row>
    <row r="509">
      <c r="A509" s="9"/>
      <c r="B509" s="9"/>
      <c r="C509" s="9"/>
      <c r="D509" s="9"/>
      <c r="E509" s="9"/>
      <c r="F509" s="9"/>
      <c r="G509" s="59"/>
      <c r="H509" s="9"/>
    </row>
    <row r="510">
      <c r="A510" s="9"/>
      <c r="B510" s="9"/>
      <c r="C510" s="9"/>
      <c r="D510" s="9"/>
      <c r="E510" s="9"/>
      <c r="F510" s="9"/>
      <c r="G510" s="59"/>
      <c r="H510" s="9"/>
    </row>
    <row r="511">
      <c r="A511" s="9"/>
      <c r="B511" s="9"/>
      <c r="C511" s="9"/>
      <c r="D511" s="9"/>
      <c r="E511" s="9"/>
      <c r="F511" s="9"/>
      <c r="G511" s="59"/>
      <c r="H511" s="9"/>
    </row>
    <row r="512">
      <c r="A512" s="9"/>
      <c r="B512" s="9"/>
      <c r="C512" s="9"/>
      <c r="D512" s="9"/>
      <c r="E512" s="9"/>
      <c r="F512" s="9"/>
      <c r="G512" s="59"/>
      <c r="H512" s="9"/>
    </row>
    <row r="513">
      <c r="A513" s="9"/>
      <c r="B513" s="9"/>
      <c r="C513" s="9"/>
      <c r="D513" s="9"/>
      <c r="E513" s="9"/>
      <c r="F513" s="9"/>
      <c r="G513" s="59"/>
      <c r="H513" s="9"/>
    </row>
    <row r="514">
      <c r="A514" s="9"/>
      <c r="B514" s="9"/>
      <c r="C514" s="9"/>
      <c r="D514" s="9"/>
      <c r="E514" s="9"/>
      <c r="F514" s="9"/>
      <c r="G514" s="59"/>
      <c r="H514" s="9"/>
    </row>
    <row r="515">
      <c r="A515" s="9"/>
      <c r="B515" s="9"/>
      <c r="C515" s="9"/>
      <c r="D515" s="9"/>
      <c r="E515" s="9"/>
      <c r="F515" s="9"/>
      <c r="G515" s="59"/>
      <c r="H515" s="9"/>
    </row>
    <row r="516">
      <c r="A516" s="9"/>
      <c r="B516" s="9"/>
      <c r="C516" s="9"/>
      <c r="D516" s="9"/>
      <c r="E516" s="9"/>
      <c r="F516" s="9"/>
      <c r="G516" s="59"/>
      <c r="H516" s="9"/>
    </row>
    <row r="517">
      <c r="A517" s="9"/>
      <c r="B517" s="9"/>
      <c r="C517" s="9"/>
      <c r="D517" s="9"/>
      <c r="E517" s="9"/>
      <c r="F517" s="9"/>
      <c r="G517" s="59"/>
      <c r="H517" s="9"/>
    </row>
    <row r="518">
      <c r="A518" s="9"/>
      <c r="B518" s="9"/>
      <c r="C518" s="9"/>
      <c r="D518" s="9"/>
      <c r="E518" s="9"/>
      <c r="F518" s="9"/>
      <c r="G518" s="59"/>
      <c r="H518" s="9"/>
    </row>
    <row r="519">
      <c r="A519" s="9"/>
      <c r="B519" s="9"/>
      <c r="C519" s="9"/>
      <c r="D519" s="9"/>
      <c r="E519" s="9"/>
      <c r="F519" s="9"/>
      <c r="G519" s="59"/>
      <c r="H519" s="9"/>
    </row>
    <row r="520">
      <c r="A520" s="9"/>
      <c r="B520" s="9"/>
      <c r="C520" s="9"/>
      <c r="D520" s="9"/>
      <c r="E520" s="9"/>
      <c r="F520" s="9"/>
      <c r="G520" s="59"/>
      <c r="H520" s="9"/>
    </row>
    <row r="521">
      <c r="A521" s="9"/>
      <c r="B521" s="9"/>
      <c r="C521" s="9"/>
      <c r="D521" s="9"/>
      <c r="E521" s="9"/>
      <c r="F521" s="9"/>
      <c r="G521" s="59"/>
      <c r="H521" s="9"/>
    </row>
    <row r="522">
      <c r="A522" s="9"/>
      <c r="B522" s="9"/>
      <c r="C522" s="9"/>
      <c r="D522" s="9"/>
      <c r="E522" s="9"/>
      <c r="F522" s="9"/>
      <c r="G522" s="59"/>
      <c r="H522" s="9"/>
    </row>
    <row r="523">
      <c r="A523" s="9"/>
      <c r="B523" s="9"/>
      <c r="C523" s="9"/>
      <c r="D523" s="9"/>
      <c r="E523" s="9"/>
      <c r="F523" s="9"/>
      <c r="G523" s="59"/>
      <c r="H523" s="9"/>
    </row>
    <row r="524">
      <c r="A524" s="9"/>
      <c r="B524" s="9"/>
      <c r="C524" s="9"/>
      <c r="D524" s="9"/>
      <c r="E524" s="9"/>
      <c r="F524" s="9"/>
      <c r="G524" s="59"/>
      <c r="H524" s="9"/>
    </row>
    <row r="525">
      <c r="A525" s="9"/>
      <c r="B525" s="9"/>
      <c r="C525" s="9"/>
      <c r="D525" s="9"/>
      <c r="E525" s="9"/>
      <c r="F525" s="9"/>
      <c r="G525" s="59"/>
      <c r="H525" s="9"/>
    </row>
    <row r="526">
      <c r="A526" s="9"/>
      <c r="B526" s="9"/>
      <c r="C526" s="9"/>
      <c r="D526" s="9"/>
      <c r="E526" s="9"/>
      <c r="F526" s="9"/>
      <c r="G526" s="59"/>
      <c r="H526" s="9"/>
    </row>
    <row r="527">
      <c r="A527" s="9"/>
      <c r="B527" s="9"/>
      <c r="C527" s="9"/>
      <c r="D527" s="9"/>
      <c r="E527" s="9"/>
      <c r="F527" s="9"/>
      <c r="G527" s="59"/>
      <c r="H527" s="9"/>
    </row>
    <row r="528">
      <c r="A528" s="9"/>
      <c r="B528" s="9"/>
      <c r="C528" s="9"/>
      <c r="D528" s="9"/>
      <c r="E528" s="9"/>
      <c r="F528" s="9"/>
      <c r="G528" s="59"/>
      <c r="H528" s="9"/>
    </row>
    <row r="529">
      <c r="A529" s="9"/>
      <c r="B529" s="9"/>
      <c r="C529" s="9"/>
      <c r="D529" s="9"/>
      <c r="E529" s="9"/>
      <c r="F529" s="9"/>
      <c r="G529" s="59"/>
      <c r="H529" s="9"/>
    </row>
    <row r="530">
      <c r="A530" s="9"/>
      <c r="B530" s="9"/>
      <c r="C530" s="9"/>
      <c r="D530" s="9"/>
      <c r="E530" s="9"/>
      <c r="F530" s="9"/>
      <c r="G530" s="59"/>
      <c r="H530" s="9"/>
    </row>
    <row r="531">
      <c r="A531" s="9"/>
      <c r="B531" s="9"/>
      <c r="C531" s="9"/>
      <c r="D531" s="9"/>
      <c r="E531" s="9"/>
      <c r="F531" s="9"/>
      <c r="G531" s="59"/>
      <c r="H531" s="9"/>
    </row>
    <row r="532">
      <c r="A532" s="9"/>
      <c r="B532" s="9"/>
      <c r="C532" s="9"/>
      <c r="D532" s="9"/>
      <c r="E532" s="9"/>
      <c r="F532" s="9"/>
      <c r="G532" s="59"/>
      <c r="H532" s="9"/>
    </row>
    <row r="533">
      <c r="A533" s="9"/>
      <c r="B533" s="9"/>
      <c r="C533" s="9"/>
      <c r="D533" s="9"/>
      <c r="E533" s="9"/>
      <c r="F533" s="9"/>
      <c r="G533" s="59"/>
      <c r="H533" s="9"/>
    </row>
    <row r="534">
      <c r="A534" s="9"/>
      <c r="B534" s="9"/>
      <c r="C534" s="9"/>
      <c r="D534" s="9"/>
      <c r="E534" s="9"/>
      <c r="F534" s="9"/>
      <c r="G534" s="59"/>
      <c r="H534" s="9"/>
    </row>
    <row r="535">
      <c r="A535" s="9"/>
      <c r="B535" s="9"/>
      <c r="C535" s="9"/>
      <c r="D535" s="9"/>
      <c r="E535" s="9"/>
      <c r="F535" s="9"/>
      <c r="G535" s="59"/>
      <c r="H535" s="9"/>
    </row>
    <row r="536">
      <c r="A536" s="9"/>
      <c r="B536" s="9"/>
      <c r="C536" s="9"/>
      <c r="D536" s="9"/>
      <c r="E536" s="9"/>
      <c r="F536" s="9"/>
      <c r="G536" s="59"/>
      <c r="H536" s="9"/>
    </row>
    <row r="537">
      <c r="A537" s="9"/>
      <c r="B537" s="9"/>
      <c r="C537" s="9"/>
      <c r="D537" s="9"/>
      <c r="E537" s="9"/>
      <c r="F537" s="9"/>
      <c r="G537" s="59"/>
      <c r="H537" s="9"/>
    </row>
    <row r="538">
      <c r="A538" s="9"/>
      <c r="B538" s="9"/>
      <c r="C538" s="9"/>
      <c r="D538" s="9"/>
      <c r="E538" s="9"/>
      <c r="F538" s="9"/>
      <c r="G538" s="59"/>
      <c r="H538" s="9"/>
    </row>
    <row r="539">
      <c r="A539" s="9"/>
      <c r="B539" s="9"/>
      <c r="C539" s="9"/>
      <c r="D539" s="9"/>
      <c r="E539" s="9"/>
      <c r="F539" s="9"/>
      <c r="G539" s="59"/>
      <c r="H539" s="9"/>
    </row>
    <row r="540">
      <c r="A540" s="9"/>
      <c r="B540" s="9"/>
      <c r="C540" s="9"/>
      <c r="D540" s="9"/>
      <c r="E540" s="9"/>
      <c r="F540" s="9"/>
      <c r="G540" s="59"/>
      <c r="H540" s="9"/>
    </row>
    <row r="541">
      <c r="A541" s="9"/>
      <c r="B541" s="9"/>
      <c r="C541" s="9"/>
      <c r="D541" s="9"/>
      <c r="E541" s="9"/>
      <c r="F541" s="9"/>
      <c r="G541" s="59"/>
      <c r="H541" s="9"/>
    </row>
    <row r="542">
      <c r="A542" s="9"/>
      <c r="B542" s="9"/>
      <c r="C542" s="9"/>
      <c r="D542" s="9"/>
      <c r="E542" s="9"/>
      <c r="F542" s="9"/>
      <c r="G542" s="59"/>
      <c r="H542" s="9"/>
    </row>
    <row r="543">
      <c r="A543" s="9"/>
      <c r="B543" s="9"/>
      <c r="C543" s="9"/>
      <c r="D543" s="9"/>
      <c r="E543" s="9"/>
      <c r="F543" s="9"/>
      <c r="G543" s="59"/>
      <c r="H543" s="9"/>
    </row>
    <row r="544">
      <c r="A544" s="9"/>
      <c r="B544" s="9"/>
      <c r="C544" s="9"/>
      <c r="D544" s="9"/>
      <c r="E544" s="9"/>
      <c r="F544" s="9"/>
      <c r="G544" s="59"/>
      <c r="H544" s="9"/>
    </row>
    <row r="545">
      <c r="A545" s="9"/>
      <c r="B545" s="9"/>
      <c r="C545" s="9"/>
      <c r="D545" s="9"/>
      <c r="E545" s="9"/>
      <c r="F545" s="9"/>
      <c r="G545" s="59"/>
      <c r="H545" s="9"/>
    </row>
    <row r="546">
      <c r="A546" s="9"/>
      <c r="B546" s="9"/>
      <c r="C546" s="9"/>
      <c r="D546" s="9"/>
      <c r="E546" s="9"/>
      <c r="F546" s="9"/>
      <c r="G546" s="59"/>
      <c r="H546" s="9"/>
    </row>
    <row r="547">
      <c r="A547" s="9"/>
      <c r="B547" s="9"/>
      <c r="C547" s="9"/>
      <c r="D547" s="9"/>
      <c r="E547" s="9"/>
      <c r="F547" s="9"/>
      <c r="G547" s="59"/>
      <c r="H547" s="9"/>
    </row>
    <row r="548">
      <c r="A548" s="9"/>
      <c r="B548" s="9"/>
      <c r="C548" s="9"/>
      <c r="D548" s="9"/>
      <c r="E548" s="9"/>
      <c r="F548" s="9"/>
      <c r="G548" s="59"/>
      <c r="H548" s="9"/>
    </row>
    <row r="549">
      <c r="A549" s="9"/>
      <c r="B549" s="9"/>
      <c r="C549" s="9"/>
      <c r="D549" s="9"/>
      <c r="E549" s="9"/>
      <c r="F549" s="9"/>
      <c r="G549" s="59"/>
      <c r="H549" s="9"/>
    </row>
    <row r="550">
      <c r="A550" s="9"/>
      <c r="B550" s="9"/>
      <c r="C550" s="9"/>
      <c r="D550" s="9"/>
      <c r="E550" s="9"/>
      <c r="F550" s="9"/>
      <c r="G550" s="59"/>
      <c r="H550" s="9"/>
    </row>
    <row r="551">
      <c r="A551" s="9"/>
      <c r="B551" s="9"/>
      <c r="C551" s="9"/>
      <c r="D551" s="9"/>
      <c r="E551" s="9"/>
      <c r="F551" s="9"/>
      <c r="G551" s="59"/>
      <c r="H551" s="9"/>
    </row>
    <row r="552">
      <c r="A552" s="9"/>
      <c r="B552" s="9"/>
      <c r="C552" s="9"/>
      <c r="D552" s="9"/>
      <c r="E552" s="9"/>
      <c r="F552" s="9"/>
      <c r="G552" s="59"/>
      <c r="H552" s="9"/>
    </row>
    <row r="553">
      <c r="A553" s="9"/>
      <c r="B553" s="9"/>
      <c r="C553" s="9"/>
      <c r="D553" s="9"/>
      <c r="E553" s="9"/>
      <c r="F553" s="9"/>
      <c r="G553" s="59"/>
      <c r="H553" s="9"/>
    </row>
    <row r="554">
      <c r="A554" s="9"/>
      <c r="B554" s="9"/>
      <c r="C554" s="9"/>
      <c r="D554" s="9"/>
      <c r="E554" s="9"/>
      <c r="F554" s="9"/>
      <c r="G554" s="59"/>
      <c r="H554" s="9"/>
    </row>
    <row r="555">
      <c r="A555" s="9"/>
      <c r="B555" s="9"/>
      <c r="C555" s="9"/>
      <c r="D555" s="9"/>
      <c r="E555" s="9"/>
      <c r="F555" s="9"/>
      <c r="G555" s="59"/>
      <c r="H555" s="9"/>
    </row>
    <row r="556">
      <c r="A556" s="9"/>
      <c r="B556" s="9"/>
      <c r="C556" s="9"/>
      <c r="D556" s="9"/>
      <c r="E556" s="9"/>
      <c r="F556" s="9"/>
      <c r="G556" s="59"/>
      <c r="H556" s="9"/>
    </row>
    <row r="557">
      <c r="A557" s="9"/>
      <c r="B557" s="9"/>
      <c r="C557" s="9"/>
      <c r="D557" s="9"/>
      <c r="E557" s="9"/>
      <c r="F557" s="9"/>
      <c r="G557" s="59"/>
      <c r="H557" s="9"/>
    </row>
    <row r="558">
      <c r="A558" s="9"/>
      <c r="B558" s="9"/>
      <c r="C558" s="9"/>
      <c r="D558" s="9"/>
      <c r="E558" s="9"/>
      <c r="F558" s="9"/>
      <c r="G558" s="59"/>
      <c r="H558" s="9"/>
    </row>
    <row r="559">
      <c r="A559" s="9"/>
      <c r="B559" s="9"/>
      <c r="C559" s="9"/>
      <c r="D559" s="9"/>
      <c r="E559" s="9"/>
      <c r="F559" s="9"/>
      <c r="G559" s="59"/>
      <c r="H559" s="9"/>
    </row>
    <row r="560">
      <c r="A560" s="9"/>
      <c r="B560" s="9"/>
      <c r="C560" s="9"/>
      <c r="D560" s="9"/>
      <c r="E560" s="9"/>
      <c r="F560" s="9"/>
      <c r="G560" s="59"/>
      <c r="H560" s="9"/>
    </row>
    <row r="561">
      <c r="A561" s="9"/>
      <c r="B561" s="9"/>
      <c r="C561" s="9"/>
      <c r="D561" s="9"/>
      <c r="E561" s="9"/>
      <c r="F561" s="9"/>
      <c r="G561" s="59"/>
      <c r="H561" s="9"/>
    </row>
    <row r="562">
      <c r="A562" s="9"/>
      <c r="B562" s="9"/>
      <c r="C562" s="9"/>
      <c r="D562" s="9"/>
      <c r="E562" s="9"/>
      <c r="F562" s="9"/>
      <c r="G562" s="59"/>
      <c r="H562" s="9"/>
    </row>
    <row r="563">
      <c r="A563" s="9"/>
      <c r="B563" s="9"/>
      <c r="C563" s="9"/>
      <c r="D563" s="9"/>
      <c r="E563" s="9"/>
      <c r="F563" s="9"/>
      <c r="G563" s="59"/>
      <c r="H563" s="9"/>
    </row>
    <row r="564">
      <c r="A564" s="9"/>
      <c r="B564" s="9"/>
      <c r="C564" s="9"/>
      <c r="D564" s="9"/>
      <c r="E564" s="9"/>
      <c r="F564" s="9"/>
      <c r="G564" s="59"/>
      <c r="H564" s="9"/>
    </row>
    <row r="565">
      <c r="A565" s="9"/>
      <c r="B565" s="9"/>
      <c r="C565" s="9"/>
      <c r="D565" s="9"/>
      <c r="E565" s="9"/>
      <c r="F565" s="9"/>
      <c r="G565" s="59"/>
      <c r="H565" s="9"/>
    </row>
    <row r="566">
      <c r="A566" s="9"/>
      <c r="B566" s="9"/>
      <c r="C566" s="9"/>
      <c r="D566" s="9"/>
      <c r="E566" s="9"/>
      <c r="F566" s="9"/>
      <c r="G566" s="59"/>
      <c r="H566" s="9"/>
    </row>
    <row r="567">
      <c r="A567" s="9"/>
      <c r="B567" s="9"/>
      <c r="C567" s="9"/>
      <c r="D567" s="9"/>
      <c r="E567" s="9"/>
      <c r="F567" s="9"/>
      <c r="G567" s="59"/>
      <c r="H567" s="9"/>
    </row>
    <row r="568">
      <c r="A568" s="9"/>
      <c r="B568" s="9"/>
      <c r="C568" s="9"/>
      <c r="D568" s="9"/>
      <c r="E568" s="9"/>
      <c r="F568" s="9"/>
      <c r="G568" s="59"/>
      <c r="H568" s="9"/>
    </row>
    <row r="569">
      <c r="A569" s="9"/>
      <c r="B569" s="9"/>
      <c r="C569" s="9"/>
      <c r="D569" s="9"/>
      <c r="E569" s="9"/>
      <c r="F569" s="9"/>
      <c r="G569" s="59"/>
      <c r="H569" s="9"/>
    </row>
    <row r="570">
      <c r="A570" s="9"/>
      <c r="B570" s="9"/>
      <c r="C570" s="9"/>
      <c r="D570" s="9"/>
      <c r="E570" s="9"/>
      <c r="F570" s="9"/>
      <c r="G570" s="59"/>
      <c r="H570" s="9"/>
    </row>
    <row r="571">
      <c r="A571" s="9"/>
      <c r="B571" s="9"/>
      <c r="C571" s="9"/>
      <c r="D571" s="9"/>
      <c r="E571" s="9"/>
      <c r="F571" s="9"/>
      <c r="G571" s="59"/>
      <c r="H571" s="9"/>
    </row>
    <row r="572">
      <c r="A572" s="9"/>
      <c r="B572" s="9"/>
      <c r="C572" s="9"/>
      <c r="D572" s="9"/>
      <c r="E572" s="9"/>
      <c r="F572" s="9"/>
      <c r="G572" s="59"/>
      <c r="H572" s="9"/>
    </row>
    <row r="573">
      <c r="A573" s="9"/>
      <c r="B573" s="9"/>
      <c r="C573" s="9"/>
      <c r="D573" s="9"/>
      <c r="E573" s="9"/>
      <c r="F573" s="9"/>
      <c r="G573" s="59"/>
      <c r="H573" s="9"/>
    </row>
    <row r="574">
      <c r="A574" s="9"/>
      <c r="B574" s="9"/>
      <c r="C574" s="9"/>
      <c r="D574" s="9"/>
      <c r="E574" s="9"/>
      <c r="F574" s="9"/>
      <c r="G574" s="59"/>
      <c r="H574" s="9"/>
    </row>
    <row r="575">
      <c r="A575" s="9"/>
      <c r="B575" s="9"/>
      <c r="C575" s="9"/>
      <c r="D575" s="9"/>
      <c r="E575" s="9"/>
      <c r="F575" s="9"/>
      <c r="G575" s="59"/>
      <c r="H575" s="9"/>
    </row>
    <row r="576">
      <c r="A576" s="9"/>
      <c r="B576" s="9"/>
      <c r="C576" s="9"/>
      <c r="D576" s="9"/>
      <c r="E576" s="9"/>
      <c r="F576" s="9"/>
      <c r="G576" s="59"/>
      <c r="H576" s="9"/>
    </row>
    <row r="577">
      <c r="A577" s="9"/>
      <c r="B577" s="9"/>
      <c r="C577" s="9"/>
      <c r="D577" s="9"/>
      <c r="E577" s="9"/>
      <c r="F577" s="9"/>
      <c r="G577" s="59"/>
      <c r="H577" s="9"/>
    </row>
    <row r="578">
      <c r="A578" s="9"/>
      <c r="B578" s="9"/>
      <c r="C578" s="9"/>
      <c r="D578" s="9"/>
      <c r="E578" s="9"/>
      <c r="F578" s="9"/>
      <c r="G578" s="59"/>
      <c r="H578" s="9"/>
    </row>
    <row r="579">
      <c r="A579" s="9"/>
      <c r="B579" s="9"/>
      <c r="C579" s="9"/>
      <c r="D579" s="9"/>
      <c r="E579" s="9"/>
      <c r="F579" s="9"/>
      <c r="G579" s="59"/>
      <c r="H579" s="9"/>
    </row>
    <row r="580">
      <c r="A580" s="9"/>
      <c r="B580" s="9"/>
      <c r="C580" s="9"/>
      <c r="D580" s="9"/>
      <c r="E580" s="9"/>
      <c r="F580" s="9"/>
      <c r="G580" s="59"/>
      <c r="H580" s="9"/>
    </row>
    <row r="581">
      <c r="A581" s="9"/>
      <c r="B581" s="9"/>
      <c r="C581" s="9"/>
      <c r="D581" s="9"/>
      <c r="E581" s="9"/>
      <c r="F581" s="9"/>
      <c r="G581" s="59"/>
      <c r="H581" s="9"/>
    </row>
    <row r="582">
      <c r="A582" s="9"/>
      <c r="B582" s="9"/>
      <c r="C582" s="9"/>
      <c r="D582" s="9"/>
      <c r="E582" s="9"/>
      <c r="F582" s="9"/>
      <c r="G582" s="59"/>
      <c r="H582" s="9"/>
    </row>
    <row r="583">
      <c r="A583" s="9"/>
      <c r="B583" s="9"/>
      <c r="C583" s="9"/>
      <c r="D583" s="9"/>
      <c r="E583" s="9"/>
      <c r="F583" s="9"/>
      <c r="G583" s="59"/>
      <c r="H583" s="9"/>
    </row>
    <row r="584">
      <c r="A584" s="9"/>
      <c r="B584" s="9"/>
      <c r="C584" s="9"/>
      <c r="D584" s="9"/>
      <c r="E584" s="9"/>
      <c r="F584" s="9"/>
      <c r="G584" s="59"/>
      <c r="H584" s="9"/>
    </row>
    <row r="585">
      <c r="A585" s="9"/>
      <c r="B585" s="9"/>
      <c r="C585" s="9"/>
      <c r="D585" s="9"/>
      <c r="E585" s="9"/>
      <c r="F585" s="9"/>
      <c r="G585" s="59"/>
      <c r="H585" s="9"/>
    </row>
    <row r="586">
      <c r="A586" s="9"/>
      <c r="B586" s="9"/>
      <c r="C586" s="9"/>
      <c r="D586" s="9"/>
      <c r="E586" s="9"/>
      <c r="F586" s="9"/>
      <c r="G586" s="59"/>
      <c r="H586" s="9"/>
    </row>
    <row r="587">
      <c r="A587" s="9"/>
      <c r="B587" s="9"/>
      <c r="C587" s="9"/>
      <c r="D587" s="9"/>
      <c r="E587" s="9"/>
      <c r="F587" s="9"/>
      <c r="G587" s="59"/>
      <c r="H587" s="9"/>
    </row>
    <row r="588">
      <c r="A588" s="9"/>
      <c r="B588" s="9"/>
      <c r="C588" s="9"/>
      <c r="D588" s="9"/>
      <c r="E588" s="9"/>
      <c r="F588" s="9"/>
      <c r="G588" s="59"/>
      <c r="H588" s="9"/>
    </row>
    <row r="589">
      <c r="A589" s="9"/>
      <c r="B589" s="9"/>
      <c r="C589" s="9"/>
      <c r="D589" s="9"/>
      <c r="E589" s="9"/>
      <c r="F589" s="9"/>
      <c r="G589" s="59"/>
      <c r="H589" s="9"/>
    </row>
    <row r="590">
      <c r="A590" s="9"/>
      <c r="B590" s="9"/>
      <c r="C590" s="9"/>
      <c r="D590" s="9"/>
      <c r="E590" s="9"/>
      <c r="F590" s="9"/>
      <c r="G590" s="59"/>
      <c r="H590" s="9"/>
    </row>
    <row r="591">
      <c r="A591" s="9"/>
      <c r="B591" s="9"/>
      <c r="C591" s="9"/>
      <c r="D591" s="9"/>
      <c r="E591" s="9"/>
      <c r="F591" s="9"/>
      <c r="G591" s="59"/>
      <c r="H591" s="9"/>
    </row>
    <row r="592">
      <c r="A592" s="9"/>
      <c r="B592" s="9"/>
      <c r="C592" s="9"/>
      <c r="D592" s="9"/>
      <c r="E592" s="9"/>
      <c r="F592" s="9"/>
      <c r="G592" s="59"/>
      <c r="H592" s="9"/>
    </row>
    <row r="593">
      <c r="A593" s="9"/>
      <c r="B593" s="9"/>
      <c r="C593" s="9"/>
      <c r="D593" s="9"/>
      <c r="E593" s="9"/>
      <c r="F593" s="9"/>
      <c r="G593" s="59"/>
      <c r="H593" s="9"/>
    </row>
    <row r="594">
      <c r="A594" s="9"/>
      <c r="B594" s="9"/>
      <c r="C594" s="9"/>
      <c r="D594" s="9"/>
      <c r="E594" s="9"/>
      <c r="F594" s="9"/>
      <c r="G594" s="59"/>
      <c r="H594" s="9"/>
    </row>
    <row r="595">
      <c r="A595" s="9"/>
      <c r="B595" s="9"/>
      <c r="C595" s="9"/>
      <c r="D595" s="9"/>
      <c r="E595" s="9"/>
      <c r="F595" s="9"/>
      <c r="G595" s="59"/>
      <c r="H595" s="9"/>
    </row>
    <row r="596">
      <c r="A596" s="9"/>
      <c r="B596" s="9"/>
      <c r="C596" s="9"/>
      <c r="D596" s="9"/>
      <c r="E596" s="9"/>
      <c r="F596" s="9"/>
      <c r="G596" s="59"/>
      <c r="H596" s="9"/>
    </row>
    <row r="597">
      <c r="A597" s="9"/>
      <c r="B597" s="9"/>
      <c r="C597" s="9"/>
      <c r="D597" s="9"/>
      <c r="E597" s="9"/>
      <c r="F597" s="9"/>
      <c r="G597" s="59"/>
      <c r="H597" s="9"/>
    </row>
    <row r="598">
      <c r="A598" s="9"/>
      <c r="B598" s="9"/>
      <c r="C598" s="9"/>
      <c r="D598" s="9"/>
      <c r="E598" s="9"/>
      <c r="F598" s="9"/>
      <c r="G598" s="59"/>
      <c r="H598" s="9"/>
    </row>
    <row r="599">
      <c r="A599" s="9"/>
      <c r="B599" s="9"/>
      <c r="C599" s="9"/>
      <c r="D599" s="9"/>
      <c r="E599" s="9"/>
      <c r="F599" s="9"/>
      <c r="G599" s="59"/>
      <c r="H599" s="9"/>
    </row>
    <row r="600">
      <c r="A600" s="9"/>
      <c r="B600" s="9"/>
      <c r="C600" s="9"/>
      <c r="D600" s="9"/>
      <c r="E600" s="9"/>
      <c r="F600" s="9"/>
      <c r="G600" s="59"/>
      <c r="H600" s="9"/>
    </row>
    <row r="601">
      <c r="A601" s="9"/>
      <c r="B601" s="9"/>
      <c r="C601" s="9"/>
      <c r="D601" s="9"/>
      <c r="E601" s="9"/>
      <c r="F601" s="9"/>
      <c r="G601" s="59"/>
      <c r="H601" s="9"/>
    </row>
    <row r="602">
      <c r="A602" s="9"/>
      <c r="B602" s="9"/>
      <c r="C602" s="9"/>
      <c r="D602" s="9"/>
      <c r="E602" s="9"/>
      <c r="F602" s="9"/>
      <c r="G602" s="59"/>
      <c r="H602" s="9"/>
    </row>
    <row r="603">
      <c r="A603" s="9"/>
      <c r="B603" s="9"/>
      <c r="C603" s="9"/>
      <c r="D603" s="9"/>
      <c r="E603" s="9"/>
      <c r="F603" s="9"/>
      <c r="G603" s="59"/>
      <c r="H603" s="9"/>
    </row>
    <row r="604">
      <c r="A604" s="9"/>
      <c r="B604" s="9"/>
      <c r="C604" s="9"/>
      <c r="D604" s="9"/>
      <c r="E604" s="9"/>
      <c r="F604" s="9"/>
      <c r="G604" s="59"/>
      <c r="H604" s="9"/>
    </row>
    <row r="605">
      <c r="A605" s="9"/>
      <c r="B605" s="9"/>
      <c r="C605" s="9"/>
      <c r="D605" s="9"/>
      <c r="E605" s="9"/>
      <c r="F605" s="9"/>
      <c r="G605" s="59"/>
      <c r="H605" s="9"/>
    </row>
    <row r="606">
      <c r="A606" s="9"/>
      <c r="B606" s="9"/>
      <c r="C606" s="9"/>
      <c r="D606" s="9"/>
      <c r="E606" s="9"/>
      <c r="F606" s="9"/>
      <c r="G606" s="59"/>
      <c r="H606" s="9"/>
    </row>
    <row r="607">
      <c r="A607" s="9"/>
      <c r="B607" s="9"/>
      <c r="C607" s="9"/>
      <c r="D607" s="9"/>
      <c r="E607" s="9"/>
      <c r="F607" s="9"/>
      <c r="G607" s="59"/>
      <c r="H607" s="9"/>
    </row>
    <row r="608">
      <c r="A608" s="9"/>
      <c r="B608" s="9"/>
      <c r="C608" s="9"/>
      <c r="D608" s="9"/>
      <c r="E608" s="9"/>
      <c r="F608" s="9"/>
      <c r="G608" s="59"/>
      <c r="H608" s="9"/>
    </row>
    <row r="609">
      <c r="A609" s="9"/>
      <c r="B609" s="9"/>
      <c r="C609" s="9"/>
      <c r="D609" s="9"/>
      <c r="E609" s="9"/>
      <c r="F609" s="9"/>
      <c r="G609" s="59"/>
      <c r="H609" s="9"/>
    </row>
    <row r="610">
      <c r="A610" s="9"/>
      <c r="B610" s="9"/>
      <c r="C610" s="9"/>
      <c r="D610" s="9"/>
      <c r="E610" s="9"/>
      <c r="F610" s="9"/>
      <c r="G610" s="59"/>
      <c r="H610" s="9"/>
    </row>
    <row r="611">
      <c r="A611" s="9"/>
      <c r="B611" s="9"/>
      <c r="C611" s="9"/>
      <c r="D611" s="9"/>
      <c r="E611" s="9"/>
      <c r="F611" s="9"/>
      <c r="G611" s="59"/>
      <c r="H611" s="9"/>
    </row>
    <row r="612">
      <c r="A612" s="9"/>
      <c r="B612" s="9"/>
      <c r="C612" s="9"/>
      <c r="D612" s="9"/>
      <c r="E612" s="9"/>
      <c r="F612" s="9"/>
      <c r="G612" s="59"/>
      <c r="H612" s="9"/>
    </row>
    <row r="613">
      <c r="A613" s="9"/>
      <c r="B613" s="9"/>
      <c r="C613" s="9"/>
      <c r="D613" s="9"/>
      <c r="E613" s="9"/>
      <c r="F613" s="9"/>
      <c r="G613" s="59"/>
      <c r="H613" s="9"/>
    </row>
    <row r="614">
      <c r="A614" s="9"/>
      <c r="B614" s="9"/>
      <c r="C614" s="9"/>
      <c r="D614" s="9"/>
      <c r="E614" s="9"/>
      <c r="F614" s="9"/>
      <c r="G614" s="59"/>
      <c r="H614" s="9"/>
    </row>
    <row r="615">
      <c r="A615" s="9"/>
      <c r="B615" s="9"/>
      <c r="C615" s="9"/>
      <c r="D615" s="9"/>
      <c r="E615" s="9"/>
      <c r="F615" s="9"/>
      <c r="G615" s="59"/>
      <c r="H615" s="9"/>
    </row>
    <row r="616">
      <c r="A616" s="9"/>
      <c r="B616" s="9"/>
      <c r="C616" s="9"/>
      <c r="D616" s="9"/>
      <c r="E616" s="9"/>
      <c r="F616" s="9"/>
      <c r="G616" s="59"/>
      <c r="H616" s="9"/>
    </row>
    <row r="617">
      <c r="A617" s="9"/>
      <c r="B617" s="9"/>
      <c r="C617" s="9"/>
      <c r="D617" s="9"/>
      <c r="E617" s="9"/>
      <c r="F617" s="9"/>
      <c r="G617" s="59"/>
      <c r="H617" s="9"/>
    </row>
    <row r="618">
      <c r="A618" s="9"/>
      <c r="B618" s="9"/>
      <c r="C618" s="9"/>
      <c r="D618" s="9"/>
      <c r="E618" s="9"/>
      <c r="F618" s="9"/>
      <c r="G618" s="59"/>
      <c r="H618" s="9"/>
    </row>
    <row r="619">
      <c r="A619" s="9"/>
      <c r="B619" s="9"/>
      <c r="C619" s="9"/>
      <c r="D619" s="9"/>
      <c r="E619" s="9"/>
      <c r="F619" s="9"/>
      <c r="G619" s="59"/>
      <c r="H619" s="9"/>
    </row>
    <row r="620">
      <c r="A620" s="9"/>
      <c r="B620" s="9"/>
      <c r="C620" s="9"/>
      <c r="D620" s="9"/>
      <c r="E620" s="9"/>
      <c r="F620" s="9"/>
      <c r="G620" s="59"/>
      <c r="H620" s="9"/>
    </row>
    <row r="621">
      <c r="A621" s="9"/>
      <c r="B621" s="9"/>
      <c r="C621" s="9"/>
      <c r="D621" s="9"/>
      <c r="E621" s="9"/>
      <c r="F621" s="9"/>
      <c r="G621" s="59"/>
      <c r="H621" s="9"/>
    </row>
    <row r="622">
      <c r="A622" s="9"/>
      <c r="B622" s="9"/>
      <c r="C622" s="9"/>
      <c r="D622" s="9"/>
      <c r="E622" s="9"/>
      <c r="F622" s="9"/>
      <c r="G622" s="59"/>
      <c r="H622" s="9"/>
    </row>
    <row r="623">
      <c r="A623" s="9"/>
      <c r="B623" s="9"/>
      <c r="C623" s="9"/>
      <c r="D623" s="9"/>
      <c r="E623" s="9"/>
      <c r="F623" s="9"/>
      <c r="G623" s="59"/>
      <c r="H623" s="9"/>
    </row>
    <row r="624">
      <c r="A624" s="9"/>
      <c r="B624" s="9"/>
      <c r="C624" s="9"/>
      <c r="D624" s="9"/>
      <c r="E624" s="9"/>
      <c r="F624" s="9"/>
      <c r="G624" s="59"/>
      <c r="H624" s="9"/>
    </row>
    <row r="625">
      <c r="A625" s="9"/>
      <c r="B625" s="9"/>
      <c r="C625" s="9"/>
      <c r="D625" s="9"/>
      <c r="E625" s="9"/>
      <c r="F625" s="9"/>
      <c r="G625" s="59"/>
      <c r="H625" s="9"/>
    </row>
    <row r="626">
      <c r="A626" s="9"/>
      <c r="B626" s="9"/>
      <c r="C626" s="9"/>
      <c r="D626" s="9"/>
      <c r="E626" s="9"/>
      <c r="F626" s="9"/>
      <c r="G626" s="59"/>
      <c r="H626" s="9"/>
    </row>
    <row r="627">
      <c r="A627" s="9"/>
      <c r="B627" s="9"/>
      <c r="C627" s="9"/>
      <c r="D627" s="9"/>
      <c r="E627" s="9"/>
      <c r="F627" s="9"/>
      <c r="G627" s="59"/>
      <c r="H627" s="9"/>
    </row>
    <row r="628">
      <c r="A628" s="9"/>
      <c r="B628" s="9"/>
      <c r="C628" s="9"/>
      <c r="D628" s="9"/>
      <c r="E628" s="9"/>
      <c r="F628" s="9"/>
      <c r="G628" s="59"/>
      <c r="H628" s="9"/>
    </row>
    <row r="629">
      <c r="A629" s="9"/>
      <c r="B629" s="9"/>
      <c r="C629" s="9"/>
      <c r="D629" s="9"/>
      <c r="E629" s="9"/>
      <c r="F629" s="9"/>
      <c r="G629" s="59"/>
      <c r="H629" s="9"/>
    </row>
    <row r="630">
      <c r="A630" s="9"/>
      <c r="B630" s="9"/>
      <c r="C630" s="9"/>
      <c r="D630" s="9"/>
      <c r="E630" s="9"/>
      <c r="F630" s="9"/>
      <c r="G630" s="59"/>
      <c r="H630" s="9"/>
    </row>
    <row r="631">
      <c r="A631" s="9"/>
      <c r="B631" s="9"/>
      <c r="C631" s="9"/>
      <c r="D631" s="9"/>
      <c r="E631" s="9"/>
      <c r="F631" s="9"/>
      <c r="G631" s="59"/>
      <c r="H631" s="9"/>
    </row>
    <row r="632">
      <c r="A632" s="9"/>
      <c r="B632" s="9"/>
      <c r="C632" s="9"/>
      <c r="D632" s="9"/>
      <c r="E632" s="9"/>
      <c r="F632" s="9"/>
      <c r="G632" s="59"/>
      <c r="H632" s="9"/>
    </row>
    <row r="633">
      <c r="A633" s="9"/>
      <c r="B633" s="9"/>
      <c r="C633" s="9"/>
      <c r="D633" s="9"/>
      <c r="E633" s="9"/>
      <c r="F633" s="9"/>
      <c r="G633" s="59"/>
      <c r="H633" s="9"/>
    </row>
    <row r="634">
      <c r="A634" s="9"/>
      <c r="B634" s="9"/>
      <c r="C634" s="9"/>
      <c r="D634" s="9"/>
      <c r="E634" s="9"/>
      <c r="F634" s="9"/>
      <c r="G634" s="59"/>
      <c r="H634" s="9"/>
    </row>
    <row r="635">
      <c r="A635" s="9"/>
      <c r="B635" s="9"/>
      <c r="C635" s="9"/>
      <c r="D635" s="9"/>
      <c r="E635" s="9"/>
      <c r="F635" s="9"/>
      <c r="G635" s="59"/>
      <c r="H635" s="9"/>
    </row>
    <row r="636">
      <c r="A636" s="9"/>
      <c r="B636" s="9"/>
      <c r="C636" s="9"/>
      <c r="D636" s="9"/>
      <c r="E636" s="9"/>
      <c r="F636" s="9"/>
      <c r="G636" s="59"/>
      <c r="H636" s="9"/>
    </row>
    <row r="637">
      <c r="A637" s="9"/>
      <c r="B637" s="9"/>
      <c r="C637" s="9"/>
      <c r="D637" s="9"/>
      <c r="E637" s="9"/>
      <c r="F637" s="9"/>
      <c r="G637" s="59"/>
      <c r="H637" s="9"/>
    </row>
    <row r="638">
      <c r="A638" s="9"/>
      <c r="B638" s="9"/>
      <c r="C638" s="9"/>
      <c r="D638" s="9"/>
      <c r="E638" s="9"/>
      <c r="F638" s="9"/>
      <c r="G638" s="59"/>
      <c r="H638" s="9"/>
    </row>
    <row r="639">
      <c r="A639" s="9"/>
      <c r="B639" s="9"/>
      <c r="C639" s="9"/>
      <c r="D639" s="9"/>
      <c r="E639" s="9"/>
      <c r="F639" s="9"/>
      <c r="G639" s="59"/>
      <c r="H639" s="9"/>
    </row>
    <row r="640">
      <c r="A640" s="9"/>
      <c r="B640" s="9"/>
      <c r="C640" s="9"/>
      <c r="D640" s="9"/>
      <c r="E640" s="9"/>
      <c r="F640" s="9"/>
      <c r="G640" s="59"/>
      <c r="H640" s="9"/>
    </row>
    <row r="641">
      <c r="A641" s="9"/>
      <c r="B641" s="9"/>
      <c r="C641" s="9"/>
      <c r="D641" s="9"/>
      <c r="E641" s="9"/>
      <c r="F641" s="9"/>
      <c r="G641" s="59"/>
      <c r="H641" s="9"/>
    </row>
    <row r="642">
      <c r="A642" s="9"/>
      <c r="B642" s="9"/>
      <c r="C642" s="9"/>
      <c r="D642" s="9"/>
      <c r="E642" s="9"/>
      <c r="F642" s="9"/>
      <c r="G642" s="59"/>
      <c r="H642" s="9"/>
    </row>
    <row r="643">
      <c r="A643" s="9"/>
      <c r="B643" s="9"/>
      <c r="C643" s="9"/>
      <c r="D643" s="9"/>
      <c r="E643" s="9"/>
      <c r="F643" s="9"/>
      <c r="G643" s="59"/>
      <c r="H643" s="9"/>
    </row>
    <row r="644">
      <c r="A644" s="9"/>
      <c r="B644" s="9"/>
      <c r="C644" s="9"/>
      <c r="D644" s="9"/>
      <c r="E644" s="9"/>
      <c r="F644" s="9"/>
      <c r="G644" s="59"/>
      <c r="H644" s="9"/>
    </row>
    <row r="645">
      <c r="A645" s="9"/>
      <c r="B645" s="9"/>
      <c r="C645" s="9"/>
      <c r="D645" s="9"/>
      <c r="E645" s="9"/>
      <c r="F645" s="9"/>
      <c r="G645" s="59"/>
      <c r="H645" s="9"/>
    </row>
    <row r="646">
      <c r="A646" s="9"/>
      <c r="B646" s="9"/>
      <c r="C646" s="9"/>
      <c r="D646" s="9"/>
      <c r="E646" s="9"/>
      <c r="F646" s="9"/>
      <c r="G646" s="59"/>
      <c r="H646" s="9"/>
    </row>
    <row r="647">
      <c r="A647" s="9"/>
      <c r="B647" s="9"/>
      <c r="C647" s="9"/>
      <c r="D647" s="9"/>
      <c r="E647" s="9"/>
      <c r="F647" s="9"/>
      <c r="G647" s="59"/>
      <c r="H647" s="9"/>
    </row>
    <row r="648">
      <c r="A648" s="9"/>
      <c r="B648" s="9"/>
      <c r="C648" s="9"/>
      <c r="D648" s="9"/>
      <c r="E648" s="9"/>
      <c r="F648" s="9"/>
      <c r="G648" s="59"/>
      <c r="H648" s="9"/>
    </row>
    <row r="649">
      <c r="A649" s="9"/>
      <c r="B649" s="9"/>
      <c r="C649" s="9"/>
      <c r="D649" s="9"/>
      <c r="E649" s="9"/>
      <c r="F649" s="9"/>
      <c r="G649" s="59"/>
      <c r="H649" s="9"/>
    </row>
    <row r="650">
      <c r="A650" s="9"/>
      <c r="B650" s="9"/>
      <c r="C650" s="9"/>
      <c r="D650" s="9"/>
      <c r="E650" s="9"/>
      <c r="F650" s="9"/>
      <c r="G650" s="59"/>
      <c r="H650" s="9"/>
    </row>
    <row r="651">
      <c r="A651" s="9"/>
      <c r="B651" s="9"/>
      <c r="C651" s="9"/>
      <c r="D651" s="9"/>
      <c r="E651" s="9"/>
      <c r="F651" s="9"/>
      <c r="G651" s="59"/>
      <c r="H651" s="9"/>
    </row>
    <row r="652">
      <c r="A652" s="9"/>
      <c r="B652" s="9"/>
      <c r="C652" s="9"/>
      <c r="D652" s="9"/>
      <c r="E652" s="9"/>
      <c r="F652" s="9"/>
      <c r="G652" s="59"/>
      <c r="H652" s="9"/>
    </row>
    <row r="653">
      <c r="A653" s="9"/>
      <c r="B653" s="9"/>
      <c r="C653" s="9"/>
      <c r="D653" s="9"/>
      <c r="E653" s="9"/>
      <c r="F653" s="9"/>
      <c r="G653" s="59"/>
      <c r="H653" s="9"/>
    </row>
    <row r="654">
      <c r="A654" s="9"/>
      <c r="B654" s="9"/>
      <c r="C654" s="9"/>
      <c r="D654" s="9"/>
      <c r="E654" s="9"/>
      <c r="F654" s="9"/>
      <c r="G654" s="59"/>
      <c r="H654" s="9"/>
    </row>
    <row r="655">
      <c r="A655" s="9"/>
      <c r="B655" s="9"/>
      <c r="C655" s="9"/>
      <c r="D655" s="9"/>
      <c r="E655" s="9"/>
      <c r="F655" s="9"/>
      <c r="G655" s="59"/>
      <c r="H655" s="9"/>
    </row>
    <row r="656">
      <c r="A656" s="9"/>
      <c r="B656" s="9"/>
      <c r="C656" s="9"/>
      <c r="D656" s="9"/>
      <c r="E656" s="9"/>
      <c r="F656" s="9"/>
      <c r="G656" s="59"/>
      <c r="H656" s="9"/>
    </row>
    <row r="657">
      <c r="A657" s="9"/>
      <c r="B657" s="9"/>
      <c r="C657" s="9"/>
      <c r="D657" s="9"/>
      <c r="E657" s="9"/>
      <c r="F657" s="9"/>
      <c r="G657" s="59"/>
      <c r="H657" s="9"/>
    </row>
    <row r="658">
      <c r="A658" s="9"/>
      <c r="B658" s="9"/>
      <c r="C658" s="9"/>
      <c r="D658" s="9"/>
      <c r="E658" s="9"/>
      <c r="F658" s="9"/>
      <c r="G658" s="59"/>
      <c r="H658" s="9"/>
    </row>
    <row r="659">
      <c r="A659" s="9"/>
      <c r="B659" s="9"/>
      <c r="C659" s="9"/>
      <c r="D659" s="9"/>
      <c r="E659" s="9"/>
      <c r="F659" s="9"/>
      <c r="G659" s="59"/>
      <c r="H659" s="9"/>
    </row>
    <row r="660">
      <c r="A660" s="9"/>
      <c r="B660" s="9"/>
      <c r="C660" s="9"/>
      <c r="D660" s="9"/>
      <c r="E660" s="9"/>
      <c r="F660" s="9"/>
      <c r="G660" s="59"/>
      <c r="H660" s="9"/>
    </row>
    <row r="661">
      <c r="A661" s="9"/>
      <c r="B661" s="9"/>
      <c r="C661" s="9"/>
      <c r="D661" s="9"/>
      <c r="E661" s="9"/>
      <c r="F661" s="9"/>
      <c r="G661" s="59"/>
      <c r="H661" s="9"/>
    </row>
    <row r="662">
      <c r="A662" s="9"/>
      <c r="B662" s="9"/>
      <c r="C662" s="9"/>
      <c r="D662" s="9"/>
      <c r="E662" s="9"/>
      <c r="F662" s="9"/>
      <c r="G662" s="59"/>
      <c r="H662" s="9"/>
    </row>
    <row r="663">
      <c r="A663" s="9"/>
      <c r="B663" s="9"/>
      <c r="C663" s="9"/>
      <c r="D663" s="9"/>
      <c r="E663" s="9"/>
      <c r="F663" s="9"/>
      <c r="G663" s="59"/>
      <c r="H663" s="9"/>
    </row>
    <row r="664">
      <c r="A664" s="9"/>
      <c r="B664" s="9"/>
      <c r="C664" s="9"/>
      <c r="D664" s="9"/>
      <c r="E664" s="9"/>
      <c r="F664" s="9"/>
      <c r="G664" s="59"/>
      <c r="H664" s="9"/>
    </row>
    <row r="665">
      <c r="A665" s="9"/>
      <c r="B665" s="9"/>
      <c r="C665" s="9"/>
      <c r="D665" s="9"/>
      <c r="E665" s="9"/>
      <c r="F665" s="9"/>
      <c r="G665" s="59"/>
      <c r="H665" s="9"/>
    </row>
    <row r="666">
      <c r="A666" s="9"/>
      <c r="B666" s="9"/>
      <c r="C666" s="9"/>
      <c r="D666" s="9"/>
      <c r="E666" s="9"/>
      <c r="F666" s="9"/>
      <c r="G666" s="59"/>
      <c r="H666" s="9"/>
    </row>
    <row r="667">
      <c r="A667" s="9"/>
      <c r="B667" s="9"/>
      <c r="C667" s="9"/>
      <c r="D667" s="9"/>
      <c r="E667" s="9"/>
      <c r="F667" s="9"/>
      <c r="G667" s="59"/>
      <c r="H667" s="9"/>
    </row>
    <row r="668">
      <c r="A668" s="9"/>
      <c r="B668" s="9"/>
      <c r="C668" s="9"/>
      <c r="D668" s="9"/>
      <c r="E668" s="9"/>
      <c r="F668" s="9"/>
      <c r="G668" s="59"/>
      <c r="H668" s="9"/>
    </row>
    <row r="669">
      <c r="A669" s="9"/>
      <c r="B669" s="9"/>
      <c r="C669" s="9"/>
      <c r="D669" s="9"/>
      <c r="E669" s="9"/>
      <c r="F669" s="9"/>
      <c r="G669" s="59"/>
      <c r="H669" s="9"/>
    </row>
    <row r="670">
      <c r="A670" s="9"/>
      <c r="B670" s="9"/>
      <c r="C670" s="9"/>
      <c r="D670" s="9"/>
      <c r="E670" s="9"/>
      <c r="F670" s="9"/>
      <c r="G670" s="59"/>
      <c r="H670" s="9"/>
    </row>
    <row r="671">
      <c r="A671" s="9"/>
      <c r="B671" s="9"/>
      <c r="C671" s="9"/>
      <c r="D671" s="9"/>
      <c r="E671" s="9"/>
      <c r="F671" s="9"/>
      <c r="G671" s="59"/>
      <c r="H671" s="9"/>
    </row>
    <row r="672">
      <c r="A672" s="9"/>
      <c r="B672" s="9"/>
      <c r="C672" s="9"/>
      <c r="D672" s="9"/>
      <c r="E672" s="9"/>
      <c r="F672" s="9"/>
      <c r="G672" s="59"/>
      <c r="H672" s="9"/>
    </row>
    <row r="673">
      <c r="A673" s="9"/>
      <c r="B673" s="9"/>
      <c r="C673" s="9"/>
      <c r="D673" s="9"/>
      <c r="E673" s="9"/>
      <c r="F673" s="9"/>
      <c r="G673" s="59"/>
      <c r="H673" s="9"/>
    </row>
    <row r="674">
      <c r="A674" s="9"/>
      <c r="B674" s="9"/>
      <c r="C674" s="9"/>
      <c r="D674" s="9"/>
      <c r="E674" s="9"/>
      <c r="F674" s="9"/>
      <c r="G674" s="59"/>
      <c r="H674" s="9"/>
    </row>
    <row r="675">
      <c r="A675" s="9"/>
      <c r="B675" s="9"/>
      <c r="C675" s="9"/>
      <c r="D675" s="9"/>
      <c r="E675" s="9"/>
      <c r="F675" s="9"/>
      <c r="G675" s="59"/>
      <c r="H675" s="9"/>
    </row>
    <row r="676">
      <c r="A676" s="9"/>
      <c r="B676" s="9"/>
      <c r="C676" s="9"/>
      <c r="D676" s="9"/>
      <c r="E676" s="9"/>
      <c r="F676" s="9"/>
      <c r="G676" s="59"/>
      <c r="H676" s="9"/>
    </row>
    <row r="677">
      <c r="A677" s="9"/>
      <c r="B677" s="9"/>
      <c r="C677" s="9"/>
      <c r="D677" s="9"/>
      <c r="E677" s="9"/>
      <c r="F677" s="9"/>
      <c r="G677" s="59"/>
      <c r="H677" s="9"/>
    </row>
    <row r="678">
      <c r="A678" s="9"/>
      <c r="B678" s="9"/>
      <c r="C678" s="9"/>
      <c r="D678" s="9"/>
      <c r="E678" s="9"/>
      <c r="F678" s="9"/>
      <c r="G678" s="59"/>
      <c r="H678" s="9"/>
    </row>
    <row r="679">
      <c r="A679" s="9"/>
      <c r="B679" s="9"/>
      <c r="C679" s="9"/>
      <c r="D679" s="9"/>
      <c r="E679" s="9"/>
      <c r="F679" s="9"/>
      <c r="G679" s="59"/>
      <c r="H679" s="9"/>
    </row>
    <row r="680">
      <c r="A680" s="9"/>
      <c r="B680" s="9"/>
      <c r="C680" s="9"/>
      <c r="D680" s="9"/>
      <c r="E680" s="9"/>
      <c r="F680" s="9"/>
      <c r="G680" s="59"/>
      <c r="H680" s="9"/>
    </row>
    <row r="681">
      <c r="A681" s="9"/>
      <c r="B681" s="9"/>
      <c r="C681" s="9"/>
      <c r="D681" s="9"/>
      <c r="E681" s="9"/>
      <c r="F681" s="9"/>
      <c r="G681" s="59"/>
      <c r="H681" s="9"/>
    </row>
    <row r="682">
      <c r="A682" s="9"/>
      <c r="B682" s="9"/>
      <c r="C682" s="9"/>
      <c r="D682" s="9"/>
      <c r="E682" s="9"/>
      <c r="F682" s="9"/>
      <c r="G682" s="59"/>
      <c r="H682" s="9"/>
    </row>
    <row r="683">
      <c r="A683" s="9"/>
      <c r="B683" s="9"/>
      <c r="C683" s="9"/>
      <c r="D683" s="9"/>
      <c r="E683" s="9"/>
      <c r="F683" s="9"/>
      <c r="G683" s="59"/>
      <c r="H683" s="9"/>
    </row>
    <row r="684">
      <c r="A684" s="9"/>
      <c r="B684" s="9"/>
      <c r="C684" s="9"/>
      <c r="D684" s="9"/>
      <c r="E684" s="9"/>
      <c r="F684" s="9"/>
      <c r="G684" s="59"/>
      <c r="H684" s="9"/>
    </row>
    <row r="685">
      <c r="A685" s="9"/>
      <c r="B685" s="9"/>
      <c r="C685" s="9"/>
      <c r="D685" s="9"/>
      <c r="E685" s="9"/>
      <c r="F685" s="9"/>
      <c r="G685" s="59"/>
      <c r="H685" s="9"/>
    </row>
    <row r="686">
      <c r="A686" s="9"/>
      <c r="B686" s="9"/>
      <c r="C686" s="9"/>
      <c r="D686" s="9"/>
      <c r="E686" s="9"/>
      <c r="F686" s="9"/>
      <c r="G686" s="59"/>
      <c r="H686" s="9"/>
    </row>
    <row r="687">
      <c r="A687" s="9"/>
      <c r="B687" s="9"/>
      <c r="C687" s="9"/>
      <c r="D687" s="9"/>
      <c r="E687" s="9"/>
      <c r="F687" s="9"/>
      <c r="G687" s="59"/>
      <c r="H687" s="9"/>
    </row>
    <row r="688">
      <c r="A688" s="9"/>
      <c r="B688" s="9"/>
      <c r="C688" s="9"/>
      <c r="D688" s="9"/>
      <c r="E688" s="9"/>
      <c r="F688" s="9"/>
      <c r="G688" s="59"/>
      <c r="H688" s="9"/>
    </row>
    <row r="689">
      <c r="A689" s="9"/>
      <c r="B689" s="9"/>
      <c r="C689" s="9"/>
      <c r="D689" s="9"/>
      <c r="E689" s="9"/>
      <c r="F689" s="9"/>
      <c r="G689" s="59"/>
      <c r="H689" s="9"/>
    </row>
    <row r="690">
      <c r="A690" s="9"/>
      <c r="B690" s="9"/>
      <c r="C690" s="9"/>
      <c r="D690" s="9"/>
      <c r="E690" s="9"/>
      <c r="F690" s="9"/>
      <c r="G690" s="59"/>
      <c r="H690" s="9"/>
    </row>
    <row r="691">
      <c r="A691" s="9"/>
      <c r="B691" s="9"/>
      <c r="C691" s="9"/>
      <c r="D691" s="9"/>
      <c r="E691" s="9"/>
      <c r="F691" s="9"/>
      <c r="G691" s="59"/>
      <c r="H691" s="9"/>
    </row>
    <row r="692">
      <c r="A692" s="9"/>
      <c r="B692" s="9"/>
      <c r="C692" s="9"/>
      <c r="D692" s="9"/>
      <c r="E692" s="9"/>
      <c r="F692" s="9"/>
      <c r="G692" s="59"/>
      <c r="H692" s="9"/>
    </row>
    <row r="693">
      <c r="A693" s="9"/>
      <c r="B693" s="9"/>
      <c r="C693" s="9"/>
      <c r="D693" s="9"/>
      <c r="E693" s="9"/>
      <c r="F693" s="9"/>
      <c r="G693" s="59"/>
      <c r="H693" s="9"/>
    </row>
    <row r="694">
      <c r="A694" s="9"/>
      <c r="B694" s="9"/>
      <c r="C694" s="9"/>
      <c r="D694" s="9"/>
      <c r="E694" s="9"/>
      <c r="F694" s="9"/>
      <c r="G694" s="59"/>
      <c r="H694" s="9"/>
    </row>
    <row r="695">
      <c r="A695" s="9"/>
      <c r="B695" s="9"/>
      <c r="C695" s="9"/>
      <c r="D695" s="9"/>
      <c r="E695" s="9"/>
      <c r="F695" s="9"/>
      <c r="G695" s="59"/>
      <c r="H695" s="9"/>
    </row>
    <row r="696">
      <c r="A696" s="9"/>
      <c r="B696" s="9"/>
      <c r="C696" s="9"/>
      <c r="D696" s="9"/>
      <c r="E696" s="9"/>
      <c r="F696" s="9"/>
      <c r="G696" s="59"/>
      <c r="H696" s="9"/>
    </row>
    <row r="697">
      <c r="A697" s="9"/>
      <c r="B697" s="9"/>
      <c r="C697" s="9"/>
      <c r="D697" s="9"/>
      <c r="E697" s="9"/>
      <c r="F697" s="9"/>
      <c r="G697" s="59"/>
      <c r="H697" s="9"/>
    </row>
    <row r="698">
      <c r="A698" s="9"/>
      <c r="B698" s="9"/>
      <c r="C698" s="9"/>
      <c r="D698" s="9"/>
      <c r="E698" s="9"/>
      <c r="F698" s="9"/>
      <c r="G698" s="59"/>
      <c r="H698" s="9"/>
    </row>
    <row r="699">
      <c r="A699" s="9"/>
      <c r="B699" s="9"/>
      <c r="C699" s="9"/>
      <c r="D699" s="9"/>
      <c r="E699" s="9"/>
      <c r="F699" s="9"/>
      <c r="G699" s="59"/>
      <c r="H699" s="9"/>
    </row>
    <row r="700">
      <c r="A700" s="9"/>
      <c r="B700" s="9"/>
      <c r="C700" s="9"/>
      <c r="D700" s="9"/>
      <c r="E700" s="9"/>
      <c r="F700" s="9"/>
      <c r="G700" s="59"/>
      <c r="H700" s="9"/>
    </row>
    <row r="701">
      <c r="A701" s="9"/>
      <c r="B701" s="9"/>
      <c r="C701" s="9"/>
      <c r="D701" s="9"/>
      <c r="E701" s="9"/>
      <c r="F701" s="9"/>
      <c r="G701" s="59"/>
      <c r="H701" s="9"/>
    </row>
    <row r="702">
      <c r="A702" s="9"/>
      <c r="B702" s="9"/>
      <c r="C702" s="9"/>
      <c r="D702" s="9"/>
      <c r="E702" s="9"/>
      <c r="F702" s="9"/>
      <c r="G702" s="59"/>
      <c r="H702" s="9"/>
    </row>
    <row r="703">
      <c r="A703" s="9"/>
      <c r="B703" s="9"/>
      <c r="C703" s="9"/>
      <c r="D703" s="9"/>
      <c r="E703" s="9"/>
      <c r="F703" s="9"/>
      <c r="G703" s="59"/>
      <c r="H703" s="9"/>
    </row>
    <row r="704">
      <c r="A704" s="9"/>
      <c r="B704" s="9"/>
      <c r="C704" s="9"/>
      <c r="D704" s="9"/>
      <c r="E704" s="9"/>
      <c r="F704" s="9"/>
      <c r="G704" s="59"/>
      <c r="H704" s="9"/>
    </row>
    <row r="705">
      <c r="A705" s="9"/>
      <c r="B705" s="9"/>
      <c r="C705" s="9"/>
      <c r="D705" s="9"/>
      <c r="E705" s="9"/>
      <c r="F705" s="9"/>
      <c r="G705" s="59"/>
      <c r="H705" s="9"/>
    </row>
    <row r="706">
      <c r="A706" s="9"/>
      <c r="B706" s="9"/>
      <c r="C706" s="9"/>
      <c r="D706" s="9"/>
      <c r="E706" s="9"/>
      <c r="F706" s="9"/>
      <c r="G706" s="59"/>
      <c r="H706" s="9"/>
    </row>
    <row r="707">
      <c r="A707" s="9"/>
      <c r="B707" s="9"/>
      <c r="C707" s="9"/>
      <c r="D707" s="9"/>
      <c r="E707" s="9"/>
      <c r="F707" s="9"/>
      <c r="G707" s="59"/>
      <c r="H707" s="9"/>
    </row>
    <row r="708">
      <c r="A708" s="9"/>
      <c r="B708" s="9"/>
      <c r="C708" s="9"/>
      <c r="D708" s="9"/>
      <c r="E708" s="9"/>
      <c r="F708" s="9"/>
      <c r="G708" s="59"/>
      <c r="H708" s="9"/>
    </row>
    <row r="709">
      <c r="A709" s="9"/>
      <c r="B709" s="9"/>
      <c r="C709" s="9"/>
      <c r="D709" s="9"/>
      <c r="E709" s="9"/>
      <c r="F709" s="9"/>
      <c r="G709" s="59"/>
      <c r="H709" s="9"/>
    </row>
    <row r="710">
      <c r="A710" s="9"/>
      <c r="B710" s="9"/>
      <c r="C710" s="9"/>
      <c r="D710" s="9"/>
      <c r="E710" s="9"/>
      <c r="F710" s="9"/>
      <c r="G710" s="59"/>
      <c r="H710" s="9"/>
    </row>
    <row r="711">
      <c r="A711" s="9"/>
      <c r="B711" s="9"/>
      <c r="C711" s="9"/>
      <c r="D711" s="9"/>
      <c r="E711" s="9"/>
      <c r="F711" s="9"/>
      <c r="G711" s="59"/>
      <c r="H711" s="9"/>
    </row>
    <row r="712">
      <c r="A712" s="9"/>
      <c r="B712" s="9"/>
      <c r="C712" s="9"/>
      <c r="D712" s="9"/>
      <c r="E712" s="9"/>
      <c r="F712" s="9"/>
      <c r="G712" s="59"/>
      <c r="H712" s="9"/>
    </row>
    <row r="713">
      <c r="A713" s="9"/>
      <c r="B713" s="9"/>
      <c r="C713" s="9"/>
      <c r="D713" s="9"/>
      <c r="E713" s="9"/>
      <c r="F713" s="9"/>
      <c r="G713" s="59"/>
      <c r="H713" s="9"/>
    </row>
    <row r="714">
      <c r="A714" s="9"/>
      <c r="B714" s="9"/>
      <c r="C714" s="9"/>
      <c r="D714" s="9"/>
      <c r="E714" s="9"/>
      <c r="F714" s="9"/>
      <c r="G714" s="59"/>
      <c r="H714" s="9"/>
    </row>
    <row r="715">
      <c r="A715" s="9"/>
      <c r="B715" s="9"/>
      <c r="C715" s="9"/>
      <c r="D715" s="9"/>
      <c r="E715" s="9"/>
      <c r="F715" s="9"/>
      <c r="G715" s="59"/>
      <c r="H715" s="9"/>
    </row>
    <row r="716">
      <c r="A716" s="9"/>
      <c r="B716" s="9"/>
      <c r="C716" s="9"/>
      <c r="D716" s="9"/>
      <c r="E716" s="9"/>
      <c r="F716" s="9"/>
      <c r="G716" s="59"/>
      <c r="H716" s="9"/>
    </row>
    <row r="717">
      <c r="A717" s="9"/>
      <c r="B717" s="9"/>
      <c r="C717" s="9"/>
      <c r="D717" s="9"/>
      <c r="E717" s="9"/>
      <c r="F717" s="9"/>
      <c r="G717" s="59"/>
      <c r="H717" s="9"/>
    </row>
    <row r="718">
      <c r="A718" s="9"/>
      <c r="B718" s="9"/>
      <c r="C718" s="9"/>
      <c r="D718" s="9"/>
      <c r="E718" s="9"/>
      <c r="F718" s="9"/>
      <c r="G718" s="59"/>
      <c r="H718" s="9"/>
    </row>
    <row r="719">
      <c r="A719" s="9"/>
      <c r="B719" s="9"/>
      <c r="C719" s="9"/>
      <c r="D719" s="9"/>
      <c r="E719" s="9"/>
      <c r="F719" s="9"/>
      <c r="G719" s="59"/>
      <c r="H719" s="9"/>
    </row>
    <row r="720">
      <c r="A720" s="9"/>
      <c r="B720" s="9"/>
      <c r="C720" s="9"/>
      <c r="D720" s="9"/>
      <c r="E720" s="9"/>
      <c r="F720" s="9"/>
      <c r="G720" s="59"/>
      <c r="H720" s="9"/>
    </row>
    <row r="721">
      <c r="A721" s="9"/>
      <c r="B721" s="9"/>
      <c r="C721" s="9"/>
      <c r="D721" s="9"/>
      <c r="E721" s="9"/>
      <c r="F721" s="9"/>
      <c r="G721" s="59"/>
      <c r="H721" s="9"/>
    </row>
    <row r="722">
      <c r="A722" s="9"/>
      <c r="B722" s="9"/>
      <c r="C722" s="9"/>
      <c r="D722" s="9"/>
      <c r="E722" s="9"/>
      <c r="F722" s="9"/>
      <c r="G722" s="59"/>
      <c r="H722" s="9"/>
    </row>
    <row r="723">
      <c r="A723" s="9"/>
      <c r="B723" s="9"/>
      <c r="C723" s="9"/>
      <c r="D723" s="9"/>
      <c r="E723" s="9"/>
      <c r="F723" s="9"/>
      <c r="G723" s="59"/>
      <c r="H723" s="9"/>
    </row>
    <row r="724">
      <c r="A724" s="9"/>
      <c r="B724" s="9"/>
      <c r="C724" s="9"/>
      <c r="D724" s="9"/>
      <c r="E724" s="9"/>
      <c r="F724" s="9"/>
      <c r="G724" s="59"/>
      <c r="H724" s="9"/>
    </row>
    <row r="725">
      <c r="A725" s="9"/>
      <c r="B725" s="9"/>
      <c r="C725" s="9"/>
      <c r="D725" s="9"/>
      <c r="E725" s="9"/>
      <c r="F725" s="9"/>
      <c r="G725" s="59"/>
      <c r="H725" s="9"/>
    </row>
    <row r="726">
      <c r="A726" s="9"/>
      <c r="B726" s="9"/>
      <c r="C726" s="9"/>
      <c r="D726" s="9"/>
      <c r="E726" s="9"/>
      <c r="F726" s="9"/>
      <c r="G726" s="59"/>
      <c r="H726" s="9"/>
    </row>
    <row r="727">
      <c r="A727" s="9"/>
      <c r="B727" s="9"/>
      <c r="C727" s="9"/>
      <c r="D727" s="9"/>
      <c r="E727" s="9"/>
      <c r="F727" s="9"/>
      <c r="G727" s="59"/>
      <c r="H727" s="9"/>
    </row>
    <row r="728">
      <c r="A728" s="9"/>
      <c r="B728" s="9"/>
      <c r="C728" s="9"/>
      <c r="D728" s="9"/>
      <c r="E728" s="9"/>
      <c r="F728" s="9"/>
      <c r="G728" s="59"/>
      <c r="H728" s="9"/>
    </row>
    <row r="729">
      <c r="A729" s="9"/>
      <c r="B729" s="9"/>
      <c r="C729" s="9"/>
      <c r="D729" s="9"/>
      <c r="E729" s="9"/>
      <c r="F729" s="9"/>
      <c r="G729" s="59"/>
      <c r="H729" s="9"/>
    </row>
    <row r="730">
      <c r="A730" s="9"/>
      <c r="B730" s="9"/>
      <c r="C730" s="9"/>
      <c r="D730" s="9"/>
      <c r="E730" s="9"/>
      <c r="F730" s="9"/>
      <c r="G730" s="59"/>
      <c r="H730" s="9"/>
    </row>
    <row r="731">
      <c r="A731" s="9"/>
      <c r="B731" s="9"/>
      <c r="C731" s="9"/>
      <c r="D731" s="9"/>
      <c r="E731" s="9"/>
      <c r="F731" s="9"/>
      <c r="G731" s="59"/>
      <c r="H731" s="9"/>
    </row>
    <row r="732">
      <c r="A732" s="9"/>
      <c r="B732" s="9"/>
      <c r="C732" s="9"/>
      <c r="D732" s="9"/>
      <c r="E732" s="9"/>
      <c r="F732" s="9"/>
      <c r="G732" s="59"/>
      <c r="H732" s="9"/>
    </row>
    <row r="733">
      <c r="A733" s="9"/>
      <c r="B733" s="9"/>
      <c r="C733" s="9"/>
      <c r="D733" s="9"/>
      <c r="E733" s="9"/>
      <c r="F733" s="9"/>
      <c r="G733" s="59"/>
      <c r="H733" s="9"/>
    </row>
    <row r="734">
      <c r="A734" s="9"/>
      <c r="B734" s="9"/>
      <c r="C734" s="9"/>
      <c r="D734" s="9"/>
      <c r="E734" s="9"/>
      <c r="F734" s="9"/>
      <c r="G734" s="59"/>
      <c r="H734" s="9"/>
    </row>
    <row r="735">
      <c r="A735" s="9"/>
      <c r="B735" s="9"/>
      <c r="C735" s="9"/>
      <c r="D735" s="9"/>
      <c r="E735" s="9"/>
      <c r="F735" s="9"/>
      <c r="G735" s="59"/>
      <c r="H735" s="9"/>
    </row>
    <row r="736">
      <c r="A736" s="9"/>
      <c r="B736" s="9"/>
      <c r="C736" s="9"/>
      <c r="D736" s="9"/>
      <c r="E736" s="9"/>
      <c r="F736" s="9"/>
      <c r="G736" s="59"/>
      <c r="H736" s="9"/>
    </row>
    <row r="737">
      <c r="A737" s="9"/>
      <c r="B737" s="9"/>
      <c r="C737" s="9"/>
      <c r="D737" s="9"/>
      <c r="E737" s="9"/>
      <c r="F737" s="9"/>
      <c r="G737" s="59"/>
      <c r="H737" s="9"/>
    </row>
    <row r="738">
      <c r="A738" s="9"/>
      <c r="B738" s="9"/>
      <c r="C738" s="9"/>
      <c r="D738" s="9"/>
      <c r="E738" s="9"/>
      <c r="F738" s="9"/>
      <c r="G738" s="59"/>
      <c r="H738" s="9"/>
    </row>
    <row r="739">
      <c r="A739" s="9"/>
      <c r="B739" s="9"/>
      <c r="C739" s="9"/>
      <c r="D739" s="9"/>
      <c r="E739" s="9"/>
      <c r="F739" s="9"/>
      <c r="G739" s="59"/>
      <c r="H739" s="9"/>
    </row>
    <row r="740">
      <c r="A740" s="9"/>
      <c r="B740" s="9"/>
      <c r="C740" s="9"/>
      <c r="D740" s="9"/>
      <c r="E740" s="9"/>
      <c r="F740" s="9"/>
      <c r="G740" s="59"/>
      <c r="H740" s="9"/>
    </row>
    <row r="741">
      <c r="A741" s="9"/>
      <c r="B741" s="9"/>
      <c r="C741" s="9"/>
      <c r="D741" s="9"/>
      <c r="E741" s="9"/>
      <c r="F741" s="9"/>
      <c r="G741" s="59"/>
      <c r="H741" s="9"/>
    </row>
    <row r="742">
      <c r="A742" s="9"/>
      <c r="B742" s="9"/>
      <c r="C742" s="9"/>
      <c r="D742" s="9"/>
      <c r="E742" s="9"/>
      <c r="F742" s="9"/>
      <c r="G742" s="59"/>
      <c r="H742" s="9"/>
    </row>
    <row r="743">
      <c r="A743" s="9"/>
      <c r="B743" s="9"/>
      <c r="C743" s="9"/>
      <c r="D743" s="9"/>
      <c r="E743" s="9"/>
      <c r="F743" s="9"/>
      <c r="G743" s="59"/>
      <c r="H743" s="9"/>
    </row>
    <row r="744">
      <c r="A744" s="9"/>
      <c r="B744" s="9"/>
      <c r="C744" s="9"/>
      <c r="D744" s="9"/>
      <c r="E744" s="9"/>
      <c r="F744" s="9"/>
      <c r="G744" s="59"/>
      <c r="H744" s="9"/>
    </row>
    <row r="745">
      <c r="A745" s="9"/>
      <c r="B745" s="9"/>
      <c r="C745" s="9"/>
      <c r="D745" s="9"/>
      <c r="E745" s="9"/>
      <c r="F745" s="9"/>
      <c r="G745" s="59"/>
      <c r="H745" s="9"/>
    </row>
    <row r="746">
      <c r="A746" s="9"/>
      <c r="B746" s="9"/>
      <c r="C746" s="9"/>
      <c r="D746" s="9"/>
      <c r="E746" s="9"/>
      <c r="F746" s="9"/>
      <c r="G746" s="59"/>
      <c r="H746" s="9"/>
    </row>
    <row r="747">
      <c r="A747" s="9"/>
      <c r="B747" s="9"/>
      <c r="C747" s="9"/>
      <c r="D747" s="9"/>
      <c r="E747" s="9"/>
      <c r="F747" s="9"/>
      <c r="G747" s="59"/>
      <c r="H747" s="9"/>
    </row>
    <row r="748">
      <c r="A748" s="9"/>
      <c r="B748" s="9"/>
      <c r="C748" s="9"/>
      <c r="D748" s="9"/>
      <c r="E748" s="9"/>
      <c r="F748" s="9"/>
      <c r="G748" s="59"/>
      <c r="H748" s="9"/>
    </row>
    <row r="749">
      <c r="A749" s="9"/>
      <c r="B749" s="9"/>
      <c r="C749" s="9"/>
      <c r="D749" s="9"/>
      <c r="E749" s="9"/>
      <c r="F749" s="9"/>
      <c r="G749" s="59"/>
      <c r="H749" s="9"/>
    </row>
    <row r="750">
      <c r="A750" s="9"/>
      <c r="B750" s="9"/>
      <c r="C750" s="9"/>
      <c r="D750" s="9"/>
      <c r="E750" s="9"/>
      <c r="F750" s="9"/>
      <c r="G750" s="59"/>
      <c r="H750" s="9"/>
    </row>
    <row r="751">
      <c r="A751" s="9"/>
      <c r="B751" s="9"/>
      <c r="C751" s="9"/>
      <c r="D751" s="9"/>
      <c r="E751" s="9"/>
      <c r="F751" s="9"/>
      <c r="G751" s="59"/>
      <c r="H751" s="9"/>
    </row>
    <row r="752">
      <c r="A752" s="9"/>
      <c r="B752" s="9"/>
      <c r="C752" s="9"/>
      <c r="D752" s="9"/>
      <c r="E752" s="9"/>
      <c r="F752" s="9"/>
      <c r="G752" s="59"/>
      <c r="H752" s="9"/>
    </row>
    <row r="753">
      <c r="A753" s="9"/>
      <c r="B753" s="9"/>
      <c r="C753" s="9"/>
      <c r="D753" s="9"/>
      <c r="E753" s="9"/>
      <c r="F753" s="9"/>
      <c r="G753" s="59"/>
      <c r="H753" s="9"/>
    </row>
    <row r="754">
      <c r="A754" s="9"/>
      <c r="B754" s="9"/>
      <c r="C754" s="9"/>
      <c r="D754" s="9"/>
      <c r="E754" s="9"/>
      <c r="F754" s="9"/>
      <c r="G754" s="59"/>
      <c r="H754" s="9"/>
    </row>
    <row r="755">
      <c r="A755" s="9"/>
      <c r="B755" s="9"/>
      <c r="C755" s="9"/>
      <c r="D755" s="9"/>
      <c r="E755" s="9"/>
      <c r="F755" s="9"/>
      <c r="G755" s="59"/>
      <c r="H755" s="9"/>
    </row>
    <row r="756">
      <c r="A756" s="9"/>
      <c r="B756" s="9"/>
      <c r="C756" s="9"/>
      <c r="D756" s="9"/>
      <c r="E756" s="9"/>
      <c r="F756" s="9"/>
      <c r="G756" s="59"/>
      <c r="H756" s="9"/>
    </row>
    <row r="757">
      <c r="A757" s="9"/>
      <c r="B757" s="9"/>
      <c r="C757" s="9"/>
      <c r="D757" s="9"/>
      <c r="E757" s="9"/>
      <c r="F757" s="9"/>
      <c r="G757" s="59"/>
      <c r="H757" s="9"/>
    </row>
    <row r="758">
      <c r="A758" s="9"/>
      <c r="B758" s="9"/>
      <c r="C758" s="9"/>
      <c r="D758" s="9"/>
      <c r="E758" s="9"/>
      <c r="F758" s="9"/>
      <c r="G758" s="59"/>
      <c r="H758" s="9"/>
    </row>
    <row r="759">
      <c r="A759" s="9"/>
      <c r="B759" s="9"/>
      <c r="C759" s="9"/>
      <c r="D759" s="9"/>
      <c r="E759" s="9"/>
      <c r="F759" s="9"/>
      <c r="G759" s="59"/>
      <c r="H759" s="9"/>
    </row>
    <row r="760">
      <c r="A760" s="9"/>
      <c r="B760" s="9"/>
      <c r="C760" s="9"/>
      <c r="D760" s="9"/>
      <c r="E760" s="9"/>
      <c r="F760" s="9"/>
      <c r="G760" s="59"/>
      <c r="H760" s="9"/>
    </row>
    <row r="761">
      <c r="A761" s="9"/>
      <c r="B761" s="9"/>
      <c r="C761" s="9"/>
      <c r="D761" s="9"/>
      <c r="E761" s="9"/>
      <c r="F761" s="9"/>
      <c r="G761" s="59"/>
      <c r="H761" s="9"/>
    </row>
    <row r="762">
      <c r="A762" s="9"/>
      <c r="B762" s="9"/>
      <c r="C762" s="9"/>
      <c r="D762" s="9"/>
      <c r="E762" s="9"/>
      <c r="F762" s="9"/>
      <c r="G762" s="59"/>
      <c r="H762" s="9"/>
    </row>
    <row r="763">
      <c r="A763" s="9"/>
      <c r="B763" s="9"/>
      <c r="C763" s="9"/>
      <c r="D763" s="9"/>
      <c r="E763" s="9"/>
      <c r="F763" s="9"/>
      <c r="G763" s="59"/>
      <c r="H763" s="9"/>
    </row>
    <row r="764">
      <c r="A764" s="9"/>
      <c r="B764" s="9"/>
      <c r="C764" s="9"/>
      <c r="D764" s="9"/>
      <c r="E764" s="9"/>
      <c r="F764" s="9"/>
      <c r="G764" s="59"/>
      <c r="H764" s="9"/>
    </row>
    <row r="765">
      <c r="A765" s="9"/>
      <c r="B765" s="9"/>
      <c r="C765" s="9"/>
      <c r="D765" s="9"/>
      <c r="E765" s="9"/>
      <c r="F765" s="9"/>
      <c r="G765" s="59"/>
      <c r="H765" s="9"/>
    </row>
    <row r="766">
      <c r="A766" s="9"/>
      <c r="B766" s="9"/>
      <c r="C766" s="9"/>
      <c r="D766" s="9"/>
      <c r="E766" s="9"/>
      <c r="F766" s="9"/>
      <c r="G766" s="59"/>
      <c r="H766" s="9"/>
    </row>
    <row r="767">
      <c r="A767" s="9"/>
      <c r="B767" s="9"/>
      <c r="C767" s="9"/>
      <c r="D767" s="9"/>
      <c r="E767" s="9"/>
      <c r="F767" s="9"/>
      <c r="G767" s="59"/>
      <c r="H767" s="9"/>
    </row>
    <row r="768">
      <c r="A768" s="9"/>
      <c r="B768" s="9"/>
      <c r="C768" s="9"/>
      <c r="D768" s="9"/>
      <c r="E768" s="9"/>
      <c r="F768" s="9"/>
      <c r="G768" s="59"/>
      <c r="H768" s="9"/>
    </row>
    <row r="769">
      <c r="A769" s="9"/>
      <c r="B769" s="9"/>
      <c r="C769" s="9"/>
      <c r="D769" s="9"/>
      <c r="E769" s="9"/>
      <c r="F769" s="9"/>
      <c r="G769" s="59"/>
      <c r="H769" s="9"/>
    </row>
    <row r="770">
      <c r="A770" s="9"/>
      <c r="B770" s="9"/>
      <c r="C770" s="9"/>
      <c r="D770" s="9"/>
      <c r="E770" s="9"/>
      <c r="F770" s="9"/>
      <c r="G770" s="59"/>
      <c r="H770" s="9"/>
    </row>
    <row r="771">
      <c r="A771" s="9"/>
      <c r="B771" s="9"/>
      <c r="C771" s="9"/>
      <c r="D771" s="9"/>
      <c r="E771" s="9"/>
      <c r="F771" s="9"/>
      <c r="G771" s="59"/>
      <c r="H771" s="9"/>
    </row>
    <row r="772">
      <c r="A772" s="9"/>
      <c r="B772" s="9"/>
      <c r="C772" s="9"/>
      <c r="D772" s="9"/>
      <c r="E772" s="9"/>
      <c r="F772" s="9"/>
      <c r="G772" s="59"/>
      <c r="H772" s="9"/>
    </row>
    <row r="773">
      <c r="A773" s="9"/>
      <c r="B773" s="9"/>
      <c r="C773" s="9"/>
      <c r="D773" s="9"/>
      <c r="E773" s="9"/>
      <c r="F773" s="9"/>
      <c r="G773" s="59"/>
      <c r="H773" s="9"/>
    </row>
    <row r="774">
      <c r="A774" s="9"/>
      <c r="B774" s="9"/>
      <c r="C774" s="9"/>
      <c r="D774" s="9"/>
      <c r="E774" s="9"/>
      <c r="F774" s="9"/>
      <c r="G774" s="59"/>
      <c r="H774" s="9"/>
    </row>
    <row r="775">
      <c r="A775" s="9"/>
      <c r="B775" s="9"/>
      <c r="C775" s="9"/>
      <c r="D775" s="9"/>
      <c r="E775" s="9"/>
      <c r="F775" s="9"/>
      <c r="G775" s="59"/>
      <c r="H775" s="9"/>
    </row>
    <row r="776">
      <c r="A776" s="9"/>
      <c r="B776" s="9"/>
      <c r="C776" s="9"/>
      <c r="D776" s="9"/>
      <c r="E776" s="9"/>
      <c r="F776" s="9"/>
      <c r="G776" s="59"/>
      <c r="H776" s="9"/>
    </row>
    <row r="777">
      <c r="A777" s="9"/>
      <c r="B777" s="9"/>
      <c r="C777" s="9"/>
      <c r="D777" s="9"/>
      <c r="E777" s="9"/>
      <c r="F777" s="9"/>
      <c r="G777" s="59"/>
      <c r="H777" s="9"/>
    </row>
    <row r="778">
      <c r="A778" s="9"/>
      <c r="B778" s="9"/>
      <c r="C778" s="9"/>
      <c r="D778" s="9"/>
      <c r="E778" s="9"/>
      <c r="F778" s="9"/>
      <c r="G778" s="59"/>
      <c r="H778" s="9"/>
    </row>
    <row r="779">
      <c r="A779" s="9"/>
      <c r="B779" s="9"/>
      <c r="C779" s="9"/>
      <c r="D779" s="9"/>
      <c r="E779" s="9"/>
      <c r="F779" s="9"/>
      <c r="G779" s="59"/>
      <c r="H779" s="9"/>
    </row>
    <row r="780">
      <c r="A780" s="9"/>
      <c r="B780" s="9"/>
      <c r="C780" s="9"/>
      <c r="D780" s="9"/>
      <c r="E780" s="9"/>
      <c r="F780" s="9"/>
      <c r="G780" s="59"/>
      <c r="H780" s="9"/>
    </row>
    <row r="781">
      <c r="A781" s="9"/>
      <c r="B781" s="9"/>
      <c r="C781" s="9"/>
      <c r="D781" s="9"/>
      <c r="E781" s="9"/>
      <c r="F781" s="9"/>
      <c r="G781" s="59"/>
      <c r="H781" s="9"/>
    </row>
    <row r="782">
      <c r="A782" s="9"/>
      <c r="B782" s="9"/>
      <c r="C782" s="9"/>
      <c r="D782" s="9"/>
      <c r="E782" s="9"/>
      <c r="F782" s="9"/>
      <c r="G782" s="59"/>
      <c r="H782" s="9"/>
    </row>
    <row r="783">
      <c r="A783" s="9"/>
      <c r="B783" s="9"/>
      <c r="C783" s="9"/>
      <c r="D783" s="9"/>
      <c r="E783" s="9"/>
      <c r="F783" s="9"/>
      <c r="G783" s="59"/>
      <c r="H783" s="9"/>
    </row>
    <row r="784">
      <c r="A784" s="9"/>
      <c r="B784" s="9"/>
      <c r="C784" s="9"/>
      <c r="D784" s="9"/>
      <c r="E784" s="9"/>
      <c r="F784" s="9"/>
      <c r="G784" s="59"/>
      <c r="H784" s="9"/>
    </row>
    <row r="785">
      <c r="A785" s="9"/>
      <c r="B785" s="9"/>
      <c r="C785" s="9"/>
      <c r="D785" s="9"/>
      <c r="E785" s="9"/>
      <c r="F785" s="9"/>
      <c r="G785" s="59"/>
      <c r="H785" s="9"/>
    </row>
    <row r="786">
      <c r="A786" s="9"/>
      <c r="B786" s="9"/>
      <c r="C786" s="9"/>
      <c r="D786" s="9"/>
      <c r="E786" s="9"/>
      <c r="F786" s="9"/>
      <c r="G786" s="59"/>
      <c r="H786" s="9"/>
    </row>
    <row r="787">
      <c r="A787" s="9"/>
      <c r="B787" s="9"/>
      <c r="C787" s="9"/>
      <c r="D787" s="9"/>
      <c r="E787" s="9"/>
      <c r="F787" s="9"/>
      <c r="G787" s="59"/>
      <c r="H787" s="9"/>
    </row>
    <row r="788">
      <c r="A788" s="9"/>
      <c r="B788" s="9"/>
      <c r="C788" s="9"/>
      <c r="D788" s="9"/>
      <c r="E788" s="9"/>
      <c r="F788" s="9"/>
      <c r="G788" s="59"/>
      <c r="H788" s="9"/>
    </row>
    <row r="789">
      <c r="A789" s="9"/>
      <c r="B789" s="9"/>
      <c r="C789" s="9"/>
      <c r="D789" s="9"/>
      <c r="E789" s="9"/>
      <c r="F789" s="9"/>
      <c r="G789" s="59"/>
      <c r="H789" s="9"/>
    </row>
    <row r="790">
      <c r="A790" s="9"/>
      <c r="B790" s="9"/>
      <c r="C790" s="9"/>
      <c r="D790" s="9"/>
      <c r="E790" s="9"/>
      <c r="F790" s="9"/>
      <c r="G790" s="59"/>
      <c r="H790" s="9"/>
    </row>
    <row r="791">
      <c r="A791" s="9"/>
      <c r="B791" s="9"/>
      <c r="C791" s="9"/>
      <c r="D791" s="9"/>
      <c r="E791" s="9"/>
      <c r="F791" s="9"/>
      <c r="G791" s="59"/>
      <c r="H791" s="9"/>
    </row>
    <row r="792">
      <c r="A792" s="9"/>
      <c r="B792" s="9"/>
      <c r="C792" s="9"/>
      <c r="D792" s="9"/>
      <c r="E792" s="9"/>
      <c r="F792" s="9"/>
      <c r="G792" s="59"/>
      <c r="H792" s="9"/>
    </row>
    <row r="793">
      <c r="A793" s="9"/>
      <c r="B793" s="9"/>
      <c r="C793" s="9"/>
      <c r="D793" s="9"/>
      <c r="E793" s="9"/>
      <c r="F793" s="9"/>
      <c r="G793" s="59"/>
      <c r="H793" s="9"/>
    </row>
    <row r="794">
      <c r="A794" s="9"/>
      <c r="B794" s="9"/>
      <c r="C794" s="9"/>
      <c r="D794" s="9"/>
      <c r="E794" s="9"/>
      <c r="F794" s="9"/>
      <c r="G794" s="59"/>
      <c r="H794" s="9"/>
    </row>
    <row r="795">
      <c r="A795" s="9"/>
      <c r="B795" s="9"/>
      <c r="C795" s="9"/>
      <c r="D795" s="9"/>
      <c r="E795" s="9"/>
      <c r="F795" s="9"/>
      <c r="G795" s="59"/>
      <c r="H795" s="9"/>
    </row>
    <row r="796">
      <c r="A796" s="9"/>
      <c r="B796" s="9"/>
      <c r="C796" s="9"/>
      <c r="D796" s="9"/>
      <c r="E796" s="9"/>
      <c r="F796" s="9"/>
      <c r="G796" s="59"/>
      <c r="H796" s="9"/>
    </row>
    <row r="797">
      <c r="A797" s="9"/>
      <c r="B797" s="9"/>
      <c r="C797" s="9"/>
      <c r="D797" s="9"/>
      <c r="E797" s="9"/>
      <c r="F797" s="9"/>
      <c r="G797" s="59"/>
      <c r="H797" s="9"/>
    </row>
    <row r="798">
      <c r="A798" s="9"/>
      <c r="B798" s="9"/>
      <c r="C798" s="9"/>
      <c r="D798" s="9"/>
      <c r="E798" s="9"/>
      <c r="F798" s="9"/>
      <c r="G798" s="59"/>
      <c r="H798" s="9"/>
    </row>
    <row r="799">
      <c r="A799" s="9"/>
      <c r="B799" s="9"/>
      <c r="C799" s="9"/>
      <c r="D799" s="9"/>
      <c r="E799" s="9"/>
      <c r="F799" s="9"/>
      <c r="G799" s="59"/>
      <c r="H799" s="9"/>
    </row>
    <row r="800">
      <c r="A800" s="9"/>
      <c r="B800" s="9"/>
      <c r="C800" s="9"/>
      <c r="D800" s="9"/>
      <c r="E800" s="9"/>
      <c r="F800" s="9"/>
      <c r="G800" s="59"/>
      <c r="H800" s="9"/>
    </row>
    <row r="801">
      <c r="A801" s="9"/>
      <c r="B801" s="9"/>
      <c r="C801" s="9"/>
      <c r="D801" s="9"/>
      <c r="E801" s="9"/>
      <c r="F801" s="9"/>
      <c r="G801" s="59"/>
      <c r="H801" s="9"/>
    </row>
    <row r="802">
      <c r="A802" s="9"/>
      <c r="B802" s="9"/>
      <c r="C802" s="9"/>
      <c r="D802" s="9"/>
      <c r="E802" s="9"/>
      <c r="F802" s="9"/>
      <c r="G802" s="59"/>
      <c r="H802" s="9"/>
    </row>
    <row r="803">
      <c r="A803" s="9"/>
      <c r="B803" s="9"/>
      <c r="C803" s="9"/>
      <c r="D803" s="9"/>
      <c r="E803" s="9"/>
      <c r="F803" s="9"/>
      <c r="G803" s="59"/>
      <c r="H803" s="9"/>
    </row>
    <row r="804">
      <c r="A804" s="9"/>
      <c r="B804" s="9"/>
      <c r="C804" s="9"/>
      <c r="D804" s="9"/>
      <c r="E804" s="9"/>
      <c r="F804" s="9"/>
      <c r="G804" s="59"/>
      <c r="H804" s="9"/>
    </row>
    <row r="805">
      <c r="A805" s="9"/>
      <c r="B805" s="9"/>
      <c r="C805" s="9"/>
      <c r="D805" s="9"/>
      <c r="E805" s="9"/>
      <c r="F805" s="9"/>
      <c r="G805" s="59"/>
      <c r="H805" s="9"/>
    </row>
    <row r="806">
      <c r="A806" s="9"/>
      <c r="B806" s="9"/>
      <c r="C806" s="9"/>
      <c r="D806" s="9"/>
      <c r="E806" s="9"/>
      <c r="F806" s="9"/>
      <c r="G806" s="59"/>
      <c r="H806" s="9"/>
    </row>
    <row r="807">
      <c r="A807" s="9"/>
      <c r="B807" s="9"/>
      <c r="C807" s="9"/>
      <c r="D807" s="9"/>
      <c r="E807" s="9"/>
      <c r="F807" s="9"/>
      <c r="G807" s="59"/>
      <c r="H807" s="9"/>
    </row>
    <row r="808">
      <c r="A808" s="9"/>
      <c r="B808" s="9"/>
      <c r="C808" s="9"/>
      <c r="D808" s="9"/>
      <c r="E808" s="9"/>
      <c r="F808" s="9"/>
      <c r="G808" s="59"/>
      <c r="H808" s="9"/>
    </row>
    <row r="809">
      <c r="A809" s="9"/>
      <c r="B809" s="9"/>
      <c r="C809" s="9"/>
      <c r="D809" s="9"/>
      <c r="E809" s="9"/>
      <c r="F809" s="9"/>
      <c r="G809" s="59"/>
      <c r="H809" s="9"/>
    </row>
    <row r="810">
      <c r="A810" s="9"/>
      <c r="B810" s="9"/>
      <c r="C810" s="9"/>
      <c r="D810" s="9"/>
      <c r="E810" s="9"/>
      <c r="F810" s="9"/>
      <c r="G810" s="59"/>
      <c r="H810" s="9"/>
    </row>
    <row r="811">
      <c r="A811" s="9"/>
      <c r="B811" s="9"/>
      <c r="C811" s="9"/>
      <c r="D811" s="9"/>
      <c r="E811" s="9"/>
      <c r="F811" s="9"/>
      <c r="G811" s="59"/>
      <c r="H811" s="9"/>
    </row>
    <row r="812">
      <c r="A812" s="9"/>
      <c r="B812" s="9"/>
      <c r="C812" s="9"/>
      <c r="D812" s="9"/>
      <c r="E812" s="9"/>
      <c r="F812" s="9"/>
      <c r="G812" s="59"/>
      <c r="H812" s="9"/>
    </row>
    <row r="813">
      <c r="A813" s="9"/>
      <c r="B813" s="9"/>
      <c r="C813" s="9"/>
      <c r="D813" s="9"/>
      <c r="E813" s="9"/>
      <c r="F813" s="9"/>
      <c r="G813" s="59"/>
      <c r="H813" s="9"/>
    </row>
    <row r="814">
      <c r="A814" s="9"/>
      <c r="B814" s="9"/>
      <c r="C814" s="9"/>
      <c r="D814" s="9"/>
      <c r="E814" s="9"/>
      <c r="F814" s="9"/>
      <c r="G814" s="59"/>
      <c r="H814" s="9"/>
    </row>
    <row r="815">
      <c r="A815" s="9"/>
      <c r="B815" s="9"/>
      <c r="C815" s="9"/>
      <c r="D815" s="9"/>
      <c r="E815" s="9"/>
      <c r="F815" s="9"/>
      <c r="G815" s="59"/>
      <c r="H815" s="9"/>
    </row>
    <row r="816">
      <c r="A816" s="9"/>
      <c r="B816" s="9"/>
      <c r="C816" s="9"/>
      <c r="D816" s="9"/>
      <c r="E816" s="9"/>
      <c r="F816" s="9"/>
      <c r="G816" s="59"/>
      <c r="H816" s="9"/>
    </row>
    <row r="817">
      <c r="A817" s="9"/>
      <c r="B817" s="9"/>
      <c r="C817" s="9"/>
      <c r="D817" s="9"/>
      <c r="E817" s="9"/>
      <c r="F817" s="9"/>
      <c r="G817" s="59"/>
      <c r="H817" s="9"/>
    </row>
    <row r="818">
      <c r="A818" s="9"/>
      <c r="B818" s="9"/>
      <c r="C818" s="9"/>
      <c r="D818" s="9"/>
      <c r="E818" s="9"/>
      <c r="F818" s="9"/>
      <c r="G818" s="59"/>
      <c r="H818" s="9"/>
    </row>
    <row r="819">
      <c r="A819" s="9"/>
      <c r="B819" s="9"/>
      <c r="C819" s="9"/>
      <c r="D819" s="9"/>
      <c r="E819" s="9"/>
      <c r="F819" s="9"/>
      <c r="G819" s="59"/>
      <c r="H819" s="9"/>
    </row>
    <row r="820">
      <c r="A820" s="9"/>
      <c r="B820" s="9"/>
      <c r="C820" s="9"/>
      <c r="D820" s="9"/>
      <c r="E820" s="9"/>
      <c r="F820" s="9"/>
      <c r="G820" s="59"/>
      <c r="H820" s="9"/>
    </row>
    <row r="821">
      <c r="A821" s="9"/>
      <c r="B821" s="9"/>
      <c r="C821" s="9"/>
      <c r="D821" s="9"/>
      <c r="E821" s="9"/>
      <c r="F821" s="9"/>
      <c r="G821" s="59"/>
      <c r="H821" s="9"/>
    </row>
    <row r="822">
      <c r="A822" s="9"/>
      <c r="B822" s="9"/>
      <c r="C822" s="9"/>
      <c r="D822" s="9"/>
      <c r="E822" s="9"/>
      <c r="F822" s="9"/>
      <c r="G822" s="59"/>
      <c r="H822" s="9"/>
    </row>
    <row r="823">
      <c r="A823" s="9"/>
      <c r="B823" s="9"/>
      <c r="C823" s="9"/>
      <c r="D823" s="9"/>
      <c r="E823" s="9"/>
      <c r="F823" s="9"/>
      <c r="G823" s="59"/>
      <c r="H823" s="9"/>
    </row>
    <row r="824">
      <c r="A824" s="9"/>
      <c r="B824" s="9"/>
      <c r="C824" s="9"/>
      <c r="D824" s="9"/>
      <c r="E824" s="9"/>
      <c r="F824" s="9"/>
      <c r="G824" s="59"/>
      <c r="H824" s="9"/>
    </row>
    <row r="825">
      <c r="A825" s="9"/>
      <c r="B825" s="9"/>
      <c r="C825" s="9"/>
      <c r="D825" s="9"/>
      <c r="E825" s="9"/>
      <c r="F825" s="9"/>
      <c r="G825" s="59"/>
      <c r="H825" s="9"/>
    </row>
    <row r="826">
      <c r="A826" s="9"/>
      <c r="B826" s="9"/>
      <c r="C826" s="9"/>
      <c r="D826" s="9"/>
      <c r="E826" s="9"/>
      <c r="F826" s="9"/>
      <c r="G826" s="59"/>
      <c r="H826" s="9"/>
    </row>
    <row r="827">
      <c r="A827" s="9"/>
      <c r="B827" s="9"/>
      <c r="C827" s="9"/>
      <c r="D827" s="9"/>
      <c r="E827" s="9"/>
      <c r="F827" s="9"/>
      <c r="G827" s="59"/>
      <c r="H827" s="9"/>
    </row>
    <row r="828">
      <c r="A828" s="9"/>
      <c r="B828" s="9"/>
      <c r="C828" s="9"/>
      <c r="D828" s="9"/>
      <c r="E828" s="9"/>
      <c r="F828" s="9"/>
      <c r="G828" s="59"/>
      <c r="H828" s="9"/>
    </row>
    <row r="829">
      <c r="A829" s="9"/>
      <c r="B829" s="9"/>
      <c r="C829" s="9"/>
      <c r="D829" s="9"/>
      <c r="E829" s="9"/>
      <c r="F829" s="9"/>
      <c r="G829" s="59"/>
      <c r="H829" s="9"/>
    </row>
    <row r="830">
      <c r="A830" s="9"/>
      <c r="B830" s="9"/>
      <c r="C830" s="9"/>
      <c r="D830" s="9"/>
      <c r="E830" s="9"/>
      <c r="F830" s="9"/>
      <c r="G830" s="59"/>
      <c r="H830" s="9"/>
    </row>
    <row r="831">
      <c r="A831" s="9"/>
      <c r="B831" s="9"/>
      <c r="C831" s="9"/>
      <c r="D831" s="9"/>
      <c r="E831" s="9"/>
      <c r="F831" s="9"/>
      <c r="G831" s="59"/>
      <c r="H831" s="9"/>
    </row>
    <row r="832">
      <c r="A832" s="9"/>
      <c r="B832" s="9"/>
      <c r="C832" s="9"/>
      <c r="D832" s="9"/>
      <c r="E832" s="9"/>
      <c r="F832" s="9"/>
      <c r="G832" s="59"/>
      <c r="H832" s="9"/>
    </row>
    <row r="833">
      <c r="A833" s="9"/>
      <c r="B833" s="9"/>
      <c r="C833" s="9"/>
      <c r="D833" s="9"/>
      <c r="E833" s="9"/>
      <c r="F833" s="9"/>
      <c r="G833" s="59"/>
      <c r="H833" s="9"/>
    </row>
    <row r="834">
      <c r="A834" s="9"/>
      <c r="B834" s="9"/>
      <c r="C834" s="9"/>
      <c r="D834" s="9"/>
      <c r="E834" s="9"/>
      <c r="F834" s="9"/>
      <c r="G834" s="59"/>
      <c r="H834" s="9"/>
    </row>
    <row r="835">
      <c r="A835" s="9"/>
      <c r="B835" s="9"/>
      <c r="C835" s="9"/>
      <c r="D835" s="9"/>
      <c r="E835" s="9"/>
      <c r="F835" s="9"/>
      <c r="G835" s="59"/>
      <c r="H835" s="9"/>
    </row>
    <row r="836">
      <c r="A836" s="9"/>
      <c r="B836" s="9"/>
      <c r="C836" s="9"/>
      <c r="D836" s="9"/>
      <c r="E836" s="9"/>
      <c r="F836" s="9"/>
      <c r="G836" s="59"/>
      <c r="H836" s="9"/>
    </row>
    <row r="837">
      <c r="A837" s="9"/>
      <c r="B837" s="9"/>
      <c r="C837" s="9"/>
      <c r="D837" s="9"/>
      <c r="E837" s="9"/>
      <c r="F837" s="9"/>
      <c r="G837" s="59"/>
      <c r="H837" s="9"/>
    </row>
    <row r="838">
      <c r="A838" s="9"/>
      <c r="B838" s="9"/>
      <c r="C838" s="9"/>
      <c r="D838" s="9"/>
      <c r="E838" s="9"/>
      <c r="F838" s="9"/>
      <c r="G838" s="59"/>
      <c r="H838" s="9"/>
    </row>
    <row r="839">
      <c r="A839" s="9"/>
      <c r="B839" s="9"/>
      <c r="C839" s="9"/>
      <c r="D839" s="9"/>
      <c r="E839" s="9"/>
      <c r="F839" s="9"/>
      <c r="G839" s="59"/>
      <c r="H839" s="9"/>
    </row>
    <row r="840">
      <c r="A840" s="9"/>
      <c r="B840" s="9"/>
      <c r="C840" s="9"/>
      <c r="D840" s="9"/>
      <c r="E840" s="9"/>
      <c r="F840" s="9"/>
      <c r="G840" s="59"/>
      <c r="H840" s="9"/>
    </row>
    <row r="841">
      <c r="A841" s="9"/>
      <c r="B841" s="9"/>
      <c r="C841" s="9"/>
      <c r="D841" s="9"/>
      <c r="E841" s="9"/>
      <c r="F841" s="9"/>
      <c r="G841" s="59"/>
      <c r="H841" s="9"/>
    </row>
    <row r="842">
      <c r="A842" s="9"/>
      <c r="B842" s="9"/>
      <c r="C842" s="9"/>
      <c r="D842" s="9"/>
      <c r="E842" s="9"/>
      <c r="F842" s="9"/>
      <c r="G842" s="59"/>
      <c r="H842" s="9"/>
    </row>
    <row r="843">
      <c r="A843" s="9"/>
      <c r="B843" s="9"/>
      <c r="C843" s="9"/>
      <c r="D843" s="9"/>
      <c r="E843" s="9"/>
      <c r="F843" s="9"/>
      <c r="G843" s="59"/>
      <c r="H843" s="9"/>
    </row>
    <row r="844">
      <c r="A844" s="9"/>
      <c r="B844" s="9"/>
      <c r="C844" s="9"/>
      <c r="D844" s="9"/>
      <c r="E844" s="9"/>
      <c r="F844" s="9"/>
      <c r="G844" s="59"/>
      <c r="H844" s="9"/>
    </row>
    <row r="845">
      <c r="A845" s="9"/>
      <c r="B845" s="9"/>
      <c r="C845" s="9"/>
      <c r="D845" s="9"/>
      <c r="E845" s="9"/>
      <c r="F845" s="9"/>
      <c r="G845" s="59"/>
      <c r="H845" s="9"/>
    </row>
    <row r="846">
      <c r="A846" s="9"/>
      <c r="B846" s="9"/>
      <c r="C846" s="9"/>
      <c r="D846" s="9"/>
      <c r="E846" s="9"/>
      <c r="F846" s="9"/>
      <c r="G846" s="59"/>
      <c r="H846" s="9"/>
    </row>
    <row r="847">
      <c r="A847" s="9"/>
      <c r="B847" s="9"/>
      <c r="C847" s="9"/>
      <c r="D847" s="9"/>
      <c r="E847" s="9"/>
      <c r="F847" s="9"/>
      <c r="G847" s="59"/>
      <c r="H847" s="9"/>
    </row>
    <row r="848">
      <c r="A848" s="9"/>
      <c r="B848" s="9"/>
      <c r="C848" s="9"/>
      <c r="D848" s="9"/>
      <c r="E848" s="9"/>
      <c r="F848" s="9"/>
      <c r="G848" s="59"/>
      <c r="H848" s="9"/>
    </row>
    <row r="849">
      <c r="A849" s="9"/>
      <c r="B849" s="9"/>
      <c r="C849" s="9"/>
      <c r="D849" s="9"/>
      <c r="E849" s="9"/>
      <c r="F849" s="9"/>
      <c r="G849" s="59"/>
      <c r="H849" s="9"/>
    </row>
    <row r="850">
      <c r="A850" s="9"/>
      <c r="B850" s="9"/>
      <c r="C850" s="9"/>
      <c r="D850" s="9"/>
      <c r="E850" s="9"/>
      <c r="F850" s="9"/>
      <c r="G850" s="59"/>
      <c r="H850" s="9"/>
    </row>
    <row r="851">
      <c r="A851" s="9"/>
      <c r="B851" s="9"/>
      <c r="C851" s="9"/>
      <c r="D851" s="9"/>
      <c r="E851" s="9"/>
      <c r="F851" s="9"/>
      <c r="G851" s="59"/>
      <c r="H851" s="9"/>
    </row>
    <row r="852">
      <c r="A852" s="9"/>
      <c r="B852" s="9"/>
      <c r="C852" s="9"/>
      <c r="D852" s="9"/>
      <c r="E852" s="9"/>
      <c r="F852" s="9"/>
      <c r="G852" s="59"/>
      <c r="H852" s="9"/>
    </row>
    <row r="853">
      <c r="A853" s="9"/>
      <c r="B853" s="9"/>
      <c r="C853" s="9"/>
      <c r="D853" s="9"/>
      <c r="E853" s="9"/>
      <c r="F853" s="9"/>
      <c r="G853" s="59"/>
      <c r="H853" s="9"/>
    </row>
    <row r="854">
      <c r="A854" s="9"/>
      <c r="B854" s="9"/>
      <c r="C854" s="9"/>
      <c r="D854" s="9"/>
      <c r="E854" s="9"/>
      <c r="F854" s="9"/>
      <c r="G854" s="59"/>
      <c r="H854" s="9"/>
    </row>
    <row r="855">
      <c r="A855" s="9"/>
      <c r="B855" s="9"/>
      <c r="C855" s="9"/>
      <c r="D855" s="9"/>
      <c r="E855" s="9"/>
      <c r="F855" s="9"/>
      <c r="G855" s="59"/>
      <c r="H855" s="9"/>
    </row>
    <row r="856">
      <c r="A856" s="9"/>
      <c r="B856" s="9"/>
      <c r="C856" s="9"/>
      <c r="D856" s="9"/>
      <c r="E856" s="9"/>
      <c r="F856" s="9"/>
      <c r="G856" s="59"/>
      <c r="H856" s="9"/>
    </row>
    <row r="857">
      <c r="A857" s="9"/>
      <c r="B857" s="9"/>
      <c r="C857" s="9"/>
      <c r="D857" s="9"/>
      <c r="E857" s="9"/>
      <c r="F857" s="9"/>
      <c r="G857" s="59"/>
      <c r="H857" s="9"/>
    </row>
    <row r="858">
      <c r="A858" s="9"/>
      <c r="B858" s="9"/>
      <c r="C858" s="9"/>
      <c r="D858" s="9"/>
      <c r="E858" s="9"/>
      <c r="F858" s="9"/>
      <c r="G858" s="59"/>
      <c r="H858" s="9"/>
    </row>
    <row r="859">
      <c r="A859" s="9"/>
      <c r="B859" s="9"/>
      <c r="C859" s="9"/>
      <c r="D859" s="9"/>
      <c r="E859" s="9"/>
      <c r="F859" s="9"/>
      <c r="G859" s="59"/>
      <c r="H859" s="9"/>
    </row>
    <row r="860">
      <c r="A860" s="9"/>
      <c r="B860" s="9"/>
      <c r="C860" s="9"/>
      <c r="D860" s="9"/>
      <c r="E860" s="9"/>
      <c r="F860" s="9"/>
      <c r="G860" s="59"/>
      <c r="H860" s="9"/>
    </row>
    <row r="861">
      <c r="A861" s="9"/>
      <c r="B861" s="9"/>
      <c r="C861" s="9"/>
      <c r="D861" s="9"/>
      <c r="E861" s="9"/>
      <c r="F861" s="9"/>
      <c r="G861" s="59"/>
      <c r="H861" s="9"/>
    </row>
    <row r="862">
      <c r="A862" s="9"/>
      <c r="B862" s="9"/>
      <c r="C862" s="9"/>
      <c r="D862" s="9"/>
      <c r="E862" s="9"/>
      <c r="F862" s="9"/>
      <c r="G862" s="59"/>
      <c r="H862" s="9"/>
    </row>
    <row r="863">
      <c r="A863" s="9"/>
      <c r="B863" s="9"/>
      <c r="C863" s="9"/>
      <c r="D863" s="9"/>
      <c r="E863" s="9"/>
      <c r="F863" s="9"/>
      <c r="G863" s="59"/>
      <c r="H863" s="9"/>
    </row>
    <row r="864">
      <c r="A864" s="9"/>
      <c r="B864" s="9"/>
      <c r="C864" s="9"/>
      <c r="D864" s="9"/>
      <c r="E864" s="9"/>
      <c r="F864" s="9"/>
      <c r="G864" s="59"/>
      <c r="H864" s="9"/>
    </row>
    <row r="865">
      <c r="A865" s="9"/>
      <c r="B865" s="9"/>
      <c r="C865" s="9"/>
      <c r="D865" s="9"/>
      <c r="E865" s="9"/>
      <c r="F865" s="9"/>
      <c r="G865" s="59"/>
      <c r="H865" s="9"/>
    </row>
    <row r="866">
      <c r="A866" s="9"/>
      <c r="B866" s="9"/>
      <c r="C866" s="9"/>
      <c r="D866" s="9"/>
      <c r="E866" s="9"/>
      <c r="F866" s="9"/>
      <c r="G866" s="59"/>
      <c r="H866" s="9"/>
    </row>
    <row r="867">
      <c r="A867" s="9"/>
      <c r="B867" s="9"/>
      <c r="C867" s="9"/>
      <c r="D867" s="9"/>
      <c r="E867" s="9"/>
      <c r="F867" s="9"/>
      <c r="G867" s="59"/>
      <c r="H867" s="9"/>
    </row>
    <row r="868">
      <c r="A868" s="9"/>
      <c r="B868" s="9"/>
      <c r="C868" s="9"/>
      <c r="D868" s="9"/>
      <c r="E868" s="9"/>
      <c r="F868" s="9"/>
      <c r="G868" s="59"/>
      <c r="H868" s="9"/>
    </row>
    <row r="869">
      <c r="A869" s="9"/>
      <c r="B869" s="9"/>
      <c r="C869" s="9"/>
      <c r="D869" s="9"/>
      <c r="E869" s="9"/>
      <c r="F869" s="9"/>
      <c r="G869" s="59"/>
      <c r="H869" s="9"/>
    </row>
    <row r="870">
      <c r="A870" s="9"/>
      <c r="B870" s="9"/>
      <c r="C870" s="9"/>
      <c r="D870" s="9"/>
      <c r="E870" s="9"/>
      <c r="F870" s="9"/>
      <c r="G870" s="59"/>
      <c r="H870" s="9"/>
    </row>
    <row r="871">
      <c r="A871" s="9"/>
      <c r="B871" s="9"/>
      <c r="C871" s="9"/>
      <c r="D871" s="9"/>
      <c r="E871" s="9"/>
      <c r="F871" s="9"/>
      <c r="G871" s="59"/>
      <c r="H871" s="9"/>
    </row>
    <row r="872">
      <c r="A872" s="9"/>
      <c r="B872" s="9"/>
      <c r="C872" s="9"/>
      <c r="D872" s="9"/>
      <c r="E872" s="9"/>
      <c r="F872" s="9"/>
      <c r="G872" s="59"/>
      <c r="H872" s="9"/>
    </row>
    <row r="873">
      <c r="A873" s="9"/>
      <c r="B873" s="9"/>
      <c r="C873" s="9"/>
      <c r="D873" s="9"/>
      <c r="E873" s="9"/>
      <c r="F873" s="9"/>
      <c r="G873" s="59"/>
      <c r="H873" s="9"/>
    </row>
    <row r="874">
      <c r="A874" s="9"/>
      <c r="B874" s="9"/>
      <c r="C874" s="9"/>
      <c r="D874" s="9"/>
      <c r="E874" s="9"/>
      <c r="F874" s="9"/>
      <c r="G874" s="59"/>
      <c r="H874" s="9"/>
    </row>
    <row r="875">
      <c r="A875" s="9"/>
      <c r="B875" s="9"/>
      <c r="C875" s="9"/>
      <c r="D875" s="9"/>
      <c r="E875" s="9"/>
      <c r="F875" s="9"/>
      <c r="G875" s="59"/>
      <c r="H875" s="9"/>
    </row>
    <row r="876">
      <c r="A876" s="9"/>
      <c r="B876" s="9"/>
      <c r="C876" s="9"/>
      <c r="D876" s="9"/>
      <c r="E876" s="9"/>
      <c r="F876" s="9"/>
      <c r="G876" s="59"/>
      <c r="H876" s="9"/>
    </row>
    <row r="877">
      <c r="A877" s="9"/>
      <c r="B877" s="9"/>
      <c r="C877" s="9"/>
      <c r="D877" s="9"/>
      <c r="E877" s="9"/>
      <c r="F877" s="9"/>
      <c r="G877" s="59"/>
      <c r="H877" s="9"/>
    </row>
    <row r="878">
      <c r="A878" s="9"/>
      <c r="B878" s="9"/>
      <c r="C878" s="9"/>
      <c r="D878" s="9"/>
      <c r="E878" s="9"/>
      <c r="F878" s="9"/>
      <c r="G878" s="59"/>
      <c r="H878" s="9"/>
    </row>
    <row r="879">
      <c r="A879" s="9"/>
      <c r="B879" s="9"/>
      <c r="C879" s="9"/>
      <c r="D879" s="9"/>
      <c r="E879" s="9"/>
      <c r="F879" s="9"/>
      <c r="G879" s="59"/>
      <c r="H879" s="9"/>
    </row>
    <row r="880">
      <c r="A880" s="9"/>
      <c r="B880" s="9"/>
      <c r="C880" s="9"/>
      <c r="D880" s="9"/>
      <c r="E880" s="9"/>
      <c r="F880" s="9"/>
      <c r="G880" s="59"/>
      <c r="H880" s="9"/>
    </row>
    <row r="881">
      <c r="A881" s="9"/>
      <c r="B881" s="9"/>
      <c r="C881" s="9"/>
      <c r="D881" s="9"/>
      <c r="E881" s="9"/>
      <c r="F881" s="9"/>
      <c r="G881" s="59"/>
      <c r="H881" s="9"/>
    </row>
    <row r="882">
      <c r="A882" s="9"/>
      <c r="B882" s="9"/>
      <c r="C882" s="9"/>
      <c r="D882" s="9"/>
      <c r="E882" s="9"/>
      <c r="F882" s="9"/>
      <c r="G882" s="59"/>
      <c r="H882" s="9"/>
    </row>
    <row r="883">
      <c r="A883" s="9"/>
      <c r="B883" s="9"/>
      <c r="C883" s="9"/>
      <c r="D883" s="9"/>
      <c r="E883" s="9"/>
      <c r="F883" s="9"/>
      <c r="G883" s="59"/>
      <c r="H883" s="9"/>
    </row>
    <row r="884">
      <c r="A884" s="9"/>
      <c r="B884" s="9"/>
      <c r="C884" s="9"/>
      <c r="D884" s="9"/>
      <c r="E884" s="9"/>
      <c r="F884" s="9"/>
      <c r="G884" s="59"/>
      <c r="H884" s="9"/>
    </row>
    <row r="885">
      <c r="A885" s="9"/>
      <c r="B885" s="9"/>
      <c r="C885" s="9"/>
      <c r="D885" s="9"/>
      <c r="E885" s="9"/>
      <c r="F885" s="9"/>
      <c r="G885" s="59"/>
      <c r="H885" s="9"/>
    </row>
    <row r="886">
      <c r="A886" s="9"/>
      <c r="B886" s="9"/>
      <c r="C886" s="9"/>
      <c r="D886" s="9"/>
      <c r="E886" s="9"/>
      <c r="F886" s="9"/>
      <c r="G886" s="59"/>
      <c r="H886" s="9"/>
    </row>
    <row r="887">
      <c r="A887" s="9"/>
      <c r="B887" s="9"/>
      <c r="C887" s="9"/>
      <c r="D887" s="9"/>
      <c r="E887" s="9"/>
      <c r="F887" s="9"/>
      <c r="G887" s="59"/>
      <c r="H887" s="9"/>
    </row>
    <row r="888">
      <c r="A888" s="9"/>
      <c r="B888" s="9"/>
      <c r="C888" s="9"/>
      <c r="D888" s="9"/>
      <c r="E888" s="9"/>
      <c r="F888" s="9"/>
      <c r="G888" s="59"/>
      <c r="H888" s="9"/>
    </row>
    <row r="889">
      <c r="A889" s="9"/>
      <c r="B889" s="9"/>
      <c r="C889" s="9"/>
      <c r="D889" s="9"/>
      <c r="E889" s="9"/>
      <c r="F889" s="9"/>
      <c r="G889" s="59"/>
      <c r="H889" s="9"/>
    </row>
    <row r="890">
      <c r="A890" s="9"/>
      <c r="B890" s="9"/>
      <c r="C890" s="9"/>
      <c r="D890" s="9"/>
      <c r="E890" s="9"/>
      <c r="F890" s="9"/>
      <c r="G890" s="59"/>
      <c r="H890" s="9"/>
    </row>
    <row r="891">
      <c r="A891" s="9"/>
      <c r="B891" s="9"/>
      <c r="C891" s="9"/>
      <c r="D891" s="9"/>
      <c r="E891" s="9"/>
      <c r="F891" s="9"/>
      <c r="G891" s="59"/>
      <c r="H891" s="9"/>
    </row>
    <row r="892">
      <c r="A892" s="9"/>
      <c r="B892" s="9"/>
      <c r="C892" s="9"/>
      <c r="D892" s="9"/>
      <c r="E892" s="9"/>
      <c r="F892" s="9"/>
      <c r="G892" s="59"/>
      <c r="H892" s="9"/>
    </row>
    <row r="893">
      <c r="A893" s="9"/>
      <c r="B893" s="9"/>
      <c r="C893" s="9"/>
      <c r="D893" s="9"/>
      <c r="E893" s="9"/>
      <c r="F893" s="9"/>
      <c r="G893" s="59"/>
      <c r="H893" s="9"/>
    </row>
    <row r="894">
      <c r="A894" s="9"/>
      <c r="B894" s="9"/>
      <c r="C894" s="9"/>
      <c r="D894" s="9"/>
      <c r="E894" s="9"/>
      <c r="F894" s="9"/>
      <c r="G894" s="59"/>
      <c r="H894" s="9"/>
    </row>
    <row r="895">
      <c r="A895" s="9"/>
      <c r="B895" s="9"/>
      <c r="C895" s="9"/>
      <c r="D895" s="9"/>
      <c r="E895" s="9"/>
      <c r="F895" s="9"/>
      <c r="G895" s="59"/>
      <c r="H895" s="9"/>
    </row>
    <row r="896">
      <c r="A896" s="9"/>
      <c r="B896" s="9"/>
      <c r="C896" s="9"/>
      <c r="D896" s="9"/>
      <c r="E896" s="9"/>
      <c r="F896" s="9"/>
      <c r="G896" s="59"/>
      <c r="H896" s="9"/>
    </row>
    <row r="897">
      <c r="A897" s="9"/>
      <c r="B897" s="9"/>
      <c r="C897" s="9"/>
      <c r="D897" s="9"/>
      <c r="E897" s="9"/>
      <c r="F897" s="9"/>
      <c r="G897" s="59"/>
      <c r="H897" s="9"/>
    </row>
    <row r="898">
      <c r="A898" s="9"/>
      <c r="B898" s="9"/>
      <c r="C898" s="9"/>
      <c r="D898" s="9"/>
      <c r="E898" s="9"/>
      <c r="F898" s="9"/>
      <c r="G898" s="59"/>
      <c r="H898" s="9"/>
    </row>
    <row r="899">
      <c r="A899" s="9"/>
      <c r="B899" s="9"/>
      <c r="C899" s="9"/>
      <c r="D899" s="9"/>
      <c r="E899" s="9"/>
      <c r="F899" s="9"/>
      <c r="G899" s="59"/>
      <c r="H899" s="9"/>
    </row>
    <row r="900">
      <c r="A900" s="9"/>
      <c r="B900" s="9"/>
      <c r="C900" s="9"/>
      <c r="D900" s="9"/>
      <c r="E900" s="9"/>
      <c r="F900" s="9"/>
      <c r="G900" s="59"/>
      <c r="H900" s="9"/>
    </row>
    <row r="901">
      <c r="A901" s="9"/>
      <c r="B901" s="9"/>
      <c r="C901" s="9"/>
      <c r="D901" s="9"/>
      <c r="E901" s="9"/>
      <c r="F901" s="9"/>
      <c r="G901" s="59"/>
      <c r="H901" s="9"/>
    </row>
    <row r="902">
      <c r="A902" s="9"/>
      <c r="B902" s="9"/>
      <c r="C902" s="9"/>
      <c r="D902" s="9"/>
      <c r="E902" s="9"/>
      <c r="F902" s="9"/>
      <c r="G902" s="59"/>
      <c r="H902" s="9"/>
    </row>
    <row r="903">
      <c r="A903" s="9"/>
      <c r="B903" s="9"/>
      <c r="C903" s="9"/>
      <c r="D903" s="9"/>
      <c r="E903" s="9"/>
      <c r="F903" s="9"/>
      <c r="G903" s="59"/>
      <c r="H903" s="9"/>
    </row>
    <row r="904">
      <c r="A904" s="9"/>
      <c r="B904" s="9"/>
      <c r="C904" s="9"/>
      <c r="D904" s="9"/>
      <c r="E904" s="9"/>
      <c r="F904" s="9"/>
      <c r="G904" s="59"/>
      <c r="H904" s="9"/>
    </row>
    <row r="905">
      <c r="A905" s="9"/>
      <c r="B905" s="9"/>
      <c r="C905" s="9"/>
      <c r="D905" s="9"/>
      <c r="E905" s="9"/>
      <c r="F905" s="9"/>
      <c r="G905" s="59"/>
      <c r="H905" s="9"/>
    </row>
    <row r="906">
      <c r="A906" s="9"/>
      <c r="B906" s="9"/>
      <c r="C906" s="9"/>
      <c r="D906" s="9"/>
      <c r="E906" s="9"/>
      <c r="F906" s="9"/>
      <c r="G906" s="59"/>
      <c r="H906" s="9"/>
    </row>
    <row r="907">
      <c r="A907" s="9"/>
      <c r="B907" s="9"/>
      <c r="C907" s="9"/>
      <c r="D907" s="9"/>
      <c r="E907" s="9"/>
      <c r="F907" s="9"/>
      <c r="G907" s="59"/>
      <c r="H907" s="9"/>
    </row>
    <row r="908">
      <c r="A908" s="9"/>
      <c r="B908" s="9"/>
      <c r="C908" s="9"/>
      <c r="D908" s="9"/>
      <c r="E908" s="9"/>
      <c r="F908" s="9"/>
      <c r="G908" s="59"/>
      <c r="H908" s="9"/>
    </row>
    <row r="909">
      <c r="A909" s="9"/>
      <c r="B909" s="9"/>
      <c r="C909" s="9"/>
      <c r="D909" s="9"/>
      <c r="E909" s="9"/>
      <c r="F909" s="9"/>
      <c r="G909" s="59"/>
      <c r="H909" s="9"/>
    </row>
    <row r="910">
      <c r="A910" s="9"/>
      <c r="B910" s="9"/>
      <c r="C910" s="9"/>
      <c r="D910" s="9"/>
      <c r="E910" s="9"/>
      <c r="F910" s="9"/>
      <c r="G910" s="59"/>
      <c r="H910" s="9"/>
    </row>
    <row r="911">
      <c r="A911" s="9"/>
      <c r="B911" s="9"/>
      <c r="C911" s="9"/>
      <c r="D911" s="9"/>
      <c r="E911" s="9"/>
      <c r="F911" s="9"/>
      <c r="G911" s="59"/>
      <c r="H911" s="9"/>
    </row>
    <row r="912">
      <c r="A912" s="9"/>
      <c r="B912" s="9"/>
      <c r="C912" s="9"/>
      <c r="D912" s="9"/>
      <c r="E912" s="9"/>
      <c r="F912" s="9"/>
      <c r="G912" s="59"/>
      <c r="H912" s="9"/>
    </row>
    <row r="913">
      <c r="A913" s="9"/>
      <c r="B913" s="9"/>
      <c r="C913" s="9"/>
      <c r="D913" s="9"/>
      <c r="E913" s="9"/>
      <c r="F913" s="9"/>
      <c r="G913" s="59"/>
      <c r="H913" s="9"/>
    </row>
    <row r="914">
      <c r="A914" s="9"/>
      <c r="B914" s="9"/>
      <c r="C914" s="9"/>
      <c r="D914" s="9"/>
      <c r="E914" s="9"/>
      <c r="F914" s="9"/>
      <c r="G914" s="59"/>
      <c r="H914" s="9"/>
    </row>
    <row r="915">
      <c r="A915" s="9"/>
      <c r="B915" s="9"/>
      <c r="C915" s="9"/>
      <c r="D915" s="9"/>
      <c r="E915" s="9"/>
      <c r="F915" s="9"/>
      <c r="G915" s="59"/>
      <c r="H915" s="9"/>
    </row>
    <row r="916">
      <c r="A916" s="9"/>
      <c r="B916" s="9"/>
      <c r="C916" s="9"/>
      <c r="D916" s="9"/>
      <c r="E916" s="9"/>
      <c r="F916" s="9"/>
      <c r="G916" s="59"/>
      <c r="H916" s="9"/>
    </row>
    <row r="917">
      <c r="A917" s="9"/>
      <c r="B917" s="9"/>
      <c r="C917" s="9"/>
      <c r="D917" s="9"/>
      <c r="E917" s="9"/>
      <c r="F917" s="9"/>
      <c r="G917" s="59"/>
      <c r="H917" s="9"/>
    </row>
    <row r="918">
      <c r="A918" s="9"/>
      <c r="B918" s="9"/>
      <c r="C918" s="9"/>
      <c r="D918" s="9"/>
      <c r="E918" s="9"/>
      <c r="F918" s="9"/>
      <c r="G918" s="59"/>
      <c r="H918" s="9"/>
    </row>
    <row r="919">
      <c r="A919" s="9"/>
      <c r="B919" s="9"/>
      <c r="C919" s="9"/>
      <c r="D919" s="9"/>
      <c r="E919" s="9"/>
      <c r="F919" s="9"/>
      <c r="G919" s="59"/>
      <c r="H919" s="9"/>
    </row>
    <row r="920">
      <c r="A920" s="9"/>
      <c r="B920" s="9"/>
      <c r="C920" s="9"/>
      <c r="D920" s="9"/>
      <c r="E920" s="9"/>
      <c r="F920" s="9"/>
      <c r="G920" s="59"/>
      <c r="H920" s="9"/>
    </row>
    <row r="921">
      <c r="A921" s="9"/>
      <c r="B921" s="9"/>
      <c r="C921" s="9"/>
      <c r="D921" s="9"/>
      <c r="E921" s="9"/>
      <c r="F921" s="9"/>
      <c r="G921" s="59"/>
      <c r="H921" s="9"/>
    </row>
    <row r="922">
      <c r="A922" s="9"/>
      <c r="B922" s="9"/>
      <c r="C922" s="9"/>
      <c r="D922" s="9"/>
      <c r="E922" s="9"/>
      <c r="F922" s="9"/>
      <c r="G922" s="59"/>
      <c r="H922" s="9"/>
    </row>
    <row r="923">
      <c r="A923" s="9"/>
      <c r="B923" s="9"/>
      <c r="C923" s="9"/>
      <c r="D923" s="9"/>
      <c r="E923" s="9"/>
      <c r="F923" s="9"/>
      <c r="G923" s="59"/>
      <c r="H923" s="9"/>
    </row>
    <row r="924">
      <c r="A924" s="9"/>
      <c r="B924" s="9"/>
      <c r="C924" s="9"/>
      <c r="D924" s="9"/>
      <c r="E924" s="9"/>
      <c r="F924" s="9"/>
      <c r="G924" s="59"/>
      <c r="H924" s="9"/>
    </row>
    <row r="925">
      <c r="A925" s="9"/>
      <c r="B925" s="9"/>
      <c r="C925" s="9"/>
      <c r="D925" s="9"/>
      <c r="E925" s="9"/>
      <c r="F925" s="9"/>
      <c r="G925" s="59"/>
      <c r="H925" s="9"/>
    </row>
    <row r="926">
      <c r="A926" s="9"/>
      <c r="B926" s="9"/>
      <c r="C926" s="9"/>
      <c r="D926" s="9"/>
      <c r="E926" s="9"/>
      <c r="F926" s="9"/>
      <c r="G926" s="59"/>
      <c r="H926" s="9"/>
    </row>
    <row r="927">
      <c r="A927" s="9"/>
      <c r="B927" s="9"/>
      <c r="C927" s="9"/>
      <c r="D927" s="9"/>
      <c r="E927" s="9"/>
      <c r="F927" s="9"/>
      <c r="G927" s="59"/>
      <c r="H927" s="9"/>
    </row>
    <row r="928">
      <c r="A928" s="9"/>
      <c r="B928" s="9"/>
      <c r="C928" s="9"/>
      <c r="D928" s="9"/>
      <c r="E928" s="9"/>
      <c r="F928" s="9"/>
      <c r="G928" s="59"/>
      <c r="H928" s="9"/>
    </row>
    <row r="929">
      <c r="A929" s="9"/>
      <c r="B929" s="9"/>
      <c r="C929" s="9"/>
      <c r="D929" s="9"/>
      <c r="E929" s="9"/>
      <c r="F929" s="9"/>
      <c r="G929" s="59"/>
      <c r="H929" s="9"/>
    </row>
    <row r="930">
      <c r="A930" s="9"/>
      <c r="B930" s="9"/>
      <c r="C930" s="9"/>
      <c r="D930" s="9"/>
      <c r="E930" s="9"/>
      <c r="F930" s="9"/>
      <c r="G930" s="59"/>
      <c r="H930" s="9"/>
    </row>
    <row r="931">
      <c r="A931" s="9"/>
      <c r="B931" s="9"/>
      <c r="C931" s="9"/>
      <c r="D931" s="9"/>
      <c r="E931" s="9"/>
      <c r="F931" s="9"/>
      <c r="G931" s="59"/>
      <c r="H931" s="9"/>
    </row>
    <row r="932">
      <c r="A932" s="9"/>
      <c r="B932" s="9"/>
      <c r="C932" s="9"/>
      <c r="D932" s="9"/>
      <c r="E932" s="9"/>
      <c r="F932" s="9"/>
      <c r="G932" s="59"/>
      <c r="H932" s="9"/>
    </row>
    <row r="933">
      <c r="A933" s="9"/>
      <c r="B933" s="9"/>
      <c r="C933" s="9"/>
      <c r="D933" s="9"/>
      <c r="E933" s="9"/>
      <c r="F933" s="9"/>
      <c r="G933" s="59"/>
      <c r="H933" s="9"/>
    </row>
    <row r="934">
      <c r="A934" s="9"/>
      <c r="B934" s="9"/>
      <c r="C934" s="9"/>
      <c r="D934" s="9"/>
      <c r="E934" s="9"/>
      <c r="F934" s="9"/>
      <c r="G934" s="59"/>
      <c r="H934" s="9"/>
    </row>
    <row r="935">
      <c r="A935" s="9"/>
      <c r="B935" s="9"/>
      <c r="C935" s="9"/>
      <c r="D935" s="9"/>
      <c r="E935" s="9"/>
      <c r="F935" s="9"/>
      <c r="G935" s="59"/>
      <c r="H935" s="9"/>
    </row>
    <row r="936">
      <c r="A936" s="9"/>
      <c r="B936" s="9"/>
      <c r="C936" s="9"/>
      <c r="D936" s="9"/>
      <c r="E936" s="9"/>
      <c r="F936" s="9"/>
      <c r="G936" s="59"/>
      <c r="H936" s="9"/>
    </row>
    <row r="937">
      <c r="A937" s="9"/>
      <c r="B937" s="9"/>
      <c r="C937" s="9"/>
      <c r="D937" s="9"/>
      <c r="E937" s="9"/>
      <c r="F937" s="9"/>
      <c r="G937" s="59"/>
      <c r="H937" s="9"/>
    </row>
    <row r="938">
      <c r="A938" s="9"/>
      <c r="B938" s="9"/>
      <c r="C938" s="9"/>
      <c r="D938" s="9"/>
      <c r="E938" s="9"/>
      <c r="F938" s="9"/>
      <c r="G938" s="59"/>
      <c r="H938" s="9"/>
    </row>
    <row r="939">
      <c r="A939" s="9"/>
      <c r="B939" s="9"/>
      <c r="C939" s="9"/>
      <c r="D939" s="9"/>
      <c r="E939" s="9"/>
      <c r="F939" s="9"/>
      <c r="G939" s="59"/>
      <c r="H939" s="9"/>
    </row>
    <row r="940">
      <c r="A940" s="9"/>
      <c r="B940" s="9"/>
      <c r="C940" s="9"/>
      <c r="D940" s="9"/>
      <c r="E940" s="9"/>
      <c r="F940" s="9"/>
      <c r="G940" s="59"/>
      <c r="H940" s="9"/>
    </row>
    <row r="941">
      <c r="A941" s="9"/>
      <c r="B941" s="9"/>
      <c r="C941" s="9"/>
      <c r="D941" s="9"/>
      <c r="E941" s="9"/>
      <c r="F941" s="9"/>
      <c r="G941" s="59"/>
      <c r="H941" s="9"/>
    </row>
    <row r="942">
      <c r="A942" s="9"/>
      <c r="B942" s="9"/>
      <c r="C942" s="9"/>
      <c r="D942" s="9"/>
      <c r="E942" s="9"/>
      <c r="F942" s="9"/>
      <c r="G942" s="59"/>
      <c r="H942" s="9"/>
    </row>
    <row r="943">
      <c r="A943" s="9"/>
      <c r="B943" s="9"/>
      <c r="C943" s="9"/>
      <c r="D943" s="9"/>
      <c r="E943" s="9"/>
      <c r="F943" s="9"/>
      <c r="G943" s="59"/>
      <c r="H943" s="9"/>
    </row>
    <row r="944">
      <c r="A944" s="9"/>
      <c r="B944" s="9"/>
      <c r="C944" s="9"/>
      <c r="D944" s="9"/>
      <c r="E944" s="9"/>
      <c r="F944" s="9"/>
      <c r="G944" s="59"/>
      <c r="H944" s="9"/>
    </row>
    <row r="945">
      <c r="A945" s="9"/>
      <c r="B945" s="9"/>
      <c r="C945" s="9"/>
      <c r="D945" s="9"/>
      <c r="E945" s="9"/>
      <c r="F945" s="9"/>
      <c r="G945" s="59"/>
      <c r="H945" s="9"/>
    </row>
    <row r="946">
      <c r="A946" s="9"/>
      <c r="B946" s="9"/>
      <c r="C946" s="9"/>
      <c r="D946" s="9"/>
      <c r="E946" s="9"/>
      <c r="F946" s="9"/>
      <c r="G946" s="59"/>
      <c r="H946" s="9"/>
    </row>
    <row r="947">
      <c r="A947" s="9"/>
      <c r="B947" s="9"/>
      <c r="C947" s="9"/>
      <c r="D947" s="9"/>
      <c r="E947" s="9"/>
      <c r="F947" s="9"/>
      <c r="G947" s="59"/>
      <c r="H947" s="9"/>
    </row>
    <row r="948">
      <c r="A948" s="9"/>
      <c r="B948" s="9"/>
      <c r="C948" s="9"/>
      <c r="D948" s="9"/>
      <c r="E948" s="9"/>
      <c r="F948" s="9"/>
      <c r="G948" s="59"/>
      <c r="H948" s="9"/>
    </row>
    <row r="949">
      <c r="A949" s="9"/>
      <c r="B949" s="9"/>
      <c r="C949" s="9"/>
      <c r="D949" s="9"/>
      <c r="E949" s="9"/>
      <c r="F949" s="9"/>
      <c r="G949" s="59"/>
      <c r="H949" s="9"/>
    </row>
    <row r="950">
      <c r="A950" s="9"/>
      <c r="B950" s="9"/>
      <c r="C950" s="9"/>
      <c r="D950" s="9"/>
      <c r="E950" s="9"/>
      <c r="F950" s="9"/>
      <c r="G950" s="59"/>
      <c r="H950" s="9"/>
    </row>
    <row r="951">
      <c r="A951" s="9"/>
      <c r="B951" s="9"/>
      <c r="C951" s="9"/>
      <c r="D951" s="9"/>
      <c r="E951" s="9"/>
      <c r="F951" s="9"/>
      <c r="G951" s="59"/>
      <c r="H951" s="9"/>
    </row>
    <row r="952">
      <c r="A952" s="9"/>
      <c r="B952" s="9"/>
      <c r="C952" s="9"/>
      <c r="D952" s="9"/>
      <c r="E952" s="9"/>
      <c r="F952" s="9"/>
      <c r="G952" s="59"/>
      <c r="H952" s="9"/>
    </row>
    <row r="953">
      <c r="A953" s="9"/>
      <c r="B953" s="9"/>
      <c r="C953" s="9"/>
      <c r="D953" s="9"/>
      <c r="E953" s="9"/>
      <c r="F953" s="9"/>
      <c r="G953" s="59"/>
      <c r="H953" s="9"/>
    </row>
    <row r="954">
      <c r="A954" s="9"/>
      <c r="B954" s="9"/>
      <c r="C954" s="9"/>
      <c r="D954" s="9"/>
      <c r="E954" s="9"/>
      <c r="F954" s="9"/>
      <c r="G954" s="59"/>
      <c r="H954" s="9"/>
    </row>
    <row r="955">
      <c r="A955" s="9"/>
      <c r="B955" s="9"/>
      <c r="C955" s="9"/>
      <c r="D955" s="9"/>
      <c r="E955" s="9"/>
      <c r="F955" s="9"/>
      <c r="G955" s="59"/>
      <c r="H955" s="9"/>
    </row>
    <row r="956">
      <c r="A956" s="9"/>
      <c r="B956" s="9"/>
      <c r="C956" s="9"/>
      <c r="D956" s="9"/>
      <c r="E956" s="9"/>
      <c r="F956" s="9"/>
      <c r="G956" s="59"/>
      <c r="H956" s="9"/>
    </row>
    <row r="957">
      <c r="A957" s="9"/>
      <c r="B957" s="9"/>
      <c r="C957" s="9"/>
      <c r="D957" s="9"/>
      <c r="E957" s="9"/>
      <c r="F957" s="9"/>
      <c r="G957" s="59"/>
      <c r="H957" s="9"/>
    </row>
    <row r="958">
      <c r="A958" s="9"/>
      <c r="B958" s="9"/>
      <c r="C958" s="9"/>
      <c r="D958" s="9"/>
      <c r="E958" s="9"/>
      <c r="F958" s="9"/>
      <c r="G958" s="59"/>
      <c r="H958" s="9"/>
    </row>
    <row r="959">
      <c r="A959" s="9"/>
      <c r="B959" s="9"/>
      <c r="C959" s="9"/>
      <c r="D959" s="9"/>
      <c r="E959" s="9"/>
      <c r="F959" s="9"/>
      <c r="G959" s="59"/>
      <c r="H959" s="9"/>
    </row>
    <row r="960">
      <c r="A960" s="9"/>
      <c r="B960" s="9"/>
      <c r="C960" s="9"/>
      <c r="D960" s="9"/>
      <c r="E960" s="9"/>
      <c r="F960" s="9"/>
      <c r="G960" s="59"/>
      <c r="H960" s="9"/>
    </row>
    <row r="961">
      <c r="A961" s="9"/>
      <c r="B961" s="9"/>
      <c r="C961" s="9"/>
      <c r="D961" s="9"/>
      <c r="E961" s="9"/>
      <c r="F961" s="9"/>
      <c r="G961" s="59"/>
      <c r="H961" s="9"/>
    </row>
    <row r="962">
      <c r="A962" s="9"/>
      <c r="B962" s="9"/>
      <c r="C962" s="9"/>
      <c r="D962" s="9"/>
      <c r="E962" s="9"/>
      <c r="F962" s="9"/>
      <c r="G962" s="59"/>
      <c r="H962" s="9"/>
    </row>
    <row r="963">
      <c r="A963" s="9"/>
      <c r="B963" s="9"/>
      <c r="C963" s="9"/>
      <c r="D963" s="9"/>
      <c r="E963" s="9"/>
      <c r="F963" s="9"/>
      <c r="G963" s="59"/>
      <c r="H963" s="9"/>
    </row>
    <row r="964">
      <c r="A964" s="9"/>
      <c r="B964" s="9"/>
      <c r="C964" s="9"/>
      <c r="D964" s="9"/>
      <c r="E964" s="9"/>
      <c r="F964" s="9"/>
      <c r="G964" s="59"/>
      <c r="H964" s="9"/>
    </row>
    <row r="965">
      <c r="A965" s="9"/>
      <c r="B965" s="9"/>
      <c r="C965" s="9"/>
      <c r="D965" s="9"/>
      <c r="E965" s="9"/>
      <c r="F965" s="9"/>
      <c r="G965" s="59"/>
      <c r="H965" s="9"/>
    </row>
    <row r="966">
      <c r="A966" s="9"/>
      <c r="B966" s="9"/>
      <c r="C966" s="9"/>
      <c r="D966" s="9"/>
      <c r="E966" s="9"/>
      <c r="F966" s="9"/>
      <c r="G966" s="59"/>
      <c r="H966" s="9"/>
    </row>
    <row r="967">
      <c r="A967" s="9"/>
      <c r="B967" s="9"/>
      <c r="C967" s="9"/>
      <c r="D967" s="9"/>
      <c r="E967" s="9"/>
      <c r="F967" s="9"/>
      <c r="G967" s="59"/>
      <c r="H967" s="9"/>
    </row>
    <row r="968">
      <c r="A968" s="9"/>
      <c r="B968" s="9"/>
      <c r="C968" s="9"/>
      <c r="D968" s="9"/>
      <c r="E968" s="9"/>
      <c r="F968" s="9"/>
      <c r="G968" s="59"/>
      <c r="H968" s="9"/>
    </row>
    <row r="969">
      <c r="A969" s="9"/>
      <c r="B969" s="9"/>
      <c r="C969" s="9"/>
      <c r="D969" s="9"/>
      <c r="E969" s="9"/>
      <c r="F969" s="9"/>
      <c r="G969" s="59"/>
      <c r="H969" s="9"/>
    </row>
    <row r="970">
      <c r="A970" s="9"/>
      <c r="B970" s="9"/>
      <c r="C970" s="9"/>
      <c r="D970" s="9"/>
      <c r="E970" s="9"/>
      <c r="F970" s="9"/>
      <c r="G970" s="59"/>
      <c r="H970" s="9"/>
    </row>
    <row r="971">
      <c r="A971" s="9"/>
      <c r="B971" s="9"/>
      <c r="C971" s="9"/>
      <c r="D971" s="9"/>
      <c r="E971" s="9"/>
      <c r="F971" s="9"/>
      <c r="G971" s="59"/>
      <c r="H971" s="9"/>
    </row>
    <row r="972">
      <c r="A972" s="9"/>
      <c r="B972" s="9"/>
      <c r="C972" s="9"/>
      <c r="D972" s="9"/>
      <c r="E972" s="9"/>
      <c r="F972" s="9"/>
      <c r="G972" s="59"/>
      <c r="H972" s="9"/>
    </row>
    <row r="973">
      <c r="A973" s="9"/>
      <c r="B973" s="9"/>
      <c r="C973" s="9"/>
      <c r="D973" s="9"/>
      <c r="E973" s="9"/>
      <c r="F973" s="9"/>
      <c r="G973" s="59"/>
      <c r="H973" s="9"/>
    </row>
    <row r="974">
      <c r="A974" s="9"/>
      <c r="B974" s="9"/>
      <c r="C974" s="9"/>
      <c r="D974" s="9"/>
      <c r="E974" s="9"/>
      <c r="F974" s="9"/>
      <c r="G974" s="59"/>
      <c r="H974" s="9"/>
    </row>
    <row r="975">
      <c r="A975" s="9"/>
      <c r="B975" s="9"/>
      <c r="C975" s="9"/>
      <c r="D975" s="9"/>
      <c r="E975" s="9"/>
      <c r="F975" s="9"/>
      <c r="G975" s="59"/>
      <c r="H975" s="9"/>
    </row>
    <row r="976">
      <c r="A976" s="9"/>
      <c r="B976" s="9"/>
      <c r="C976" s="9"/>
      <c r="D976" s="9"/>
      <c r="E976" s="9"/>
      <c r="F976" s="9"/>
      <c r="G976" s="59"/>
      <c r="H976" s="9"/>
    </row>
    <row r="977">
      <c r="A977" s="9"/>
      <c r="B977" s="9"/>
      <c r="C977" s="9"/>
      <c r="D977" s="9"/>
      <c r="E977" s="9"/>
      <c r="F977" s="9"/>
      <c r="G977" s="59"/>
      <c r="H977" s="9"/>
    </row>
    <row r="978">
      <c r="A978" s="9"/>
      <c r="B978" s="9"/>
      <c r="C978" s="9"/>
      <c r="D978" s="9"/>
      <c r="E978" s="9"/>
      <c r="F978" s="9"/>
      <c r="G978" s="59"/>
      <c r="H978" s="9"/>
    </row>
    <row r="979">
      <c r="A979" s="9"/>
      <c r="B979" s="9"/>
      <c r="C979" s="9"/>
      <c r="D979" s="9"/>
      <c r="E979" s="9"/>
      <c r="F979" s="9"/>
      <c r="G979" s="59"/>
      <c r="H979" s="9"/>
    </row>
    <row r="980">
      <c r="A980" s="9"/>
      <c r="B980" s="9"/>
      <c r="C980" s="9"/>
      <c r="D980" s="9"/>
      <c r="E980" s="9"/>
      <c r="F980" s="9"/>
      <c r="G980" s="59"/>
      <c r="H980" s="9"/>
    </row>
    <row r="981">
      <c r="A981" s="9"/>
      <c r="B981" s="9"/>
      <c r="C981" s="9"/>
      <c r="D981" s="9"/>
      <c r="E981" s="9"/>
      <c r="F981" s="9"/>
      <c r="G981" s="59"/>
      <c r="H981" s="9"/>
    </row>
    <row r="982">
      <c r="A982" s="9"/>
      <c r="B982" s="9"/>
      <c r="C982" s="9"/>
      <c r="D982" s="9"/>
      <c r="E982" s="9"/>
      <c r="F982" s="9"/>
      <c r="G982" s="59"/>
      <c r="H982" s="9"/>
    </row>
    <row r="983">
      <c r="A983" s="9"/>
      <c r="B983" s="9"/>
      <c r="C983" s="9"/>
      <c r="D983" s="9"/>
      <c r="E983" s="9"/>
      <c r="F983" s="9"/>
      <c r="G983" s="59"/>
      <c r="H983" s="9"/>
    </row>
    <row r="984">
      <c r="A984" s="9"/>
      <c r="B984" s="9"/>
      <c r="C984" s="9"/>
      <c r="D984" s="9"/>
      <c r="E984" s="9"/>
      <c r="F984" s="9"/>
      <c r="G984" s="59"/>
      <c r="H984" s="9"/>
    </row>
    <row r="985">
      <c r="A985" s="9"/>
      <c r="B985" s="9"/>
      <c r="C985" s="9"/>
      <c r="D985" s="9"/>
      <c r="E985" s="9"/>
      <c r="F985" s="9"/>
      <c r="G985" s="59"/>
      <c r="H985" s="9"/>
    </row>
    <row r="986">
      <c r="A986" s="9"/>
      <c r="B986" s="9"/>
      <c r="C986" s="9"/>
      <c r="D986" s="9"/>
      <c r="E986" s="9"/>
      <c r="F986" s="9"/>
      <c r="G986" s="59"/>
      <c r="H986" s="9"/>
    </row>
    <row r="987">
      <c r="A987" s="9"/>
      <c r="B987" s="9"/>
      <c r="C987" s="9"/>
      <c r="D987" s="9"/>
      <c r="E987" s="9"/>
      <c r="F987" s="9"/>
      <c r="G987" s="59"/>
      <c r="H987" s="9"/>
    </row>
    <row r="988">
      <c r="A988" s="9"/>
      <c r="B988" s="9"/>
      <c r="C988" s="9"/>
      <c r="D988" s="9"/>
      <c r="E988" s="9"/>
      <c r="F988" s="9"/>
      <c r="G988" s="59"/>
      <c r="H988" s="9"/>
    </row>
    <row r="989">
      <c r="A989" s="9"/>
      <c r="B989" s="9"/>
      <c r="C989" s="9"/>
      <c r="D989" s="9"/>
      <c r="E989" s="9"/>
      <c r="F989" s="9"/>
      <c r="G989" s="59"/>
      <c r="H989" s="9"/>
    </row>
    <row r="990">
      <c r="A990" s="9"/>
      <c r="B990" s="9"/>
      <c r="C990" s="9"/>
      <c r="D990" s="9"/>
      <c r="E990" s="9"/>
      <c r="F990" s="9"/>
      <c r="G990" s="59"/>
      <c r="H990" s="9"/>
    </row>
    <row r="991">
      <c r="A991" s="9"/>
      <c r="B991" s="9"/>
      <c r="C991" s="9"/>
      <c r="D991" s="9"/>
      <c r="E991" s="9"/>
      <c r="F991" s="9"/>
      <c r="G991" s="59"/>
      <c r="H991" s="9"/>
    </row>
    <row r="992">
      <c r="A992" s="9"/>
      <c r="B992" s="9"/>
      <c r="C992" s="9"/>
      <c r="D992" s="9"/>
      <c r="E992" s="9"/>
      <c r="F992" s="9"/>
      <c r="G992" s="59"/>
      <c r="H992" s="9"/>
    </row>
    <row r="993">
      <c r="A993" s="9"/>
      <c r="B993" s="9"/>
      <c r="C993" s="9"/>
      <c r="D993" s="9"/>
      <c r="E993" s="9"/>
      <c r="F993" s="9"/>
      <c r="G993" s="59"/>
      <c r="H993" s="9"/>
    </row>
    <row r="994">
      <c r="A994" s="9"/>
      <c r="B994" s="9"/>
      <c r="C994" s="9"/>
      <c r="D994" s="9"/>
      <c r="E994" s="9"/>
      <c r="F994" s="9"/>
      <c r="G994" s="59"/>
      <c r="H994" s="9"/>
    </row>
    <row r="995">
      <c r="A995" s="9"/>
      <c r="B995" s="9"/>
      <c r="C995" s="9"/>
      <c r="D995" s="9"/>
      <c r="E995" s="9"/>
      <c r="F995" s="9"/>
      <c r="G995" s="59"/>
      <c r="H995" s="9"/>
    </row>
    <row r="996">
      <c r="A996" s="9"/>
      <c r="B996" s="9"/>
      <c r="C996" s="9"/>
      <c r="D996" s="9"/>
      <c r="E996" s="9"/>
      <c r="F996" s="9"/>
      <c r="G996" s="59"/>
      <c r="H996" s="9"/>
    </row>
    <row r="997">
      <c r="A997" s="9"/>
      <c r="B997" s="9"/>
      <c r="C997" s="9"/>
      <c r="D997" s="9"/>
      <c r="E997" s="9"/>
      <c r="F997" s="9"/>
      <c r="G997" s="59"/>
      <c r="H997" s="9"/>
    </row>
    <row r="998">
      <c r="A998" s="9"/>
      <c r="B998" s="9"/>
      <c r="C998" s="9"/>
      <c r="D998" s="9"/>
      <c r="E998" s="9"/>
      <c r="F998" s="9"/>
      <c r="G998" s="59"/>
      <c r="H998" s="9"/>
    </row>
    <row r="999">
      <c r="A999" s="9"/>
      <c r="B999" s="9"/>
      <c r="C999" s="9"/>
      <c r="D999" s="9"/>
      <c r="E999" s="9"/>
      <c r="F999" s="9"/>
      <c r="G999" s="59"/>
      <c r="H999" s="9"/>
    </row>
    <row r="1000">
      <c r="A1000" s="9"/>
      <c r="B1000" s="9"/>
      <c r="C1000" s="9"/>
      <c r="D1000" s="9"/>
      <c r="E1000" s="9"/>
      <c r="F1000" s="9"/>
      <c r="G1000" s="59"/>
      <c r="H1000" s="9"/>
    </row>
    <row r="1001">
      <c r="A1001" s="9"/>
      <c r="B1001" s="9"/>
      <c r="C1001" s="9"/>
      <c r="D1001" s="9"/>
      <c r="E1001" s="9"/>
      <c r="F1001" s="9"/>
      <c r="G1001" s="59"/>
      <c r="H1001" s="9"/>
    </row>
    <row r="1002">
      <c r="A1002" s="9"/>
      <c r="B1002" s="9"/>
      <c r="C1002" s="9"/>
      <c r="D1002" s="9"/>
      <c r="E1002" s="9"/>
      <c r="F1002" s="9"/>
      <c r="G1002" s="59"/>
      <c r="H1002" s="9"/>
    </row>
    <row r="1003">
      <c r="A1003" s="9"/>
      <c r="B1003" s="9"/>
      <c r="C1003" s="9"/>
      <c r="D1003" s="9"/>
      <c r="E1003" s="9"/>
      <c r="F1003" s="9"/>
      <c r="G1003" s="59"/>
      <c r="H1003" s="9"/>
    </row>
    <row r="1004">
      <c r="A1004" s="9"/>
      <c r="B1004" s="9"/>
      <c r="C1004" s="9"/>
      <c r="D1004" s="9"/>
      <c r="E1004" s="9"/>
      <c r="F1004" s="9"/>
      <c r="G1004" s="59"/>
      <c r="H1004" s="9"/>
    </row>
  </sheetData>
  <mergeCells count="4">
    <mergeCell ref="A1:F1"/>
    <mergeCell ref="A5:A6"/>
    <mergeCell ref="I6:R8"/>
    <mergeCell ref="J11:Q12"/>
  </mergeCells>
  <dataValidations>
    <dataValidation type="list" allowBlank="1" showErrorMessage="1" sqref="B10:B59">
      <formula1>"🕹 Lucky Draw"</formula1>
    </dataValidation>
    <dataValidation type="list" allowBlank="1" showErrorMessage="1" sqref="E10:E59">
      <formula1>"🌐 เว็บไซต์,💌 จดหมายภายในเกม,📱 ข้อความ sms,📦 จัดส่งพัสดุ"</formula1>
    </dataValidation>
    <dataValidation type="list" allowBlank="1" showErrorMessage="1" sqref="B3">
      <formula1>"⚙️ กำลังดำเนินการ,✅ จัดส่งเรียบร้อย"</formula1>
    </dataValidation>
    <dataValidation type="list" allowBlank="1" showErrorMessage="1" sqref="D3:D4">
      <formula1>"ทีมสีเหลือง,ทีมสีฟ้า,MKT,BD"</formula1>
    </dataValidation>
    <dataValidation type="list" allowBlank="1" showErrorMessage="1" sqref="F10:F59">
      <formula1>"เปิดรับยืนยันตัวตน,ปิดรับยืนยันตัวตน,⚙️ กำลังดำเนินการ,✅ จัดส่งแล้ว"</formula1>
    </dataValidation>
    <dataValidation type="list" allowBlank="1" showErrorMessage="1" sqref="L14:L17">
      <formula1>Data!E4:E1004</formula1>
    </dataValidation>
  </dataValidations>
  <hyperlinks>
    <hyperlink r:id="rId1" ref="C3"/>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29.75"/>
    <col customWidth="1" min="3" max="3" width="37.25"/>
    <col customWidth="1" min="4" max="4" width="27.5"/>
    <col customWidth="1" min="5" max="5" width="24.63"/>
    <col customWidth="1" min="6" max="6" width="27.38"/>
    <col customWidth="1" min="7" max="7" width="6.75"/>
  </cols>
  <sheetData>
    <row r="1">
      <c r="A1" s="92" t="s">
        <v>39</v>
      </c>
      <c r="G1" s="59"/>
    </row>
    <row r="2">
      <c r="A2" s="60" t="s">
        <v>46</v>
      </c>
      <c r="B2" s="93">
        <v>46183.0</v>
      </c>
      <c r="C2" s="60" t="s">
        <v>47</v>
      </c>
      <c r="D2" s="62" t="s">
        <v>48</v>
      </c>
      <c r="E2" s="63" t="s">
        <v>49</v>
      </c>
      <c r="F2" s="9"/>
      <c r="G2" s="59"/>
    </row>
    <row r="3">
      <c r="A3" s="60" t="s">
        <v>51</v>
      </c>
      <c r="B3" s="65" t="s">
        <v>27</v>
      </c>
      <c r="C3" s="113" t="s">
        <v>52</v>
      </c>
      <c r="D3" s="65" t="s">
        <v>53</v>
      </c>
      <c r="E3" s="67" t="s">
        <v>54</v>
      </c>
      <c r="F3" s="9"/>
      <c r="G3" s="59"/>
      <c r="I3" s="164" t="s">
        <v>1332</v>
      </c>
    </row>
    <row r="4">
      <c r="A4" s="105"/>
      <c r="B4" s="65"/>
      <c r="C4" s="66"/>
      <c r="D4" s="65"/>
      <c r="E4" s="67"/>
      <c r="F4" s="9"/>
      <c r="G4" s="59"/>
    </row>
    <row r="5">
      <c r="A5" s="70" t="s">
        <v>57</v>
      </c>
      <c r="B5" s="71" t="s">
        <v>58</v>
      </c>
      <c r="C5" s="72" t="s">
        <v>59</v>
      </c>
      <c r="D5" s="9"/>
      <c r="E5" s="9"/>
      <c r="F5" s="9"/>
      <c r="G5" s="59"/>
    </row>
    <row r="6">
      <c r="B6" s="71" t="s">
        <v>60</v>
      </c>
      <c r="C6" s="72" t="s">
        <v>61</v>
      </c>
      <c r="D6" s="9"/>
      <c r="E6" s="9"/>
      <c r="F6" s="9"/>
      <c r="G6" s="59"/>
    </row>
    <row r="7">
      <c r="B7" s="9"/>
      <c r="C7" s="9"/>
      <c r="D7" s="9"/>
      <c r="E7" s="9"/>
      <c r="F7" s="9"/>
      <c r="G7" s="59"/>
    </row>
    <row r="8">
      <c r="A8" s="73" t="s">
        <v>62</v>
      </c>
      <c r="B8" s="73" t="s">
        <v>63</v>
      </c>
      <c r="C8" s="73" t="s">
        <v>64</v>
      </c>
      <c r="D8" s="73" t="s">
        <v>65</v>
      </c>
      <c r="E8" s="73" t="s">
        <v>66</v>
      </c>
      <c r="F8" s="73" t="s">
        <v>51</v>
      </c>
      <c r="G8" s="59"/>
      <c r="I8" s="9"/>
      <c r="J8" s="9"/>
      <c r="K8" s="9"/>
      <c r="L8" s="9"/>
      <c r="M8" s="9"/>
      <c r="N8" s="9"/>
      <c r="O8" s="9"/>
      <c r="P8" s="9"/>
      <c r="Q8" s="9"/>
      <c r="R8" s="9"/>
    </row>
    <row r="9">
      <c r="A9" s="65">
        <v>1.0</v>
      </c>
      <c r="B9" s="151" t="s">
        <v>67</v>
      </c>
      <c r="C9" s="143" t="s">
        <v>562</v>
      </c>
      <c r="D9" s="143" t="s">
        <v>563</v>
      </c>
      <c r="E9" s="75" t="s">
        <v>68</v>
      </c>
      <c r="F9" s="117" t="s">
        <v>69</v>
      </c>
      <c r="G9" s="59"/>
      <c r="I9" s="96" t="s">
        <v>55</v>
      </c>
      <c r="J9" s="121" t="s">
        <v>71</v>
      </c>
      <c r="K9" s="121" t="s">
        <v>72</v>
      </c>
      <c r="L9" s="121" t="s">
        <v>73</v>
      </c>
      <c r="M9" s="162" t="s">
        <v>74</v>
      </c>
      <c r="N9" s="121" t="s">
        <v>75</v>
      </c>
      <c r="O9" s="121" t="s">
        <v>76</v>
      </c>
      <c r="P9" s="121" t="s">
        <v>77</v>
      </c>
      <c r="Q9" s="124" t="s">
        <v>78</v>
      </c>
      <c r="R9" s="9"/>
    </row>
    <row r="10">
      <c r="A10" s="65">
        <v>2.0</v>
      </c>
      <c r="B10" s="151" t="s">
        <v>67</v>
      </c>
      <c r="C10" s="143" t="s">
        <v>144</v>
      </c>
      <c r="D10" s="143" t="s">
        <v>145</v>
      </c>
      <c r="E10" s="75" t="s">
        <v>68</v>
      </c>
      <c r="F10" s="117" t="s">
        <v>69</v>
      </c>
      <c r="G10" s="59"/>
      <c r="I10" s="118">
        <v>1153.0</v>
      </c>
      <c r="J10" s="82" t="str">
        <f t="array" ref="J10">IFERROR(INDEX(Data!$A$4:$O969, MATCH($L10, INDEX(Data!$A$4:$O969, 0, MATCH("Item EN", Data!$A$3:$O$3, FALSE)), FALSE), MATCH("Image", Data!$A$3:$O$3, FALSE)
),"")</f>
        <v/>
      </c>
      <c r="K10" s="83">
        <f t="array" ref="K10">IFERROR(INDEX(Data!$A$4:$O969, MATCH($L10, INDEX(Data!$A$4:$O969, 0, MATCH("Item EN", Data!$A$3:$O$3, FALSE)), FALSE), MATCH("Item ID", Data!$A$3:$O$3, FALSE)
),"")</f>
        <v>101095</v>
      </c>
      <c r="L10" s="138" t="s">
        <v>1333</v>
      </c>
      <c r="M10" s="103"/>
      <c r="N10" s="83" t="str">
        <f t="array" ref="N10">IFERROR(INDEX(Data!$A$4:$O969, MATCH($L10, INDEX(Data!$A$4:$O969, 0, MATCH("Item EN", Data!$A$3:$O$3, FALSE)), FALSE), MATCH("Item Type", Data!$A$3:$O$3, FALSE)
),"")</f>
        <v>Weapon</v>
      </c>
      <c r="O10" s="102">
        <v>1.0</v>
      </c>
      <c r="P10" s="87">
        <f t="array" ref="P10">IF(O10="",,IFERROR(INDEX(Data!$A$4:$O969, MATCH($L10, INDEX(Data!$A$4:$O969, 0, MATCH("Item EN", Data!$A$3:$O$3, FALSE)), FALSE), MATCH("Price", Data!$A$3:$O$3, FALSE)
),"")*O10)</f>
        <v>10</v>
      </c>
      <c r="Q10" s="88" t="str">
        <f t="array" ref="Q10">IFERROR(INDEX(Data!$A$4:$O969, MATCH($L10, INDEX(Data!$A$4:$O969, 0, MATCH("Item EN", Data!$A$3:$O$3, FALSE)), FALSE), MATCH("Image URL", Data!$A$3:$O$3, FALSE)
),"")</f>
        <v>https://cdn.exe.in.th/marketing/WarzTH_LE/Item%20Dict/fn_m249.png</v>
      </c>
      <c r="R10" s="126">
        <v>1218.0</v>
      </c>
    </row>
    <row r="11">
      <c r="A11" s="65">
        <v>3.0</v>
      </c>
      <c r="B11" s="151" t="s">
        <v>67</v>
      </c>
      <c r="C11" s="143" t="s">
        <v>1334</v>
      </c>
      <c r="D11" s="143" t="s">
        <v>1335</v>
      </c>
      <c r="E11" s="75" t="s">
        <v>68</v>
      </c>
      <c r="F11" s="117" t="s">
        <v>69</v>
      </c>
      <c r="G11" s="59"/>
      <c r="I11" s="120" t="s">
        <v>114</v>
      </c>
      <c r="J11" s="82" t="str">
        <f t="array" ref="J11">IFERROR(INDEX(Data!$A$4:$O969, MATCH($L11, INDEX(Data!$A$4:$O969, 0, MATCH("Item EN", Data!$A$3:$O$3, FALSE)), FALSE), MATCH("Image", Data!$A$3:$O$3, FALSE)
),"")</f>
        <v/>
      </c>
      <c r="K11" s="83">
        <f t="array" ref="K11">IFERROR(INDEX(Data!$A$4:$O969, MATCH($L11, INDEX(Data!$A$4:$O969, 0, MATCH("Item EN", Data!$A$3:$O$3, FALSE)), FALSE), MATCH("Item ID", Data!$A$3:$O$3, FALSE)
),"")</f>
        <v>20054</v>
      </c>
      <c r="L11" s="138" t="s">
        <v>575</v>
      </c>
      <c r="M11" s="103"/>
      <c r="N11" s="83" t="str">
        <f t="array" ref="N11">IFERROR(INDEX(Data!$A$4:$O969, MATCH($L11, INDEX(Data!$A$4:$O969, 0, MATCH("Item EN", Data!$A$3:$O$3, FALSE)), FALSE), MATCH("Item Type", Data!$A$3:$O$3, FALSE)
),"")</f>
        <v>Equipment</v>
      </c>
      <c r="O11" s="102">
        <v>1.0</v>
      </c>
      <c r="P11" s="87">
        <f t="array" ref="P11">IF(O11="",,IFERROR(INDEX(Data!$A$4:$O969, MATCH($L11, INDEX(Data!$A$4:$O969, 0, MATCH("Item EN", Data!$A$3:$O$3, FALSE)), FALSE), MATCH("Price", Data!$A$3:$O$3, FALSE)
),"")*O11)</f>
        <v>1.5</v>
      </c>
      <c r="Q11" s="88" t="str">
        <f t="array" ref="Q11">IFERROR(INDEX(Data!$A$4:$O969, MATCH($L11, INDEX(Data!$A$4:$O969, 0, MATCH("Item EN", Data!$A$3:$O$3, FALSE)), FALSE), MATCH("Image URL", Data!$A$3:$O$3, FALSE)
),"")</f>
        <v>https://cdn.exe.in.th/marketing/WarzTH_LE/Item%20Dict/iba_sand.png</v>
      </c>
      <c r="R11" s="126">
        <v>1182.0</v>
      </c>
    </row>
    <row r="12">
      <c r="A12" s="65">
        <v>4.0</v>
      </c>
      <c r="B12" s="151" t="s">
        <v>67</v>
      </c>
      <c r="C12" s="143" t="s">
        <v>539</v>
      </c>
      <c r="D12" s="143" t="s">
        <v>1336</v>
      </c>
      <c r="E12" s="75" t="s">
        <v>68</v>
      </c>
      <c r="F12" s="117" t="s">
        <v>69</v>
      </c>
      <c r="G12" s="59"/>
      <c r="I12" s="114" t="s">
        <v>108</v>
      </c>
      <c r="J12" s="82" t="str">
        <f t="array" ref="J12">IFERROR(INDEX(Data!$A$4:$O969, MATCH($L12, INDEX(Data!$A$4:$O969, 0, MATCH("Item EN", Data!$A$3:$O$3, FALSE)), FALSE), MATCH("Image", Data!$A$3:$O$3, FALSE)
),"")</f>
        <v/>
      </c>
      <c r="K12" s="83">
        <f t="array" ref="K12">IFERROR(INDEX(Data!$A$4:$O969, MATCH($L12, INDEX(Data!$A$4:$O969, 0, MATCH("Item EN", Data!$A$3:$O$3, FALSE)), FALSE), MATCH("Item ID", Data!$A$3:$O$3, FALSE)
),"")</f>
        <v>20006</v>
      </c>
      <c r="L12" s="138" t="s">
        <v>578</v>
      </c>
      <c r="M12" s="103"/>
      <c r="N12" s="83" t="str">
        <f t="array" ref="N12">IFERROR(INDEX(Data!$A$4:$O969, MATCH($L12, INDEX(Data!$A$4:$O969, 0, MATCH("Item EN", Data!$A$3:$O$3, FALSE)), FALSE), MATCH("Item Type", Data!$A$3:$O$3, FALSE)
),"")</f>
        <v>Equipment</v>
      </c>
      <c r="O12" s="102">
        <v>1.0</v>
      </c>
      <c r="P12" s="87">
        <f t="array" ref="P12">IF(O12="",,IFERROR(INDEX(Data!$A$4:$O969, MATCH($L12, INDEX(Data!$A$4:$O969, 0, MATCH("Item EN", Data!$A$3:$O$3, FALSE)), FALSE), MATCH("Price", Data!$A$3:$O$3, FALSE)
),"")*O12)</f>
        <v>1.5</v>
      </c>
      <c r="Q12" s="88" t="str">
        <f t="array" ref="Q12">IFERROR(INDEX(Data!$A$4:$O969, MATCH($L12, INDEX(Data!$A$4:$O969, 0, MATCH("Item EN", Data!$A$3:$O$3, FALSE)), FALSE), MATCH("Image URL", Data!$A$3:$O$3, FALSE)
),"")</f>
        <v>https://cdn.exe.in.th/marketing/WarzTH_LE/Item%20Dict/k._style_helmet.png</v>
      </c>
      <c r="R12" s="126">
        <v>1210.0</v>
      </c>
    </row>
    <row r="13">
      <c r="A13" s="65">
        <v>5.0</v>
      </c>
      <c r="B13" s="151" t="s">
        <v>67</v>
      </c>
      <c r="C13" s="143" t="s">
        <v>1337</v>
      </c>
      <c r="D13" s="143" t="s">
        <v>1338</v>
      </c>
      <c r="E13" s="75" t="s">
        <v>68</v>
      </c>
      <c r="F13" s="117" t="s">
        <v>69</v>
      </c>
      <c r="G13" s="59"/>
      <c r="I13" s="9"/>
      <c r="J13" s="82" t="str">
        <f t="array" ref="J13">IFERROR(INDEX(Data!$A$4:$O969, MATCH($L13, INDEX(Data!$A$4:$O969, 0, MATCH("Item EN", Data!$A$3:$O$3, FALSE)), FALSE), MATCH("Image", Data!$A$3:$O$3, FALSE)
),"")</f>
        <v/>
      </c>
      <c r="K13" s="83">
        <f t="array" ref="K13">IFERROR(INDEX(Data!$A$4:$O969, MATCH($L13, INDEX(Data!$A$4:$O969, 0, MATCH("Item EN", Data!$A$3:$O$3, FALSE)), FALSE), MATCH("Item ID", Data!$A$3:$O$3, FALSE)
),"")</f>
        <v>20179</v>
      </c>
      <c r="L13" s="138" t="s">
        <v>86</v>
      </c>
      <c r="M13" s="103"/>
      <c r="N13" s="83" t="str">
        <f t="array" ref="N13">IFERROR(INDEX(Data!$A$4:$O969, MATCH($L13, INDEX(Data!$A$4:$O969, 0, MATCH("Item EN", Data!$A$3:$O$3, FALSE)), FALSE), MATCH("Item Type", Data!$A$3:$O$3, FALSE)
),"")</f>
        <v>Equipment</v>
      </c>
      <c r="O13" s="102">
        <v>1.0</v>
      </c>
      <c r="P13" s="87">
        <f t="array" ref="P13">IF(O13="",,IFERROR(INDEX(Data!$A$4:$O969, MATCH($L13, INDEX(Data!$A$4:$O969, 0, MATCH("Item EN", Data!$A$3:$O$3, FALSE)), FALSE), MATCH("Price", Data!$A$3:$O$3, FALSE)
),"")*O13)</f>
        <v>2</v>
      </c>
      <c r="Q13" s="88" t="str">
        <f t="array" ref="Q13">IFERROR(INDEX(Data!$A$4:$O969, MATCH($L13, INDEX(Data!$A$4:$O969, 0, MATCH("Item EN", Data!$A$3:$O$3, FALSE)), FALSE), MATCH("Image URL", Data!$A$3:$O$3, FALSE)
),"")</f>
        <v>https://cdn.exe.in.th/marketing/WarzTH_LE/Item%20Dict/large_backpack.png</v>
      </c>
      <c r="R13" s="126">
        <v>1180.0</v>
      </c>
    </row>
    <row r="14">
      <c r="A14" s="65">
        <v>6.0</v>
      </c>
      <c r="B14" s="151" t="s">
        <v>67</v>
      </c>
      <c r="C14" s="143" t="s">
        <v>1339</v>
      </c>
      <c r="D14" s="143" t="s">
        <v>1340</v>
      </c>
      <c r="E14" s="75" t="s">
        <v>68</v>
      </c>
      <c r="F14" s="117" t="s">
        <v>69</v>
      </c>
      <c r="G14" s="59"/>
      <c r="I14" s="9"/>
      <c r="J14" s="82" t="str">
        <f t="array" ref="J14">IFERROR(INDEX(Data!$A$4:$O969, MATCH($L14, INDEX(Data!$A$4:$O969, 0, MATCH("Item EN", Data!$A$3:$O$3, FALSE)), FALSE), MATCH("Image", Data!$A$3:$O$3, FALSE)
),"")</f>
        <v/>
      </c>
      <c r="K14" s="83">
        <f t="array" ref="K14">IFERROR(INDEX(Data!$A$4:$O969, MATCH($L14, INDEX(Data!$A$4:$O969, 0, MATCH("Item EN", Data!$A$3:$O$3, FALSE)), FALSE), MATCH("Item ID", Data!$A$3:$O$3, FALSE)
),"")</f>
        <v>101300</v>
      </c>
      <c r="L14" s="138" t="s">
        <v>552</v>
      </c>
      <c r="M14" s="103"/>
      <c r="N14" s="83" t="str">
        <f t="array" ref="N14">IFERROR(INDEX(Data!$A$4:$O969, MATCH($L14, INDEX(Data!$A$4:$O969, 0, MATCH("Item EN", Data!$A$3:$O$3, FALSE)), FALSE), MATCH("Item Type", Data!$A$3:$O$3, FALSE)
),"")</f>
        <v>Consumable</v>
      </c>
      <c r="O14" s="102">
        <v>5.0</v>
      </c>
      <c r="P14" s="87">
        <f t="array" ref="P14">IF(O14="",,IFERROR(INDEX(Data!$A$4:$O969, MATCH($L14, INDEX(Data!$A$4:$O969, 0, MATCH("Item EN", Data!$A$3:$O$3, FALSE)), FALSE), MATCH("Price", Data!$A$3:$O$3, FALSE)
),"")*O14)</f>
        <v>2.5</v>
      </c>
      <c r="Q14" s="88" t="str">
        <f t="array" ref="Q14">IFERROR(INDEX(Data!$A$4:$O969, MATCH($L14, INDEX(Data!$A$4:$O969, 0, MATCH("Item EN", Data!$A$3:$O$3, FALSE)), FALSE), MATCH("Image URL", Data!$A$3:$O$3, FALSE)
),"")</f>
        <v>https://cdn.exe.in.th/marketing/WarzTH_LE/Item%20Dict/pain_killers.png</v>
      </c>
      <c r="R14" s="126">
        <v>1185.0</v>
      </c>
    </row>
    <row r="15">
      <c r="A15" s="65">
        <v>7.0</v>
      </c>
      <c r="B15" s="151" t="s">
        <v>67</v>
      </c>
      <c r="C15" s="143" t="s">
        <v>221</v>
      </c>
      <c r="D15" s="143" t="s">
        <v>222</v>
      </c>
      <c r="E15" s="75" t="s">
        <v>68</v>
      </c>
      <c r="F15" s="117" t="s">
        <v>69</v>
      </c>
      <c r="G15" s="59"/>
      <c r="I15" s="9"/>
      <c r="J15" s="82" t="str">
        <f t="array" ref="J15">IFERROR(INDEX(Data!$A$4:$O969, MATCH($L15, INDEX(Data!$A$4:$O969, 0, MATCH("Item EN", Data!$A$3:$O$3, FALSE)), FALSE), MATCH("Image", Data!$A$3:$O$3, FALSE)
),"")</f>
        <v/>
      </c>
      <c r="K15" s="83">
        <f t="array" ref="K15">IFERROR(INDEX(Data!$A$4:$O969, MATCH($L15, INDEX(Data!$A$4:$O969, 0, MATCH("Item EN", Data!$A$3:$O$3, FALSE)), FALSE), MATCH("Item ID", Data!$A$3:$O$3, FALSE)
),"")</f>
        <v>101256</v>
      </c>
      <c r="L15" s="138" t="s">
        <v>87</v>
      </c>
      <c r="M15" s="103"/>
      <c r="N15" s="83" t="str">
        <f t="array" ref="N15">IFERROR(INDEX(Data!$A$4:$O969, MATCH($L15, INDEX(Data!$A$4:$O969, 0, MATCH("Item EN", Data!$A$3:$O$3, FALSE)), FALSE), MATCH("Item Type", Data!$A$3:$O$3, FALSE)
),"")</f>
        <v>Consumable</v>
      </c>
      <c r="O15" s="102">
        <v>3.0</v>
      </c>
      <c r="P15" s="87">
        <f t="array" ref="P15">IF(O15="",,IFERROR(INDEX(Data!$A$4:$O969, MATCH($L15, INDEX(Data!$A$4:$O969, 0, MATCH("Item EN", Data!$A$3:$O$3, FALSE)), FALSE), MATCH("Price", Data!$A$3:$O$3, FALSE)
),"")*O15)</f>
        <v>1.5</v>
      </c>
      <c r="Q15" s="88" t="str">
        <f t="array" ref="Q15">IFERROR(INDEX(Data!$A$4:$O969, MATCH($L15, INDEX(Data!$A$4:$O969, 0, MATCH("Item EN", Data!$A$3:$O$3, FALSE)), FALSE), MATCH("Image URL", Data!$A$3:$O$3, FALSE)
),"")</f>
        <v>https://cdn.exe.in.th/marketing/WarzTH_LE/Item%20Dict/anitibiotics.png</v>
      </c>
      <c r="R15" s="126">
        <v>1184.0</v>
      </c>
    </row>
    <row r="16">
      <c r="A16" s="65">
        <v>8.0</v>
      </c>
      <c r="B16" s="151" t="s">
        <v>67</v>
      </c>
      <c r="C16" s="143" t="s">
        <v>1341</v>
      </c>
      <c r="D16" s="143" t="s">
        <v>1342</v>
      </c>
      <c r="E16" s="75" t="s">
        <v>68</v>
      </c>
      <c r="F16" s="117" t="s">
        <v>69</v>
      </c>
      <c r="G16" s="59"/>
      <c r="H16" s="9"/>
      <c r="I16" s="9"/>
      <c r="J16" s="82" t="str">
        <f t="array" ref="J16">IFERROR(INDEX(Data!$A$4:$O969, MATCH($L16, INDEX(Data!$A$4:$O969, 0, MATCH("Item EN", Data!$A$3:$O$3, FALSE)), FALSE), MATCH("Image", Data!$A$3:$O$3, FALSE)
),"")</f>
        <v/>
      </c>
      <c r="K16" s="83">
        <f t="array" ref="K16">IFERROR(INDEX(Data!$A$4:$O969, MATCH($L16, INDEX(Data!$A$4:$O969, 0, MATCH("Item EN", Data!$A$3:$O$3, FALSE)), FALSE), MATCH("Item ID", Data!$A$3:$O$3, FALSE)
),"")</f>
        <v>101284</v>
      </c>
      <c r="L16" s="138" t="s">
        <v>88</v>
      </c>
      <c r="M16" s="103"/>
      <c r="N16" s="83" t="str">
        <f t="array" ref="N16">IFERROR(INDEX(Data!$A$4:$O969, MATCH($L16, INDEX(Data!$A$4:$O969, 0, MATCH("Item EN", Data!$A$3:$O$3, FALSE)), FALSE), MATCH("Item Type", Data!$A$3:$O$3, FALSE)
),"")</f>
        <v>Consumable</v>
      </c>
      <c r="O16" s="102">
        <v>2.0</v>
      </c>
      <c r="P16" s="87">
        <f t="array" ref="P16">IF(O16="",,IFERROR(INDEX(Data!$A$4:$O969, MATCH($L16, INDEX(Data!$A$4:$O969, 0, MATCH("Item EN", Data!$A$3:$O$3, FALSE)), FALSE), MATCH("Price", Data!$A$3:$O$3, FALSE)
),"")*O16)</f>
        <v>2</v>
      </c>
      <c r="Q16" s="88" t="str">
        <f t="array" ref="Q16">IFERROR(INDEX(Data!$A$4:$O969, MATCH($L16, INDEX(Data!$A$4:$O969, 0, MATCH("Item EN", Data!$A$3:$O$3, FALSE)), FALSE), MATCH("Image URL", Data!$A$3:$O$3, FALSE)
),"")</f>
        <v>https://cdn.exe.in.th/marketing/WarzTH_LE/Item%20Dict/mre.png</v>
      </c>
      <c r="R16" s="126">
        <v>1187.0</v>
      </c>
    </row>
    <row r="17">
      <c r="A17" s="65">
        <v>9.0</v>
      </c>
      <c r="B17" s="151" t="s">
        <v>67</v>
      </c>
      <c r="C17" s="143" t="s">
        <v>1343</v>
      </c>
      <c r="D17" s="143" t="s">
        <v>1344</v>
      </c>
      <c r="E17" s="75" t="s">
        <v>68</v>
      </c>
      <c r="F17" s="117" t="s">
        <v>69</v>
      </c>
      <c r="G17" s="59"/>
      <c r="H17" s="9"/>
      <c r="I17" s="9"/>
      <c r="J17" s="82" t="str">
        <f t="array" ref="J17">IFERROR(INDEX(Data!$A$4:$O969, MATCH($L17, INDEX(Data!$A$4:$O969, 0, MATCH("Item EN", Data!$A$3:$O$3, FALSE)), FALSE), MATCH("Image", Data!$A$3:$O$3, FALSE)
),"")</f>
        <v/>
      </c>
      <c r="K17" s="83">
        <f t="array" ref="K17">IFERROR(INDEX(Data!$A$4:$O969, MATCH($L17, INDEX(Data!$A$4:$O969, 0, MATCH("Item EN", Data!$A$3:$O$3, FALSE)), FALSE), MATCH("Item ID", Data!$A$3:$O$3, FALSE)
),"")</f>
        <v>101295</v>
      </c>
      <c r="L17" s="138" t="s">
        <v>89</v>
      </c>
      <c r="M17" s="103"/>
      <c r="N17" s="83" t="str">
        <f t="array" ref="N17">IFERROR(INDEX(Data!$A$4:$O969, MATCH($L17, INDEX(Data!$A$4:$O969, 0, MATCH("Item EN", Data!$A$3:$O$3, FALSE)), FALSE), MATCH("Item Type", Data!$A$3:$O$3, FALSE)
),"")</f>
        <v>Consumable</v>
      </c>
      <c r="O17" s="102">
        <v>2.0</v>
      </c>
      <c r="P17" s="87">
        <f t="array" ref="P17">IF(O17="",,IFERROR(INDEX(Data!$A$4:$O969, MATCH($L17, INDEX(Data!$A$4:$O969, 0, MATCH("Item EN", Data!$A$3:$O$3, FALSE)), FALSE), MATCH("Price", Data!$A$3:$O$3, FALSE)
),"")*O17)</f>
        <v>5</v>
      </c>
      <c r="Q17" s="88" t="str">
        <f t="array" ref="Q17">IFERROR(INDEX(Data!$A$4:$O969, MATCH($L17, INDEX(Data!$A$4:$O969, 0, MATCH("Item EN", Data!$A$3:$O$3, FALSE)), FALSE), MATCH("Image URL", Data!$A$3:$O$3, FALSE)
),"")</f>
        <v>https://cdn.exe.in.th/marketing/WarzTH_LE/Item%20Dict/electro_aid.png</v>
      </c>
      <c r="R17" s="126">
        <v>1188.0</v>
      </c>
    </row>
    <row r="18">
      <c r="A18" s="65">
        <v>10.0</v>
      </c>
      <c r="B18" s="151" t="s">
        <v>67</v>
      </c>
      <c r="C18" s="143" t="s">
        <v>1345</v>
      </c>
      <c r="D18" s="143" t="s">
        <v>1346</v>
      </c>
      <c r="E18" s="75" t="s">
        <v>68</v>
      </c>
      <c r="F18" s="117" t="s">
        <v>69</v>
      </c>
      <c r="G18" s="59"/>
      <c r="H18" s="9"/>
    </row>
    <row r="19">
      <c r="A19" s="65">
        <v>11.0</v>
      </c>
      <c r="B19" s="151" t="s">
        <v>67</v>
      </c>
      <c r="C19" s="143" t="s">
        <v>1347</v>
      </c>
      <c r="D19" s="143" t="s">
        <v>1348</v>
      </c>
      <c r="E19" s="75" t="s">
        <v>68</v>
      </c>
      <c r="F19" s="117" t="s">
        <v>69</v>
      </c>
      <c r="G19" s="59"/>
      <c r="H19" s="9"/>
    </row>
    <row r="20">
      <c r="A20" s="65">
        <v>12.0</v>
      </c>
      <c r="B20" s="151" t="s">
        <v>67</v>
      </c>
      <c r="C20" s="143" t="s">
        <v>615</v>
      </c>
      <c r="D20" s="143" t="s">
        <v>616</v>
      </c>
      <c r="E20" s="75" t="s">
        <v>68</v>
      </c>
      <c r="F20" s="117" t="s">
        <v>69</v>
      </c>
      <c r="G20" s="59"/>
      <c r="H20" s="9"/>
    </row>
    <row r="21">
      <c r="A21" s="65">
        <v>13.0</v>
      </c>
      <c r="B21" s="151" t="s">
        <v>67</v>
      </c>
      <c r="C21" s="143" t="s">
        <v>1349</v>
      </c>
      <c r="D21" s="143" t="s">
        <v>1350</v>
      </c>
      <c r="E21" s="75" t="s">
        <v>68</v>
      </c>
      <c r="F21" s="117" t="s">
        <v>69</v>
      </c>
      <c r="G21" s="59"/>
      <c r="H21" s="9"/>
    </row>
    <row r="22">
      <c r="A22" s="65">
        <v>14.0</v>
      </c>
      <c r="B22" s="151" t="s">
        <v>67</v>
      </c>
      <c r="C22" s="143" t="s">
        <v>1008</v>
      </c>
      <c r="D22" s="143" t="s">
        <v>1009</v>
      </c>
      <c r="E22" s="75" t="s">
        <v>68</v>
      </c>
      <c r="F22" s="117" t="s">
        <v>69</v>
      </c>
      <c r="G22" s="59"/>
      <c r="H22" s="9"/>
    </row>
    <row r="23">
      <c r="A23" s="65">
        <v>15.0</v>
      </c>
      <c r="B23" s="151" t="s">
        <v>67</v>
      </c>
      <c r="C23" s="143" t="s">
        <v>1351</v>
      </c>
      <c r="D23" s="143" t="s">
        <v>1352</v>
      </c>
      <c r="E23" s="75" t="s">
        <v>68</v>
      </c>
      <c r="F23" s="117" t="s">
        <v>69</v>
      </c>
      <c r="G23" s="59"/>
      <c r="H23" s="9"/>
    </row>
    <row r="24">
      <c r="A24" s="127">
        <v>16.0</v>
      </c>
      <c r="B24" s="152" t="s">
        <v>67</v>
      </c>
      <c r="C24" s="150" t="s">
        <v>1353</v>
      </c>
      <c r="D24" s="150" t="s">
        <v>1354</v>
      </c>
      <c r="E24" s="130" t="s">
        <v>68</v>
      </c>
      <c r="F24" s="131" t="s">
        <v>27</v>
      </c>
      <c r="G24" s="132"/>
      <c r="H24" s="133" t="s">
        <v>291</v>
      </c>
    </row>
    <row r="25">
      <c r="A25" s="65">
        <v>17.0</v>
      </c>
      <c r="B25" s="151" t="s">
        <v>67</v>
      </c>
      <c r="C25" s="143" t="s">
        <v>332</v>
      </c>
      <c r="D25" s="143" t="s">
        <v>333</v>
      </c>
      <c r="E25" s="75" t="s">
        <v>68</v>
      </c>
      <c r="F25" s="117" t="s">
        <v>69</v>
      </c>
      <c r="G25" s="59"/>
      <c r="H25" s="9"/>
    </row>
    <row r="26">
      <c r="A26" s="65">
        <v>18.0</v>
      </c>
      <c r="B26" s="151" t="s">
        <v>67</v>
      </c>
      <c r="C26" s="143" t="s">
        <v>1355</v>
      </c>
      <c r="D26" s="143" t="s">
        <v>1356</v>
      </c>
      <c r="E26" s="75" t="s">
        <v>68</v>
      </c>
      <c r="F26" s="117" t="s">
        <v>69</v>
      </c>
      <c r="G26" s="59"/>
      <c r="H26" s="9"/>
    </row>
    <row r="27">
      <c r="A27" s="65">
        <v>19.0</v>
      </c>
      <c r="B27" s="151" t="s">
        <v>67</v>
      </c>
      <c r="C27" s="143" t="s">
        <v>277</v>
      </c>
      <c r="D27" s="143" t="s">
        <v>278</v>
      </c>
      <c r="E27" s="75" t="s">
        <v>68</v>
      </c>
      <c r="F27" s="117" t="s">
        <v>69</v>
      </c>
      <c r="G27" s="59"/>
      <c r="H27" s="9"/>
    </row>
    <row r="28">
      <c r="A28" s="65">
        <v>20.0</v>
      </c>
      <c r="B28" s="151" t="s">
        <v>67</v>
      </c>
      <c r="C28" s="143" t="s">
        <v>1357</v>
      </c>
      <c r="D28" s="143" t="s">
        <v>1358</v>
      </c>
      <c r="E28" s="75" t="s">
        <v>68</v>
      </c>
      <c r="F28" s="117" t="s">
        <v>69</v>
      </c>
      <c r="G28" s="59"/>
      <c r="H28" s="9"/>
    </row>
    <row r="29">
      <c r="A29" s="65">
        <v>21.0</v>
      </c>
      <c r="B29" s="151" t="s">
        <v>67</v>
      </c>
      <c r="C29" s="143" t="s">
        <v>1359</v>
      </c>
      <c r="D29" s="143" t="s">
        <v>1360</v>
      </c>
      <c r="E29" s="75" t="s">
        <v>68</v>
      </c>
      <c r="F29" s="117" t="s">
        <v>69</v>
      </c>
      <c r="G29" s="59"/>
      <c r="H29" s="9"/>
    </row>
    <row r="30">
      <c r="A30" s="65">
        <v>22.0</v>
      </c>
      <c r="B30" s="151" t="s">
        <v>67</v>
      </c>
      <c r="C30" s="143" t="s">
        <v>1361</v>
      </c>
      <c r="D30" s="143" t="s">
        <v>1362</v>
      </c>
      <c r="E30" s="75" t="s">
        <v>68</v>
      </c>
      <c r="F30" s="117" t="s">
        <v>69</v>
      </c>
      <c r="G30" s="59"/>
      <c r="H30" s="9"/>
    </row>
    <row r="31">
      <c r="A31" s="65">
        <v>23.0</v>
      </c>
      <c r="B31" s="151" t="s">
        <v>67</v>
      </c>
      <c r="C31" s="143" t="s">
        <v>1363</v>
      </c>
      <c r="D31" s="143" t="s">
        <v>1364</v>
      </c>
      <c r="E31" s="75" t="s">
        <v>68</v>
      </c>
      <c r="F31" s="117" t="s">
        <v>69</v>
      </c>
      <c r="G31" s="59"/>
      <c r="H31" s="9"/>
    </row>
    <row r="32">
      <c r="A32" s="65">
        <v>24.0</v>
      </c>
      <c r="B32" s="151" t="s">
        <v>67</v>
      </c>
      <c r="C32" s="143" t="s">
        <v>1105</v>
      </c>
      <c r="D32" s="143" t="s">
        <v>1106</v>
      </c>
      <c r="E32" s="75" t="s">
        <v>68</v>
      </c>
      <c r="F32" s="117" t="s">
        <v>69</v>
      </c>
      <c r="G32" s="59"/>
      <c r="H32" s="9"/>
    </row>
    <row r="33">
      <c r="A33" s="65">
        <v>25.0</v>
      </c>
      <c r="B33" s="155" t="s">
        <v>1365</v>
      </c>
      <c r="C33" s="156" t="s">
        <v>1366</v>
      </c>
      <c r="D33" s="158" t="s">
        <v>1367</v>
      </c>
      <c r="E33" s="157"/>
      <c r="F33" s="165" t="s">
        <v>1193</v>
      </c>
      <c r="G33" s="59"/>
      <c r="H33" s="9"/>
    </row>
    <row r="34">
      <c r="A34" s="65">
        <v>26.0</v>
      </c>
      <c r="B34" s="155" t="s">
        <v>1365</v>
      </c>
      <c r="C34" s="156" t="s">
        <v>1368</v>
      </c>
      <c r="D34" s="158" t="s">
        <v>1369</v>
      </c>
      <c r="E34" s="157"/>
      <c r="F34" s="165" t="s">
        <v>1193</v>
      </c>
      <c r="G34" s="59"/>
      <c r="H34" s="9"/>
    </row>
    <row r="35">
      <c r="A35" s="65">
        <v>27.0</v>
      </c>
      <c r="B35" s="155" t="s">
        <v>1365</v>
      </c>
      <c r="C35" s="156" t="s">
        <v>1270</v>
      </c>
      <c r="D35" s="158" t="s">
        <v>1370</v>
      </c>
      <c r="E35" s="157"/>
      <c r="F35" s="165" t="s">
        <v>1193</v>
      </c>
      <c r="G35" s="59"/>
      <c r="H35" s="9"/>
    </row>
    <row r="36">
      <c r="A36" s="9"/>
      <c r="B36" s="9"/>
      <c r="C36" s="9"/>
      <c r="D36" s="9"/>
      <c r="E36" s="9"/>
      <c r="F36" s="9"/>
      <c r="G36" s="59"/>
      <c r="H36" s="9"/>
    </row>
    <row r="37">
      <c r="A37" s="9"/>
      <c r="B37" s="9"/>
      <c r="C37" s="9"/>
      <c r="D37" s="9"/>
      <c r="E37" s="9"/>
      <c r="F37" s="9"/>
      <c r="G37" s="59"/>
      <c r="H37" s="9"/>
    </row>
    <row r="38">
      <c r="A38" s="9"/>
      <c r="B38" s="9"/>
      <c r="C38" s="9"/>
      <c r="D38" s="9"/>
      <c r="E38" s="9"/>
      <c r="F38" s="9"/>
      <c r="G38" s="59"/>
      <c r="H38" s="9"/>
    </row>
    <row r="39">
      <c r="A39" s="9"/>
      <c r="B39" s="9"/>
      <c r="C39" s="9"/>
      <c r="D39" s="9"/>
      <c r="E39" s="9"/>
      <c r="F39" s="9"/>
      <c r="G39" s="59"/>
      <c r="H39" s="9"/>
    </row>
    <row r="40">
      <c r="A40" s="9"/>
      <c r="B40" s="9"/>
      <c r="C40" s="9"/>
      <c r="D40" s="9"/>
      <c r="E40" s="9"/>
      <c r="F40" s="9"/>
      <c r="G40" s="59"/>
      <c r="H40" s="9"/>
    </row>
    <row r="41">
      <c r="A41" s="9"/>
      <c r="B41" s="9"/>
      <c r="C41" s="9"/>
      <c r="D41" s="9"/>
      <c r="E41" s="9"/>
      <c r="F41" s="9"/>
      <c r="G41" s="59"/>
      <c r="H41" s="9"/>
    </row>
    <row r="42">
      <c r="A42" s="9"/>
      <c r="B42" s="9"/>
      <c r="C42" s="9"/>
      <c r="D42" s="9"/>
      <c r="E42" s="9"/>
      <c r="F42" s="9"/>
      <c r="G42" s="59"/>
      <c r="H42" s="9"/>
    </row>
    <row r="43">
      <c r="A43" s="9"/>
      <c r="B43" s="9"/>
      <c r="C43" s="9"/>
      <c r="D43" s="9"/>
      <c r="E43" s="9"/>
      <c r="F43" s="9"/>
      <c r="G43" s="59"/>
      <c r="H43" s="9"/>
    </row>
    <row r="44">
      <c r="A44" s="9"/>
      <c r="B44" s="9"/>
      <c r="C44" s="9"/>
      <c r="D44" s="9"/>
      <c r="E44" s="9"/>
      <c r="F44" s="9"/>
      <c r="G44" s="59"/>
      <c r="H44" s="9"/>
    </row>
    <row r="45">
      <c r="A45" s="9"/>
      <c r="B45" s="9"/>
      <c r="C45" s="9"/>
      <c r="D45" s="9"/>
      <c r="E45" s="9"/>
      <c r="F45" s="9"/>
      <c r="G45" s="59"/>
      <c r="H45" s="9"/>
    </row>
    <row r="46">
      <c r="A46" s="9"/>
      <c r="B46" s="9"/>
      <c r="C46" s="9"/>
      <c r="D46" s="9"/>
      <c r="E46" s="9"/>
      <c r="F46" s="9"/>
      <c r="G46" s="59"/>
      <c r="H46" s="9"/>
    </row>
    <row r="47">
      <c r="A47" s="9"/>
      <c r="B47" s="9"/>
      <c r="C47" s="9"/>
      <c r="D47" s="9"/>
      <c r="E47" s="9"/>
      <c r="F47" s="9"/>
      <c r="G47" s="59"/>
      <c r="H47" s="9"/>
    </row>
    <row r="48">
      <c r="A48" s="9"/>
      <c r="B48" s="9"/>
      <c r="C48" s="9"/>
      <c r="D48" s="9"/>
      <c r="E48" s="9"/>
      <c r="F48" s="9"/>
      <c r="G48" s="59"/>
      <c r="H48" s="9"/>
    </row>
    <row r="49">
      <c r="A49" s="9"/>
      <c r="B49" s="9"/>
      <c r="C49" s="9"/>
      <c r="D49" s="9"/>
      <c r="E49" s="9"/>
      <c r="F49" s="9"/>
      <c r="G49" s="59"/>
      <c r="H49" s="9"/>
    </row>
    <row r="50">
      <c r="A50" s="9"/>
      <c r="B50" s="9"/>
      <c r="C50" s="9"/>
      <c r="D50" s="9"/>
      <c r="E50" s="9"/>
      <c r="F50" s="9"/>
      <c r="G50" s="59"/>
      <c r="H50" s="9"/>
    </row>
    <row r="51">
      <c r="A51" s="9"/>
      <c r="B51" s="9"/>
      <c r="C51" s="9"/>
      <c r="D51" s="9"/>
      <c r="E51" s="9"/>
      <c r="F51" s="9"/>
      <c r="G51" s="59"/>
      <c r="H51" s="9"/>
    </row>
    <row r="52">
      <c r="A52" s="9"/>
      <c r="B52" s="9"/>
      <c r="C52" s="9"/>
      <c r="D52" s="9"/>
      <c r="E52" s="9"/>
      <c r="F52" s="9"/>
      <c r="G52" s="59"/>
      <c r="H52" s="9"/>
    </row>
    <row r="53">
      <c r="A53" s="9"/>
      <c r="B53" s="9"/>
      <c r="C53" s="9"/>
      <c r="D53" s="9"/>
      <c r="E53" s="9"/>
      <c r="F53" s="9"/>
      <c r="G53" s="59"/>
      <c r="H53" s="9"/>
    </row>
    <row r="54">
      <c r="A54" s="9"/>
      <c r="B54" s="9"/>
      <c r="C54" s="9"/>
      <c r="D54" s="9"/>
      <c r="E54" s="9"/>
      <c r="F54" s="9"/>
      <c r="G54" s="59"/>
      <c r="H54" s="9"/>
    </row>
    <row r="55">
      <c r="A55" s="9"/>
      <c r="B55" s="9"/>
      <c r="C55" s="9"/>
      <c r="D55" s="9"/>
      <c r="E55" s="9"/>
      <c r="F55" s="9"/>
      <c r="G55" s="59"/>
      <c r="H55" s="9"/>
    </row>
    <row r="56">
      <c r="A56" s="9"/>
      <c r="B56" s="9"/>
      <c r="C56" s="9"/>
      <c r="D56" s="9"/>
      <c r="E56" s="9"/>
      <c r="F56" s="9"/>
      <c r="G56" s="59"/>
      <c r="H56" s="9"/>
    </row>
    <row r="57">
      <c r="A57" s="9"/>
      <c r="B57" s="9"/>
      <c r="C57" s="9"/>
      <c r="D57" s="9"/>
      <c r="E57" s="9"/>
      <c r="F57" s="9"/>
      <c r="G57" s="59"/>
      <c r="H57" s="9"/>
    </row>
    <row r="58">
      <c r="A58" s="9"/>
      <c r="B58" s="9"/>
      <c r="C58" s="9"/>
      <c r="D58" s="9"/>
      <c r="E58" s="9"/>
      <c r="F58" s="9"/>
      <c r="G58" s="59"/>
      <c r="H58" s="9"/>
    </row>
    <row r="59">
      <c r="A59" s="9"/>
      <c r="B59" s="9"/>
      <c r="C59" s="9"/>
      <c r="D59" s="9"/>
      <c r="E59" s="9"/>
      <c r="F59" s="9"/>
      <c r="G59" s="59"/>
      <c r="H59" s="9"/>
    </row>
    <row r="60">
      <c r="A60" s="9"/>
      <c r="B60" s="9"/>
      <c r="C60" s="9"/>
      <c r="D60" s="9"/>
      <c r="E60" s="9"/>
      <c r="F60" s="9"/>
      <c r="G60" s="59"/>
      <c r="H60" s="9"/>
    </row>
    <row r="61">
      <c r="A61" s="9"/>
      <c r="B61" s="9"/>
      <c r="C61" s="9"/>
      <c r="D61" s="9"/>
      <c r="E61" s="9"/>
      <c r="F61" s="9"/>
      <c r="G61" s="59"/>
      <c r="H61" s="9"/>
    </row>
    <row r="62">
      <c r="A62" s="9"/>
      <c r="B62" s="9"/>
      <c r="C62" s="9"/>
      <c r="D62" s="9"/>
      <c r="E62" s="9"/>
      <c r="F62" s="9"/>
      <c r="G62" s="59"/>
      <c r="H62" s="9"/>
    </row>
    <row r="63">
      <c r="A63" s="9"/>
      <c r="B63" s="9"/>
      <c r="C63" s="9"/>
      <c r="D63" s="9"/>
      <c r="E63" s="9"/>
      <c r="F63" s="9"/>
      <c r="G63" s="59"/>
      <c r="H63" s="9"/>
    </row>
    <row r="64">
      <c r="A64" s="9"/>
      <c r="B64" s="9"/>
      <c r="C64" s="9"/>
      <c r="D64" s="9"/>
      <c r="E64" s="9"/>
      <c r="F64" s="9"/>
      <c r="G64" s="59"/>
      <c r="H64" s="9"/>
    </row>
    <row r="65">
      <c r="A65" s="9"/>
      <c r="B65" s="9"/>
      <c r="C65" s="9"/>
      <c r="D65" s="9"/>
      <c r="E65" s="9"/>
      <c r="F65" s="9"/>
      <c r="G65" s="59"/>
      <c r="H65" s="9"/>
    </row>
    <row r="66">
      <c r="A66" s="9"/>
      <c r="B66" s="9"/>
      <c r="C66" s="9"/>
      <c r="D66" s="9"/>
      <c r="E66" s="9"/>
      <c r="F66" s="9"/>
      <c r="G66" s="59"/>
      <c r="H66" s="9"/>
    </row>
    <row r="67">
      <c r="A67" s="9"/>
      <c r="B67" s="9"/>
      <c r="C67" s="9"/>
      <c r="D67" s="9"/>
      <c r="E67" s="9"/>
      <c r="F67" s="9"/>
      <c r="G67" s="59"/>
      <c r="H67" s="9"/>
    </row>
    <row r="68">
      <c r="A68" s="9"/>
      <c r="B68" s="9"/>
      <c r="C68" s="9"/>
      <c r="D68" s="9"/>
      <c r="E68" s="9"/>
      <c r="F68" s="9"/>
      <c r="G68" s="59"/>
      <c r="H68" s="9"/>
    </row>
    <row r="69">
      <c r="A69" s="9"/>
      <c r="B69" s="9"/>
      <c r="C69" s="9"/>
      <c r="D69" s="9"/>
      <c r="E69" s="9"/>
      <c r="F69" s="9"/>
      <c r="G69" s="59"/>
      <c r="H69" s="9"/>
    </row>
    <row r="70">
      <c r="A70" s="9"/>
      <c r="B70" s="9"/>
      <c r="C70" s="9"/>
      <c r="D70" s="9"/>
      <c r="E70" s="9"/>
      <c r="F70" s="9"/>
      <c r="G70" s="59"/>
      <c r="H70" s="9"/>
    </row>
    <row r="71">
      <c r="A71" s="9"/>
      <c r="B71" s="9"/>
      <c r="C71" s="9"/>
      <c r="D71" s="9"/>
      <c r="E71" s="9"/>
      <c r="F71" s="9"/>
      <c r="G71" s="59"/>
      <c r="H71" s="9"/>
    </row>
    <row r="72">
      <c r="A72" s="9"/>
      <c r="B72" s="9"/>
      <c r="C72" s="9"/>
      <c r="D72" s="9"/>
      <c r="E72" s="9"/>
      <c r="F72" s="9"/>
      <c r="G72" s="59"/>
      <c r="H72" s="9"/>
    </row>
    <row r="73">
      <c r="A73" s="9"/>
      <c r="B73" s="9"/>
      <c r="C73" s="9"/>
      <c r="D73" s="9"/>
      <c r="E73" s="9"/>
      <c r="F73" s="9"/>
      <c r="G73" s="59"/>
      <c r="H73" s="9"/>
    </row>
    <row r="74">
      <c r="A74" s="9"/>
      <c r="B74" s="9"/>
      <c r="C74" s="9"/>
      <c r="D74" s="9"/>
      <c r="E74" s="9"/>
      <c r="F74" s="9"/>
      <c r="G74" s="59"/>
      <c r="H74" s="9"/>
    </row>
    <row r="75">
      <c r="A75" s="9"/>
      <c r="B75" s="9"/>
      <c r="C75" s="9"/>
      <c r="D75" s="9"/>
      <c r="E75" s="9"/>
      <c r="F75" s="9"/>
      <c r="G75" s="59"/>
      <c r="H75" s="9"/>
    </row>
    <row r="76">
      <c r="A76" s="9"/>
      <c r="B76" s="9"/>
      <c r="C76" s="9"/>
      <c r="D76" s="9"/>
      <c r="E76" s="9"/>
      <c r="F76" s="9"/>
      <c r="G76" s="59"/>
      <c r="H76" s="9"/>
    </row>
    <row r="77">
      <c r="A77" s="9"/>
      <c r="B77" s="9"/>
      <c r="C77" s="9"/>
      <c r="D77" s="9"/>
      <c r="E77" s="9"/>
      <c r="F77" s="9"/>
      <c r="G77" s="59"/>
      <c r="H77" s="9"/>
    </row>
    <row r="78">
      <c r="A78" s="9"/>
      <c r="B78" s="9"/>
      <c r="C78" s="9"/>
      <c r="D78" s="9"/>
      <c r="E78" s="9"/>
      <c r="F78" s="9"/>
      <c r="G78" s="59"/>
      <c r="H78" s="9"/>
    </row>
    <row r="79">
      <c r="A79" s="9"/>
      <c r="B79" s="9"/>
      <c r="C79" s="9"/>
      <c r="D79" s="9"/>
      <c r="E79" s="9"/>
      <c r="F79" s="9"/>
      <c r="G79" s="59"/>
      <c r="H79" s="9"/>
    </row>
    <row r="80">
      <c r="A80" s="9"/>
      <c r="B80" s="9"/>
      <c r="C80" s="9"/>
      <c r="D80" s="9"/>
      <c r="E80" s="9"/>
      <c r="F80" s="9"/>
      <c r="G80" s="59"/>
      <c r="H80" s="9"/>
    </row>
    <row r="81">
      <c r="A81" s="9"/>
      <c r="B81" s="9"/>
      <c r="C81" s="9"/>
      <c r="D81" s="9"/>
      <c r="E81" s="9"/>
      <c r="F81" s="9"/>
      <c r="G81" s="59"/>
      <c r="H81" s="9"/>
    </row>
    <row r="82">
      <c r="A82" s="9"/>
      <c r="B82" s="9"/>
      <c r="C82" s="9"/>
      <c r="D82" s="9"/>
      <c r="E82" s="9"/>
      <c r="F82" s="9"/>
      <c r="G82" s="59"/>
      <c r="H82" s="9"/>
    </row>
    <row r="83">
      <c r="A83" s="9"/>
      <c r="B83" s="9"/>
      <c r="C83" s="9"/>
      <c r="D83" s="9"/>
      <c r="E83" s="9"/>
      <c r="F83" s="9"/>
      <c r="G83" s="59"/>
      <c r="H83" s="9"/>
    </row>
    <row r="84">
      <c r="A84" s="9"/>
      <c r="B84" s="9"/>
      <c r="C84" s="9"/>
      <c r="D84" s="9"/>
      <c r="E84" s="9"/>
      <c r="F84" s="9"/>
      <c r="G84" s="59"/>
      <c r="H84" s="9"/>
    </row>
    <row r="85">
      <c r="A85" s="9"/>
      <c r="B85" s="9"/>
      <c r="C85" s="9"/>
      <c r="D85" s="9"/>
      <c r="E85" s="9"/>
      <c r="F85" s="9"/>
      <c r="G85" s="59"/>
      <c r="H85" s="9"/>
    </row>
    <row r="86">
      <c r="A86" s="9"/>
      <c r="B86" s="9"/>
      <c r="C86" s="9"/>
      <c r="D86" s="9"/>
      <c r="E86" s="9"/>
      <c r="F86" s="9"/>
      <c r="G86" s="59"/>
      <c r="H86" s="9"/>
    </row>
    <row r="87">
      <c r="A87" s="9"/>
      <c r="B87" s="9"/>
      <c r="C87" s="9"/>
      <c r="D87" s="9"/>
      <c r="E87" s="9"/>
      <c r="F87" s="9"/>
      <c r="G87" s="59"/>
      <c r="H87" s="9"/>
    </row>
    <row r="88">
      <c r="A88" s="9"/>
      <c r="B88" s="9"/>
      <c r="C88" s="9"/>
      <c r="D88" s="9"/>
      <c r="E88" s="9"/>
      <c r="F88" s="9"/>
      <c r="G88" s="59"/>
      <c r="H88" s="9"/>
    </row>
    <row r="89">
      <c r="A89" s="9"/>
      <c r="B89" s="9"/>
      <c r="C89" s="9"/>
      <c r="D89" s="9"/>
      <c r="E89" s="9"/>
      <c r="F89" s="9"/>
      <c r="G89" s="59"/>
      <c r="H89" s="9"/>
    </row>
    <row r="90">
      <c r="A90" s="9"/>
      <c r="B90" s="9"/>
      <c r="C90" s="9"/>
      <c r="D90" s="9"/>
      <c r="E90" s="9"/>
      <c r="F90" s="9"/>
      <c r="G90" s="59"/>
      <c r="H90" s="9"/>
    </row>
    <row r="91">
      <c r="A91" s="9"/>
      <c r="B91" s="9"/>
      <c r="C91" s="9"/>
      <c r="D91" s="9"/>
      <c r="E91" s="9"/>
      <c r="F91" s="9"/>
      <c r="G91" s="59"/>
      <c r="H91" s="9"/>
    </row>
    <row r="92">
      <c r="A92" s="9"/>
      <c r="B92" s="9"/>
      <c r="C92" s="9"/>
      <c r="D92" s="9"/>
      <c r="E92" s="9"/>
      <c r="F92" s="9"/>
      <c r="G92" s="59"/>
      <c r="H92" s="9"/>
    </row>
    <row r="93">
      <c r="A93" s="9"/>
      <c r="B93" s="9"/>
      <c r="C93" s="9"/>
      <c r="D93" s="9"/>
      <c r="E93" s="9"/>
      <c r="F93" s="9"/>
      <c r="G93" s="59"/>
      <c r="H93" s="9"/>
    </row>
    <row r="94">
      <c r="A94" s="9"/>
      <c r="B94" s="9"/>
      <c r="C94" s="9"/>
      <c r="D94" s="9"/>
      <c r="E94" s="9"/>
      <c r="F94" s="9"/>
      <c r="G94" s="59"/>
      <c r="H94" s="9"/>
    </row>
    <row r="95">
      <c r="A95" s="9"/>
      <c r="B95" s="9"/>
      <c r="C95" s="9"/>
      <c r="D95" s="9"/>
      <c r="E95" s="9"/>
      <c r="F95" s="9"/>
      <c r="G95" s="59"/>
      <c r="H95" s="9"/>
    </row>
    <row r="96">
      <c r="A96" s="9"/>
      <c r="B96" s="9"/>
      <c r="C96" s="9"/>
      <c r="D96" s="9"/>
      <c r="E96" s="9"/>
      <c r="F96" s="9"/>
      <c r="G96" s="59"/>
      <c r="H96" s="9"/>
    </row>
    <row r="97">
      <c r="A97" s="9"/>
      <c r="B97" s="9"/>
      <c r="C97" s="9"/>
      <c r="D97" s="9"/>
      <c r="E97" s="9"/>
      <c r="F97" s="9"/>
      <c r="G97" s="59"/>
      <c r="H97" s="9"/>
    </row>
    <row r="98">
      <c r="A98" s="9"/>
      <c r="B98" s="9"/>
      <c r="C98" s="9"/>
      <c r="D98" s="9"/>
      <c r="E98" s="9"/>
      <c r="F98" s="9"/>
      <c r="G98" s="59"/>
      <c r="H98" s="9"/>
    </row>
    <row r="99">
      <c r="A99" s="9"/>
      <c r="B99" s="9"/>
      <c r="C99" s="9"/>
      <c r="D99" s="9"/>
      <c r="E99" s="9"/>
      <c r="F99" s="9"/>
      <c r="G99" s="59"/>
      <c r="H99" s="9"/>
    </row>
    <row r="100">
      <c r="A100" s="9"/>
      <c r="B100" s="9"/>
      <c r="C100" s="9"/>
      <c r="D100" s="9"/>
      <c r="E100" s="9"/>
      <c r="F100" s="9"/>
      <c r="G100" s="59"/>
      <c r="H100" s="9"/>
    </row>
    <row r="101">
      <c r="A101" s="9"/>
      <c r="B101" s="9"/>
      <c r="C101" s="9"/>
      <c r="D101" s="9"/>
      <c r="E101" s="9"/>
      <c r="F101" s="9"/>
      <c r="G101" s="59"/>
      <c r="H101" s="9"/>
    </row>
    <row r="102">
      <c r="A102" s="9"/>
      <c r="B102" s="9"/>
      <c r="C102" s="9"/>
      <c r="D102" s="9"/>
      <c r="E102" s="9"/>
      <c r="F102" s="9"/>
      <c r="G102" s="59"/>
      <c r="H102" s="9"/>
    </row>
    <row r="103">
      <c r="A103" s="9"/>
      <c r="B103" s="9"/>
      <c r="C103" s="9"/>
      <c r="D103" s="9"/>
      <c r="E103" s="9"/>
      <c r="F103" s="9"/>
      <c r="G103" s="59"/>
      <c r="H103" s="9"/>
    </row>
    <row r="104">
      <c r="A104" s="9"/>
      <c r="B104" s="9"/>
      <c r="C104" s="9"/>
      <c r="D104" s="9"/>
      <c r="E104" s="9"/>
      <c r="F104" s="9"/>
      <c r="G104" s="59"/>
      <c r="H104" s="9"/>
    </row>
    <row r="105">
      <c r="A105" s="9"/>
      <c r="B105" s="9"/>
      <c r="C105" s="9"/>
      <c r="D105" s="9"/>
      <c r="E105" s="9"/>
      <c r="F105" s="9"/>
      <c r="G105" s="59"/>
      <c r="H105" s="9"/>
    </row>
    <row r="106">
      <c r="A106" s="9"/>
      <c r="B106" s="9"/>
      <c r="C106" s="9"/>
      <c r="D106" s="9"/>
      <c r="E106" s="9"/>
      <c r="F106" s="9"/>
      <c r="G106" s="59"/>
      <c r="H106" s="9"/>
    </row>
    <row r="107">
      <c r="A107" s="9"/>
      <c r="B107" s="9"/>
      <c r="C107" s="9"/>
      <c r="D107" s="9"/>
      <c r="E107" s="9"/>
      <c r="F107" s="9"/>
      <c r="G107" s="59"/>
      <c r="H107" s="9"/>
    </row>
    <row r="108">
      <c r="A108" s="9"/>
      <c r="B108" s="9"/>
      <c r="C108" s="9"/>
      <c r="D108" s="9"/>
      <c r="E108" s="9"/>
      <c r="F108" s="9"/>
      <c r="G108" s="59"/>
      <c r="H108" s="9"/>
    </row>
    <row r="109">
      <c r="A109" s="9"/>
      <c r="B109" s="9"/>
      <c r="C109" s="9"/>
      <c r="D109" s="9"/>
      <c r="E109" s="9"/>
      <c r="F109" s="9"/>
      <c r="G109" s="59"/>
      <c r="H109" s="9"/>
    </row>
    <row r="110">
      <c r="A110" s="9"/>
      <c r="B110" s="9"/>
      <c r="C110" s="9"/>
      <c r="D110" s="9"/>
      <c r="E110" s="9"/>
      <c r="F110" s="9"/>
      <c r="G110" s="59"/>
      <c r="H110" s="9"/>
    </row>
    <row r="111">
      <c r="A111" s="9"/>
      <c r="B111" s="9"/>
      <c r="C111" s="9"/>
      <c r="D111" s="9"/>
      <c r="E111" s="9"/>
      <c r="F111" s="9"/>
      <c r="G111" s="59"/>
      <c r="H111" s="9"/>
    </row>
    <row r="112">
      <c r="A112" s="9"/>
      <c r="B112" s="9"/>
      <c r="C112" s="9"/>
      <c r="D112" s="9"/>
      <c r="E112" s="9"/>
      <c r="F112" s="9"/>
      <c r="G112" s="59"/>
      <c r="H112" s="9"/>
    </row>
    <row r="113">
      <c r="A113" s="9"/>
      <c r="B113" s="9"/>
      <c r="C113" s="9"/>
      <c r="D113" s="9"/>
      <c r="E113" s="9"/>
      <c r="F113" s="9"/>
      <c r="G113" s="59"/>
      <c r="H113" s="9"/>
    </row>
    <row r="114">
      <c r="A114" s="9"/>
      <c r="B114" s="9"/>
      <c r="C114" s="9"/>
      <c r="D114" s="9"/>
      <c r="E114" s="9"/>
      <c r="F114" s="9"/>
      <c r="G114" s="59"/>
      <c r="H114" s="9"/>
    </row>
    <row r="115">
      <c r="A115" s="9"/>
      <c r="B115" s="9"/>
      <c r="C115" s="9"/>
      <c r="D115" s="9"/>
      <c r="E115" s="9"/>
      <c r="F115" s="9"/>
      <c r="G115" s="59"/>
      <c r="H115" s="9"/>
    </row>
    <row r="116">
      <c r="A116" s="9"/>
      <c r="B116" s="9"/>
      <c r="C116" s="9"/>
      <c r="D116" s="9"/>
      <c r="E116" s="9"/>
      <c r="F116" s="9"/>
      <c r="G116" s="59"/>
      <c r="H116" s="9"/>
    </row>
    <row r="117">
      <c r="A117" s="9"/>
      <c r="B117" s="9"/>
      <c r="C117" s="9"/>
      <c r="D117" s="9"/>
      <c r="E117" s="9"/>
      <c r="F117" s="9"/>
      <c r="G117" s="59"/>
      <c r="H117" s="9"/>
    </row>
    <row r="118">
      <c r="A118" s="9"/>
      <c r="B118" s="9"/>
      <c r="C118" s="9"/>
      <c r="D118" s="9"/>
      <c r="E118" s="9"/>
      <c r="F118" s="9"/>
      <c r="G118" s="59"/>
      <c r="H118" s="9"/>
    </row>
    <row r="119">
      <c r="A119" s="9"/>
      <c r="B119" s="9"/>
      <c r="C119" s="9"/>
      <c r="D119" s="9"/>
      <c r="E119" s="9"/>
      <c r="F119" s="9"/>
      <c r="G119" s="59"/>
      <c r="H119" s="9"/>
    </row>
    <row r="120">
      <c r="A120" s="9"/>
      <c r="B120" s="9"/>
      <c r="C120" s="9"/>
      <c r="D120" s="9"/>
      <c r="E120" s="9"/>
      <c r="F120" s="9"/>
      <c r="G120" s="59"/>
      <c r="H120" s="9"/>
    </row>
    <row r="121">
      <c r="A121" s="9"/>
      <c r="B121" s="9"/>
      <c r="C121" s="9"/>
      <c r="D121" s="9"/>
      <c r="E121" s="9"/>
      <c r="F121" s="9"/>
      <c r="G121" s="59"/>
      <c r="H121" s="9"/>
    </row>
    <row r="122">
      <c r="A122" s="9"/>
      <c r="B122" s="9"/>
      <c r="C122" s="9"/>
      <c r="D122" s="9"/>
      <c r="E122" s="9"/>
      <c r="F122" s="9"/>
      <c r="G122" s="59"/>
      <c r="H122" s="9"/>
    </row>
    <row r="123">
      <c r="A123" s="9"/>
      <c r="B123" s="9"/>
      <c r="C123" s="9"/>
      <c r="D123" s="9"/>
      <c r="E123" s="9"/>
      <c r="F123" s="9"/>
      <c r="G123" s="59"/>
      <c r="H123" s="9"/>
    </row>
    <row r="124">
      <c r="A124" s="9"/>
      <c r="B124" s="9"/>
      <c r="C124" s="9"/>
      <c r="D124" s="9"/>
      <c r="E124" s="9"/>
      <c r="F124" s="9"/>
      <c r="G124" s="59"/>
      <c r="H124" s="9"/>
    </row>
    <row r="125">
      <c r="A125" s="9"/>
      <c r="B125" s="9"/>
      <c r="C125" s="9"/>
      <c r="D125" s="9"/>
      <c r="E125" s="9"/>
      <c r="F125" s="9"/>
      <c r="G125" s="59"/>
      <c r="H125" s="9"/>
    </row>
    <row r="126">
      <c r="A126" s="9"/>
      <c r="B126" s="9"/>
      <c r="C126" s="9"/>
      <c r="D126" s="9"/>
      <c r="E126" s="9"/>
      <c r="F126" s="9"/>
      <c r="G126" s="59"/>
      <c r="H126" s="9"/>
    </row>
    <row r="127">
      <c r="A127" s="9"/>
      <c r="B127" s="9"/>
      <c r="C127" s="9"/>
      <c r="D127" s="9"/>
      <c r="E127" s="9"/>
      <c r="F127" s="9"/>
      <c r="G127" s="59"/>
      <c r="H127" s="9"/>
    </row>
    <row r="128">
      <c r="A128" s="9"/>
      <c r="B128" s="9"/>
      <c r="C128" s="9"/>
      <c r="D128" s="9"/>
      <c r="E128" s="9"/>
      <c r="F128" s="9"/>
      <c r="G128" s="59"/>
      <c r="H128" s="9"/>
    </row>
    <row r="129">
      <c r="A129" s="9"/>
      <c r="B129" s="9"/>
      <c r="C129" s="9"/>
      <c r="D129" s="9"/>
      <c r="E129" s="9"/>
      <c r="F129" s="9"/>
      <c r="G129" s="59"/>
      <c r="H129" s="9"/>
    </row>
    <row r="130">
      <c r="A130" s="9"/>
      <c r="B130" s="9"/>
      <c r="C130" s="9"/>
      <c r="D130" s="9"/>
      <c r="E130" s="9"/>
      <c r="F130" s="9"/>
      <c r="G130" s="59"/>
      <c r="H130" s="9"/>
    </row>
    <row r="131">
      <c r="A131" s="9"/>
      <c r="B131" s="9"/>
      <c r="C131" s="9"/>
      <c r="D131" s="9"/>
      <c r="E131" s="9"/>
      <c r="F131" s="9"/>
      <c r="G131" s="59"/>
      <c r="H131" s="9"/>
    </row>
    <row r="132">
      <c r="A132" s="9"/>
      <c r="B132" s="9"/>
      <c r="C132" s="9"/>
      <c r="D132" s="9"/>
      <c r="E132" s="9"/>
      <c r="F132" s="9"/>
      <c r="G132" s="59"/>
      <c r="H132" s="9"/>
    </row>
    <row r="133">
      <c r="A133" s="9"/>
      <c r="B133" s="9"/>
      <c r="C133" s="9"/>
      <c r="D133" s="9"/>
      <c r="E133" s="9"/>
      <c r="F133" s="9"/>
      <c r="G133" s="59"/>
      <c r="H133" s="9"/>
    </row>
    <row r="134">
      <c r="A134" s="9"/>
      <c r="B134" s="9"/>
      <c r="C134" s="9"/>
      <c r="D134" s="9"/>
      <c r="E134" s="9"/>
      <c r="F134" s="9"/>
      <c r="G134" s="59"/>
      <c r="H134" s="9"/>
    </row>
    <row r="135">
      <c r="A135" s="9"/>
      <c r="B135" s="9"/>
      <c r="C135" s="9"/>
      <c r="D135" s="9"/>
      <c r="E135" s="9"/>
      <c r="F135" s="9"/>
      <c r="G135" s="59"/>
      <c r="H135" s="9"/>
    </row>
    <row r="136">
      <c r="A136" s="9"/>
      <c r="B136" s="9"/>
      <c r="C136" s="9"/>
      <c r="D136" s="9"/>
      <c r="E136" s="9"/>
      <c r="F136" s="9"/>
      <c r="G136" s="59"/>
      <c r="H136" s="9"/>
    </row>
    <row r="137">
      <c r="A137" s="9"/>
      <c r="B137" s="9"/>
      <c r="C137" s="9"/>
      <c r="D137" s="9"/>
      <c r="E137" s="9"/>
      <c r="F137" s="9"/>
      <c r="G137" s="59"/>
      <c r="H137" s="9"/>
    </row>
    <row r="138">
      <c r="A138" s="9"/>
      <c r="B138" s="9"/>
      <c r="C138" s="9"/>
      <c r="D138" s="9"/>
      <c r="E138" s="9"/>
      <c r="F138" s="9"/>
      <c r="G138" s="59"/>
      <c r="H138" s="9"/>
    </row>
    <row r="139">
      <c r="A139" s="9"/>
      <c r="B139" s="9"/>
      <c r="C139" s="9"/>
      <c r="D139" s="9"/>
      <c r="E139" s="9"/>
      <c r="F139" s="9"/>
      <c r="G139" s="59"/>
      <c r="H139" s="9"/>
    </row>
    <row r="140">
      <c r="A140" s="9"/>
      <c r="B140" s="9"/>
      <c r="C140" s="9"/>
      <c r="D140" s="9"/>
      <c r="E140" s="9"/>
      <c r="F140" s="9"/>
      <c r="G140" s="59"/>
      <c r="H140" s="9"/>
    </row>
    <row r="141">
      <c r="A141" s="9"/>
      <c r="B141" s="9"/>
      <c r="C141" s="9"/>
      <c r="D141" s="9"/>
      <c r="E141" s="9"/>
      <c r="F141" s="9"/>
      <c r="G141" s="59"/>
      <c r="H141" s="9"/>
    </row>
    <row r="142">
      <c r="A142" s="9"/>
      <c r="B142" s="9"/>
      <c r="C142" s="9"/>
      <c r="D142" s="9"/>
      <c r="E142" s="9"/>
      <c r="F142" s="9"/>
      <c r="G142" s="59"/>
      <c r="H142" s="9"/>
    </row>
    <row r="143">
      <c r="A143" s="9"/>
      <c r="B143" s="9"/>
      <c r="C143" s="9"/>
      <c r="D143" s="9"/>
      <c r="E143" s="9"/>
      <c r="F143" s="9"/>
      <c r="G143" s="59"/>
      <c r="H143" s="9"/>
    </row>
    <row r="144">
      <c r="A144" s="9"/>
      <c r="B144" s="9"/>
      <c r="C144" s="9"/>
      <c r="D144" s="9"/>
      <c r="E144" s="9"/>
      <c r="F144" s="9"/>
      <c r="G144" s="59"/>
      <c r="H144" s="9"/>
    </row>
    <row r="145">
      <c r="A145" s="9"/>
      <c r="B145" s="9"/>
      <c r="C145" s="9"/>
      <c r="D145" s="9"/>
      <c r="E145" s="9"/>
      <c r="F145" s="9"/>
      <c r="G145" s="59"/>
      <c r="H145" s="9"/>
    </row>
    <row r="146">
      <c r="A146" s="9"/>
      <c r="B146" s="9"/>
      <c r="C146" s="9"/>
      <c r="D146" s="9"/>
      <c r="E146" s="9"/>
      <c r="F146" s="9"/>
      <c r="G146" s="59"/>
      <c r="H146" s="9"/>
    </row>
    <row r="147">
      <c r="A147" s="9"/>
      <c r="B147" s="9"/>
      <c r="C147" s="9"/>
      <c r="D147" s="9"/>
      <c r="E147" s="9"/>
      <c r="F147" s="9"/>
      <c r="G147" s="59"/>
      <c r="H147" s="9"/>
    </row>
    <row r="148">
      <c r="A148" s="9"/>
      <c r="B148" s="9"/>
      <c r="C148" s="9"/>
      <c r="D148" s="9"/>
      <c r="E148" s="9"/>
      <c r="F148" s="9"/>
      <c r="G148" s="59"/>
      <c r="H148" s="9"/>
    </row>
    <row r="149">
      <c r="A149" s="9"/>
      <c r="B149" s="9"/>
      <c r="C149" s="9"/>
      <c r="D149" s="9"/>
      <c r="E149" s="9"/>
      <c r="F149" s="9"/>
      <c r="G149" s="59"/>
      <c r="H149" s="9"/>
    </row>
    <row r="150">
      <c r="A150" s="9"/>
      <c r="B150" s="9"/>
      <c r="C150" s="9"/>
      <c r="D150" s="9"/>
      <c r="E150" s="9"/>
      <c r="F150" s="9"/>
      <c r="G150" s="59"/>
      <c r="H150" s="9"/>
    </row>
    <row r="151">
      <c r="A151" s="9"/>
      <c r="B151" s="9"/>
      <c r="C151" s="9"/>
      <c r="D151" s="9"/>
      <c r="E151" s="9"/>
      <c r="F151" s="9"/>
      <c r="G151" s="59"/>
      <c r="H151" s="9"/>
    </row>
    <row r="152">
      <c r="A152" s="9"/>
      <c r="B152" s="9"/>
      <c r="C152" s="9"/>
      <c r="D152" s="9"/>
      <c r="E152" s="9"/>
      <c r="F152" s="9"/>
      <c r="G152" s="59"/>
      <c r="H152" s="9"/>
    </row>
    <row r="153">
      <c r="A153" s="9"/>
      <c r="B153" s="9"/>
      <c r="C153" s="9"/>
      <c r="D153" s="9"/>
      <c r="E153" s="9"/>
      <c r="F153" s="9"/>
      <c r="G153" s="59"/>
      <c r="H153" s="9"/>
    </row>
    <row r="154">
      <c r="A154" s="9"/>
      <c r="B154" s="9"/>
      <c r="C154" s="9"/>
      <c r="D154" s="9"/>
      <c r="E154" s="9"/>
      <c r="F154" s="9"/>
      <c r="G154" s="59"/>
      <c r="H154" s="9"/>
    </row>
    <row r="155">
      <c r="A155" s="9"/>
      <c r="B155" s="9"/>
      <c r="C155" s="9"/>
      <c r="D155" s="9"/>
      <c r="E155" s="9"/>
      <c r="F155" s="9"/>
      <c r="G155" s="59"/>
      <c r="H155" s="9"/>
    </row>
    <row r="156">
      <c r="A156" s="9"/>
      <c r="B156" s="9"/>
      <c r="C156" s="9"/>
      <c r="D156" s="9"/>
      <c r="E156" s="9"/>
      <c r="F156" s="9"/>
      <c r="G156" s="59"/>
      <c r="H156" s="9"/>
    </row>
    <row r="157">
      <c r="A157" s="9"/>
      <c r="B157" s="9"/>
      <c r="C157" s="9"/>
      <c r="D157" s="9"/>
      <c r="E157" s="9"/>
      <c r="F157" s="9"/>
      <c r="G157" s="59"/>
      <c r="H157" s="9"/>
    </row>
    <row r="158">
      <c r="A158" s="9"/>
      <c r="B158" s="9"/>
      <c r="C158" s="9"/>
      <c r="D158" s="9"/>
      <c r="E158" s="9"/>
      <c r="F158" s="9"/>
      <c r="G158" s="59"/>
      <c r="H158" s="9"/>
    </row>
    <row r="159">
      <c r="A159" s="9"/>
      <c r="B159" s="9"/>
      <c r="C159" s="9"/>
      <c r="D159" s="9"/>
      <c r="E159" s="9"/>
      <c r="F159" s="9"/>
      <c r="G159" s="59"/>
      <c r="H159" s="9"/>
    </row>
    <row r="160">
      <c r="A160" s="9"/>
      <c r="B160" s="9"/>
      <c r="C160" s="9"/>
      <c r="D160" s="9"/>
      <c r="E160" s="9"/>
      <c r="F160" s="9"/>
      <c r="G160" s="59"/>
      <c r="H160" s="9"/>
    </row>
    <row r="161">
      <c r="A161" s="9"/>
      <c r="B161" s="9"/>
      <c r="C161" s="9"/>
      <c r="D161" s="9"/>
      <c r="E161" s="9"/>
      <c r="F161" s="9"/>
      <c r="G161" s="59"/>
      <c r="H161" s="9"/>
    </row>
    <row r="162">
      <c r="A162" s="9"/>
      <c r="B162" s="9"/>
      <c r="C162" s="9"/>
      <c r="D162" s="9"/>
      <c r="E162" s="9"/>
      <c r="F162" s="9"/>
      <c r="G162" s="59"/>
      <c r="H162" s="9"/>
    </row>
    <row r="163">
      <c r="A163" s="9"/>
      <c r="B163" s="9"/>
      <c r="C163" s="9"/>
      <c r="D163" s="9"/>
      <c r="E163" s="9"/>
      <c r="F163" s="9"/>
      <c r="G163" s="59"/>
      <c r="H163" s="9"/>
    </row>
    <row r="164">
      <c r="A164" s="9"/>
      <c r="B164" s="9"/>
      <c r="C164" s="9"/>
      <c r="D164" s="9"/>
      <c r="E164" s="9"/>
      <c r="F164" s="9"/>
      <c r="G164" s="59"/>
      <c r="H164" s="9"/>
    </row>
    <row r="165">
      <c r="A165" s="9"/>
      <c r="B165" s="9"/>
      <c r="C165" s="9"/>
      <c r="D165" s="9"/>
      <c r="E165" s="9"/>
      <c r="F165" s="9"/>
      <c r="G165" s="59"/>
      <c r="H165" s="9"/>
    </row>
    <row r="166">
      <c r="A166" s="9"/>
      <c r="B166" s="9"/>
      <c r="C166" s="9"/>
      <c r="D166" s="9"/>
      <c r="E166" s="9"/>
      <c r="F166" s="9"/>
      <c r="G166" s="59"/>
      <c r="H166" s="9"/>
    </row>
    <row r="167">
      <c r="A167" s="9"/>
      <c r="B167" s="9"/>
      <c r="C167" s="9"/>
      <c r="D167" s="9"/>
      <c r="E167" s="9"/>
      <c r="F167" s="9"/>
      <c r="G167" s="59"/>
      <c r="H167" s="9"/>
    </row>
    <row r="168">
      <c r="A168" s="9"/>
      <c r="B168" s="9"/>
      <c r="C168" s="9"/>
      <c r="D168" s="9"/>
      <c r="E168" s="9"/>
      <c r="F168" s="9"/>
      <c r="G168" s="59"/>
      <c r="H168" s="9"/>
    </row>
    <row r="169">
      <c r="A169" s="9"/>
      <c r="B169" s="9"/>
      <c r="C169" s="9"/>
      <c r="D169" s="9"/>
      <c r="E169" s="9"/>
      <c r="F169" s="9"/>
      <c r="G169" s="59"/>
      <c r="H169" s="9"/>
    </row>
    <row r="170">
      <c r="A170" s="9"/>
      <c r="B170" s="9"/>
      <c r="C170" s="9"/>
      <c r="D170" s="9"/>
      <c r="E170" s="9"/>
      <c r="F170" s="9"/>
      <c r="G170" s="59"/>
      <c r="H170" s="9"/>
    </row>
    <row r="171">
      <c r="A171" s="9"/>
      <c r="B171" s="9"/>
      <c r="C171" s="9"/>
      <c r="D171" s="9"/>
      <c r="E171" s="9"/>
      <c r="F171" s="9"/>
      <c r="G171" s="59"/>
      <c r="H171" s="9"/>
    </row>
    <row r="172">
      <c r="A172" s="9"/>
      <c r="B172" s="9"/>
      <c r="C172" s="9"/>
      <c r="D172" s="9"/>
      <c r="E172" s="9"/>
      <c r="F172" s="9"/>
      <c r="G172" s="59"/>
      <c r="H172" s="9"/>
    </row>
    <row r="173">
      <c r="A173" s="9"/>
      <c r="B173" s="9"/>
      <c r="C173" s="9"/>
      <c r="D173" s="9"/>
      <c r="E173" s="9"/>
      <c r="F173" s="9"/>
      <c r="G173" s="59"/>
      <c r="H173" s="9"/>
    </row>
    <row r="174">
      <c r="A174" s="9"/>
      <c r="B174" s="9"/>
      <c r="C174" s="9"/>
      <c r="D174" s="9"/>
      <c r="E174" s="9"/>
      <c r="F174" s="9"/>
      <c r="G174" s="59"/>
      <c r="H174" s="9"/>
    </row>
    <row r="175">
      <c r="A175" s="9"/>
      <c r="B175" s="9"/>
      <c r="C175" s="9"/>
      <c r="D175" s="9"/>
      <c r="E175" s="9"/>
      <c r="F175" s="9"/>
      <c r="G175" s="59"/>
      <c r="H175" s="9"/>
    </row>
    <row r="176">
      <c r="A176" s="9"/>
      <c r="B176" s="9"/>
      <c r="C176" s="9"/>
      <c r="D176" s="9"/>
      <c r="E176" s="9"/>
      <c r="F176" s="9"/>
      <c r="G176" s="59"/>
      <c r="H176" s="9"/>
    </row>
    <row r="177">
      <c r="A177" s="9"/>
      <c r="B177" s="9"/>
      <c r="C177" s="9"/>
      <c r="D177" s="9"/>
      <c r="E177" s="9"/>
      <c r="F177" s="9"/>
      <c r="G177" s="59"/>
      <c r="H177" s="9"/>
    </row>
    <row r="178">
      <c r="A178" s="9"/>
      <c r="B178" s="9"/>
      <c r="C178" s="9"/>
      <c r="D178" s="9"/>
      <c r="E178" s="9"/>
      <c r="F178" s="9"/>
      <c r="G178" s="59"/>
      <c r="H178" s="9"/>
    </row>
    <row r="179">
      <c r="A179" s="9"/>
      <c r="B179" s="9"/>
      <c r="C179" s="9"/>
      <c r="D179" s="9"/>
      <c r="E179" s="9"/>
      <c r="F179" s="9"/>
      <c r="G179" s="59"/>
      <c r="H179" s="9"/>
    </row>
    <row r="180">
      <c r="A180" s="9"/>
      <c r="B180" s="9"/>
      <c r="C180" s="9"/>
      <c r="D180" s="9"/>
      <c r="E180" s="9"/>
      <c r="F180" s="9"/>
      <c r="G180" s="59"/>
      <c r="H180" s="9"/>
    </row>
    <row r="181">
      <c r="A181" s="9"/>
      <c r="B181" s="9"/>
      <c r="C181" s="9"/>
      <c r="D181" s="9"/>
      <c r="E181" s="9"/>
      <c r="F181" s="9"/>
      <c r="G181" s="59"/>
      <c r="H181" s="9"/>
    </row>
    <row r="182">
      <c r="A182" s="9"/>
      <c r="B182" s="9"/>
      <c r="C182" s="9"/>
      <c r="D182" s="9"/>
      <c r="E182" s="9"/>
      <c r="F182" s="9"/>
      <c r="G182" s="59"/>
      <c r="H182" s="9"/>
    </row>
    <row r="183">
      <c r="A183" s="9"/>
      <c r="B183" s="9"/>
      <c r="C183" s="9"/>
      <c r="D183" s="9"/>
      <c r="E183" s="9"/>
      <c r="F183" s="9"/>
      <c r="G183" s="59"/>
      <c r="H183" s="9"/>
    </row>
    <row r="184">
      <c r="A184" s="9"/>
      <c r="B184" s="9"/>
      <c r="C184" s="9"/>
      <c r="D184" s="9"/>
      <c r="E184" s="9"/>
      <c r="F184" s="9"/>
      <c r="G184" s="59"/>
      <c r="H184" s="9"/>
    </row>
    <row r="185">
      <c r="A185" s="9"/>
      <c r="B185" s="9"/>
      <c r="C185" s="9"/>
      <c r="D185" s="9"/>
      <c r="E185" s="9"/>
      <c r="F185" s="9"/>
      <c r="G185" s="59"/>
      <c r="H185" s="9"/>
    </row>
    <row r="186">
      <c r="A186" s="9"/>
      <c r="B186" s="9"/>
      <c r="C186" s="9"/>
      <c r="D186" s="9"/>
      <c r="E186" s="9"/>
      <c r="F186" s="9"/>
      <c r="G186" s="59"/>
      <c r="H186" s="9"/>
    </row>
    <row r="187">
      <c r="A187" s="9"/>
      <c r="B187" s="9"/>
      <c r="C187" s="9"/>
      <c r="D187" s="9"/>
      <c r="E187" s="9"/>
      <c r="F187" s="9"/>
      <c r="G187" s="59"/>
      <c r="H187" s="9"/>
    </row>
    <row r="188">
      <c r="A188" s="9"/>
      <c r="B188" s="9"/>
      <c r="C188" s="9"/>
      <c r="D188" s="9"/>
      <c r="E188" s="9"/>
      <c r="F188" s="9"/>
      <c r="G188" s="59"/>
      <c r="H188" s="9"/>
    </row>
    <row r="189">
      <c r="A189" s="9"/>
      <c r="B189" s="9"/>
      <c r="C189" s="9"/>
      <c r="D189" s="9"/>
      <c r="E189" s="9"/>
      <c r="F189" s="9"/>
      <c r="G189" s="59"/>
      <c r="H189" s="9"/>
    </row>
    <row r="190">
      <c r="A190" s="9"/>
      <c r="B190" s="9"/>
      <c r="C190" s="9"/>
      <c r="D190" s="9"/>
      <c r="E190" s="9"/>
      <c r="F190" s="9"/>
      <c r="G190" s="59"/>
      <c r="H190" s="9"/>
    </row>
    <row r="191">
      <c r="A191" s="9"/>
      <c r="B191" s="9"/>
      <c r="C191" s="9"/>
      <c r="D191" s="9"/>
      <c r="E191" s="9"/>
      <c r="F191" s="9"/>
      <c r="G191" s="59"/>
      <c r="H191" s="9"/>
    </row>
    <row r="192">
      <c r="A192" s="9"/>
      <c r="B192" s="9"/>
      <c r="C192" s="9"/>
      <c r="D192" s="9"/>
      <c r="E192" s="9"/>
      <c r="F192" s="9"/>
      <c r="G192" s="59"/>
      <c r="H192" s="9"/>
    </row>
    <row r="193">
      <c r="A193" s="9"/>
      <c r="B193" s="9"/>
      <c r="C193" s="9"/>
      <c r="D193" s="9"/>
      <c r="E193" s="9"/>
      <c r="F193" s="9"/>
      <c r="G193" s="59"/>
      <c r="H193" s="9"/>
    </row>
    <row r="194">
      <c r="A194" s="9"/>
      <c r="B194" s="9"/>
      <c r="C194" s="9"/>
      <c r="D194" s="9"/>
      <c r="E194" s="9"/>
      <c r="F194" s="9"/>
      <c r="G194" s="59"/>
      <c r="H194" s="9"/>
    </row>
    <row r="195">
      <c r="A195" s="9"/>
      <c r="B195" s="9"/>
      <c r="C195" s="9"/>
      <c r="D195" s="9"/>
      <c r="E195" s="9"/>
      <c r="F195" s="9"/>
      <c r="G195" s="59"/>
      <c r="H195" s="9"/>
    </row>
    <row r="196">
      <c r="A196" s="9"/>
      <c r="B196" s="9"/>
      <c r="C196" s="9"/>
      <c r="D196" s="9"/>
      <c r="E196" s="9"/>
      <c r="F196" s="9"/>
      <c r="G196" s="59"/>
      <c r="H196" s="9"/>
    </row>
    <row r="197">
      <c r="A197" s="9"/>
      <c r="B197" s="9"/>
      <c r="C197" s="9"/>
      <c r="D197" s="9"/>
      <c r="E197" s="9"/>
      <c r="F197" s="9"/>
      <c r="G197" s="59"/>
      <c r="H197" s="9"/>
    </row>
    <row r="198">
      <c r="A198" s="9"/>
      <c r="B198" s="9"/>
      <c r="C198" s="9"/>
      <c r="D198" s="9"/>
      <c r="E198" s="9"/>
      <c r="F198" s="9"/>
      <c r="G198" s="59"/>
      <c r="H198" s="9"/>
    </row>
    <row r="199">
      <c r="A199" s="9"/>
      <c r="B199" s="9"/>
      <c r="C199" s="9"/>
      <c r="D199" s="9"/>
      <c r="E199" s="9"/>
      <c r="F199" s="9"/>
      <c r="G199" s="59"/>
      <c r="H199" s="9"/>
    </row>
    <row r="200">
      <c r="A200" s="9"/>
      <c r="B200" s="9"/>
      <c r="C200" s="9"/>
      <c r="D200" s="9"/>
      <c r="E200" s="9"/>
      <c r="F200" s="9"/>
      <c r="G200" s="59"/>
      <c r="H200" s="9"/>
    </row>
    <row r="201">
      <c r="A201" s="9"/>
      <c r="B201" s="9"/>
      <c r="C201" s="9"/>
      <c r="D201" s="9"/>
      <c r="E201" s="9"/>
      <c r="F201" s="9"/>
      <c r="G201" s="59"/>
      <c r="H201" s="9"/>
    </row>
    <row r="202">
      <c r="A202" s="9"/>
      <c r="B202" s="9"/>
      <c r="C202" s="9"/>
      <c r="D202" s="9"/>
      <c r="E202" s="9"/>
      <c r="F202" s="9"/>
      <c r="G202" s="59"/>
      <c r="H202" s="9"/>
    </row>
    <row r="203">
      <c r="A203" s="9"/>
      <c r="B203" s="9"/>
      <c r="C203" s="9"/>
      <c r="D203" s="9"/>
      <c r="E203" s="9"/>
      <c r="F203" s="9"/>
      <c r="G203" s="59"/>
      <c r="H203" s="9"/>
    </row>
    <row r="204">
      <c r="A204" s="9"/>
      <c r="B204" s="9"/>
      <c r="C204" s="9"/>
      <c r="D204" s="9"/>
      <c r="E204" s="9"/>
      <c r="F204" s="9"/>
      <c r="G204" s="59"/>
      <c r="H204" s="9"/>
    </row>
    <row r="205">
      <c r="A205" s="9"/>
      <c r="B205" s="9"/>
      <c r="C205" s="9"/>
      <c r="D205" s="9"/>
      <c r="E205" s="9"/>
      <c r="F205" s="9"/>
      <c r="G205" s="59"/>
      <c r="H205" s="9"/>
    </row>
    <row r="206">
      <c r="A206" s="9"/>
      <c r="B206" s="9"/>
      <c r="C206" s="9"/>
      <c r="D206" s="9"/>
      <c r="E206" s="9"/>
      <c r="F206" s="9"/>
      <c r="G206" s="59"/>
      <c r="H206" s="9"/>
    </row>
    <row r="207">
      <c r="A207" s="9"/>
      <c r="B207" s="9"/>
      <c r="C207" s="9"/>
      <c r="D207" s="9"/>
      <c r="E207" s="9"/>
      <c r="F207" s="9"/>
      <c r="G207" s="59"/>
      <c r="H207" s="9"/>
    </row>
    <row r="208">
      <c r="A208" s="9"/>
      <c r="B208" s="9"/>
      <c r="C208" s="9"/>
      <c r="D208" s="9"/>
      <c r="E208" s="9"/>
      <c r="F208" s="9"/>
      <c r="G208" s="59"/>
      <c r="H208" s="9"/>
    </row>
    <row r="209">
      <c r="A209" s="9"/>
      <c r="B209" s="9"/>
      <c r="C209" s="9"/>
      <c r="D209" s="9"/>
      <c r="E209" s="9"/>
      <c r="F209" s="9"/>
      <c r="G209" s="59"/>
      <c r="H209" s="9"/>
    </row>
    <row r="210">
      <c r="A210" s="9"/>
      <c r="B210" s="9"/>
      <c r="C210" s="9"/>
      <c r="D210" s="9"/>
      <c r="E210" s="9"/>
      <c r="F210" s="9"/>
      <c r="G210" s="59"/>
      <c r="H210" s="9"/>
    </row>
    <row r="211">
      <c r="A211" s="9"/>
      <c r="B211" s="9"/>
      <c r="C211" s="9"/>
      <c r="D211" s="9"/>
      <c r="E211" s="9"/>
      <c r="F211" s="9"/>
      <c r="G211" s="59"/>
      <c r="H211" s="9"/>
    </row>
    <row r="212">
      <c r="A212" s="9"/>
      <c r="B212" s="9"/>
      <c r="C212" s="9"/>
      <c r="D212" s="9"/>
      <c r="E212" s="9"/>
      <c r="F212" s="9"/>
      <c r="G212" s="59"/>
      <c r="H212" s="9"/>
    </row>
    <row r="213">
      <c r="A213" s="9"/>
      <c r="B213" s="9"/>
      <c r="C213" s="9"/>
      <c r="D213" s="9"/>
      <c r="E213" s="9"/>
      <c r="F213" s="9"/>
      <c r="G213" s="59"/>
      <c r="H213" s="9"/>
    </row>
    <row r="214">
      <c r="A214" s="9"/>
      <c r="B214" s="9"/>
      <c r="C214" s="9"/>
      <c r="D214" s="9"/>
      <c r="E214" s="9"/>
      <c r="F214" s="9"/>
      <c r="G214" s="59"/>
      <c r="H214" s="9"/>
    </row>
    <row r="215">
      <c r="A215" s="9"/>
      <c r="B215" s="9"/>
      <c r="C215" s="9"/>
      <c r="D215" s="9"/>
      <c r="E215" s="9"/>
      <c r="F215" s="9"/>
      <c r="G215" s="59"/>
      <c r="H215" s="9"/>
    </row>
    <row r="216">
      <c r="A216" s="9"/>
      <c r="B216" s="9"/>
      <c r="C216" s="9"/>
      <c r="D216" s="9"/>
      <c r="E216" s="9"/>
      <c r="F216" s="9"/>
      <c r="G216" s="59"/>
      <c r="H216" s="9"/>
    </row>
    <row r="217">
      <c r="A217" s="9"/>
      <c r="B217" s="9"/>
      <c r="C217" s="9"/>
      <c r="D217" s="9"/>
      <c r="E217" s="9"/>
      <c r="F217" s="9"/>
      <c r="G217" s="59"/>
      <c r="H217" s="9"/>
    </row>
    <row r="218">
      <c r="A218" s="9"/>
      <c r="B218" s="9"/>
      <c r="C218" s="9"/>
      <c r="D218" s="9"/>
      <c r="E218" s="9"/>
      <c r="F218" s="9"/>
      <c r="G218" s="59"/>
      <c r="H218" s="9"/>
    </row>
    <row r="219">
      <c r="A219" s="9"/>
      <c r="B219" s="9"/>
      <c r="C219" s="9"/>
      <c r="D219" s="9"/>
      <c r="E219" s="9"/>
      <c r="F219" s="9"/>
      <c r="G219" s="59"/>
      <c r="H219" s="9"/>
    </row>
    <row r="220">
      <c r="A220" s="9"/>
      <c r="B220" s="9"/>
      <c r="C220" s="9"/>
      <c r="D220" s="9"/>
      <c r="E220" s="9"/>
      <c r="F220" s="9"/>
      <c r="G220" s="59"/>
      <c r="H220" s="9"/>
    </row>
    <row r="221">
      <c r="A221" s="9"/>
      <c r="B221" s="9"/>
      <c r="C221" s="9"/>
      <c r="D221" s="9"/>
      <c r="E221" s="9"/>
      <c r="F221" s="9"/>
      <c r="G221" s="59"/>
      <c r="H221" s="9"/>
    </row>
    <row r="222">
      <c r="A222" s="9"/>
      <c r="B222" s="9"/>
      <c r="C222" s="9"/>
      <c r="D222" s="9"/>
      <c r="E222" s="9"/>
      <c r="F222" s="9"/>
      <c r="G222" s="59"/>
      <c r="H222" s="9"/>
    </row>
    <row r="223">
      <c r="A223" s="9"/>
      <c r="B223" s="9"/>
      <c r="C223" s="9"/>
      <c r="D223" s="9"/>
      <c r="E223" s="9"/>
      <c r="F223" s="9"/>
      <c r="G223" s="59"/>
      <c r="H223" s="9"/>
    </row>
    <row r="224">
      <c r="A224" s="9"/>
      <c r="B224" s="9"/>
      <c r="C224" s="9"/>
      <c r="D224" s="9"/>
      <c r="E224" s="9"/>
      <c r="F224" s="9"/>
      <c r="G224" s="59"/>
      <c r="H224" s="9"/>
    </row>
    <row r="225">
      <c r="A225" s="9"/>
      <c r="B225" s="9"/>
      <c r="C225" s="9"/>
      <c r="D225" s="9"/>
      <c r="E225" s="9"/>
      <c r="F225" s="9"/>
      <c r="G225" s="59"/>
      <c r="H225" s="9"/>
    </row>
    <row r="226">
      <c r="A226" s="9"/>
      <c r="B226" s="9"/>
      <c r="C226" s="9"/>
      <c r="D226" s="9"/>
      <c r="E226" s="9"/>
      <c r="F226" s="9"/>
      <c r="G226" s="59"/>
      <c r="H226" s="9"/>
    </row>
    <row r="227">
      <c r="A227" s="9"/>
      <c r="B227" s="9"/>
      <c r="C227" s="9"/>
      <c r="D227" s="9"/>
      <c r="E227" s="9"/>
      <c r="F227" s="9"/>
      <c r="G227" s="59"/>
      <c r="H227" s="9"/>
    </row>
    <row r="228">
      <c r="A228" s="9"/>
      <c r="B228" s="9"/>
      <c r="C228" s="9"/>
      <c r="D228" s="9"/>
      <c r="E228" s="9"/>
      <c r="F228" s="9"/>
      <c r="G228" s="59"/>
      <c r="H228" s="9"/>
    </row>
    <row r="229">
      <c r="A229" s="9"/>
      <c r="B229" s="9"/>
      <c r="C229" s="9"/>
      <c r="D229" s="9"/>
      <c r="E229" s="9"/>
      <c r="F229" s="9"/>
      <c r="G229" s="59"/>
      <c r="H229" s="9"/>
    </row>
    <row r="230">
      <c r="A230" s="9"/>
      <c r="B230" s="9"/>
      <c r="C230" s="9"/>
      <c r="D230" s="9"/>
      <c r="E230" s="9"/>
      <c r="F230" s="9"/>
      <c r="G230" s="59"/>
      <c r="H230" s="9"/>
    </row>
    <row r="231">
      <c r="A231" s="9"/>
      <c r="B231" s="9"/>
      <c r="C231" s="9"/>
      <c r="D231" s="9"/>
      <c r="E231" s="9"/>
      <c r="F231" s="9"/>
      <c r="G231" s="59"/>
      <c r="H231" s="9"/>
    </row>
    <row r="232">
      <c r="A232" s="9"/>
      <c r="B232" s="9"/>
      <c r="C232" s="9"/>
      <c r="D232" s="9"/>
      <c r="E232" s="9"/>
      <c r="F232" s="9"/>
      <c r="G232" s="59"/>
      <c r="H232" s="9"/>
    </row>
    <row r="233">
      <c r="A233" s="9"/>
      <c r="B233" s="9"/>
      <c r="C233" s="9"/>
      <c r="D233" s="9"/>
      <c r="E233" s="9"/>
      <c r="F233" s="9"/>
      <c r="G233" s="59"/>
      <c r="H233" s="9"/>
    </row>
    <row r="234">
      <c r="A234" s="9"/>
      <c r="B234" s="9"/>
      <c r="C234" s="9"/>
      <c r="D234" s="9"/>
      <c r="E234" s="9"/>
      <c r="F234" s="9"/>
      <c r="G234" s="59"/>
      <c r="H234" s="9"/>
    </row>
    <row r="235">
      <c r="A235" s="9"/>
      <c r="B235" s="9"/>
      <c r="C235" s="9"/>
      <c r="D235" s="9"/>
      <c r="E235" s="9"/>
      <c r="F235" s="9"/>
      <c r="G235" s="59"/>
      <c r="H235" s="9"/>
    </row>
    <row r="236">
      <c r="A236" s="9"/>
      <c r="B236" s="9"/>
      <c r="C236" s="9"/>
      <c r="D236" s="9"/>
      <c r="E236" s="9"/>
      <c r="F236" s="9"/>
      <c r="G236" s="59"/>
      <c r="H236" s="9"/>
    </row>
    <row r="237">
      <c r="A237" s="9"/>
      <c r="B237" s="9"/>
      <c r="C237" s="9"/>
      <c r="D237" s="9"/>
      <c r="E237" s="9"/>
      <c r="F237" s="9"/>
      <c r="G237" s="59"/>
      <c r="H237" s="9"/>
    </row>
    <row r="238">
      <c r="A238" s="9"/>
      <c r="B238" s="9"/>
      <c r="C238" s="9"/>
      <c r="D238" s="9"/>
      <c r="E238" s="9"/>
      <c r="F238" s="9"/>
      <c r="G238" s="59"/>
      <c r="H238" s="9"/>
    </row>
    <row r="239">
      <c r="A239" s="9"/>
      <c r="B239" s="9"/>
      <c r="C239" s="9"/>
      <c r="D239" s="9"/>
      <c r="E239" s="9"/>
      <c r="F239" s="9"/>
      <c r="G239" s="59"/>
      <c r="H239" s="9"/>
    </row>
    <row r="240">
      <c r="A240" s="9"/>
      <c r="B240" s="9"/>
      <c r="C240" s="9"/>
      <c r="D240" s="9"/>
      <c r="E240" s="9"/>
      <c r="F240" s="9"/>
      <c r="G240" s="59"/>
      <c r="H240" s="9"/>
    </row>
    <row r="241">
      <c r="A241" s="9"/>
      <c r="B241" s="9"/>
      <c r="C241" s="9"/>
      <c r="D241" s="9"/>
      <c r="E241" s="9"/>
      <c r="F241" s="9"/>
      <c r="G241" s="59"/>
      <c r="H241" s="9"/>
    </row>
    <row r="242">
      <c r="A242" s="9"/>
      <c r="B242" s="9"/>
      <c r="C242" s="9"/>
      <c r="D242" s="9"/>
      <c r="E242" s="9"/>
      <c r="F242" s="9"/>
      <c r="G242" s="59"/>
      <c r="H242" s="9"/>
    </row>
    <row r="243">
      <c r="A243" s="9"/>
      <c r="B243" s="9"/>
      <c r="C243" s="9"/>
      <c r="D243" s="9"/>
      <c r="E243" s="9"/>
      <c r="F243" s="9"/>
      <c r="G243" s="59"/>
      <c r="H243" s="9"/>
    </row>
    <row r="244">
      <c r="A244" s="9"/>
      <c r="B244" s="9"/>
      <c r="C244" s="9"/>
      <c r="D244" s="9"/>
      <c r="E244" s="9"/>
      <c r="F244" s="9"/>
      <c r="G244" s="59"/>
      <c r="H244" s="9"/>
    </row>
    <row r="245">
      <c r="A245" s="9"/>
      <c r="B245" s="9"/>
      <c r="C245" s="9"/>
      <c r="D245" s="9"/>
      <c r="E245" s="9"/>
      <c r="F245" s="9"/>
      <c r="G245" s="59"/>
      <c r="H245" s="9"/>
    </row>
    <row r="246">
      <c r="A246" s="9"/>
      <c r="B246" s="9"/>
      <c r="C246" s="9"/>
      <c r="D246" s="9"/>
      <c r="E246" s="9"/>
      <c r="F246" s="9"/>
      <c r="G246" s="59"/>
      <c r="H246" s="9"/>
    </row>
    <row r="247">
      <c r="A247" s="9"/>
      <c r="B247" s="9"/>
      <c r="C247" s="9"/>
      <c r="D247" s="9"/>
      <c r="E247" s="9"/>
      <c r="F247" s="9"/>
      <c r="G247" s="59"/>
      <c r="H247" s="9"/>
    </row>
    <row r="248">
      <c r="A248" s="9"/>
      <c r="B248" s="9"/>
      <c r="C248" s="9"/>
      <c r="D248" s="9"/>
      <c r="E248" s="9"/>
      <c r="F248" s="9"/>
      <c r="G248" s="59"/>
      <c r="H248" s="9"/>
    </row>
    <row r="249">
      <c r="A249" s="9"/>
      <c r="B249" s="9"/>
      <c r="C249" s="9"/>
      <c r="D249" s="9"/>
      <c r="E249" s="9"/>
      <c r="F249" s="9"/>
      <c r="G249" s="59"/>
      <c r="H249" s="9"/>
    </row>
    <row r="250">
      <c r="A250" s="9"/>
      <c r="B250" s="9"/>
      <c r="C250" s="9"/>
      <c r="D250" s="9"/>
      <c r="E250" s="9"/>
      <c r="F250" s="9"/>
      <c r="G250" s="59"/>
      <c r="H250" s="9"/>
    </row>
    <row r="251">
      <c r="A251" s="9"/>
      <c r="B251" s="9"/>
      <c r="C251" s="9"/>
      <c r="D251" s="9"/>
      <c r="E251" s="9"/>
      <c r="F251" s="9"/>
      <c r="G251" s="59"/>
      <c r="H251" s="9"/>
    </row>
    <row r="252">
      <c r="A252" s="9"/>
      <c r="B252" s="9"/>
      <c r="C252" s="9"/>
      <c r="D252" s="9"/>
      <c r="E252" s="9"/>
      <c r="F252" s="9"/>
      <c r="G252" s="59"/>
      <c r="H252" s="9"/>
    </row>
    <row r="253">
      <c r="A253" s="9"/>
      <c r="B253" s="9"/>
      <c r="C253" s="9"/>
      <c r="D253" s="9"/>
      <c r="E253" s="9"/>
      <c r="F253" s="9"/>
      <c r="G253" s="59"/>
      <c r="H253" s="9"/>
    </row>
    <row r="254">
      <c r="A254" s="9"/>
      <c r="B254" s="9"/>
      <c r="C254" s="9"/>
      <c r="D254" s="9"/>
      <c r="E254" s="9"/>
      <c r="F254" s="9"/>
      <c r="G254" s="59"/>
      <c r="H254" s="9"/>
    </row>
    <row r="255">
      <c r="A255" s="9"/>
      <c r="B255" s="9"/>
      <c r="C255" s="9"/>
      <c r="D255" s="9"/>
      <c r="E255" s="9"/>
      <c r="F255" s="9"/>
      <c r="G255" s="59"/>
      <c r="H255" s="9"/>
    </row>
    <row r="256">
      <c r="A256" s="9"/>
      <c r="B256" s="9"/>
      <c r="C256" s="9"/>
      <c r="D256" s="9"/>
      <c r="E256" s="9"/>
      <c r="F256" s="9"/>
      <c r="G256" s="59"/>
      <c r="H256" s="9"/>
    </row>
    <row r="257">
      <c r="A257" s="9"/>
      <c r="B257" s="9"/>
      <c r="C257" s="9"/>
      <c r="D257" s="9"/>
      <c r="E257" s="9"/>
      <c r="F257" s="9"/>
      <c r="G257" s="59"/>
      <c r="H257" s="9"/>
    </row>
    <row r="258">
      <c r="A258" s="9"/>
      <c r="B258" s="9"/>
      <c r="C258" s="9"/>
      <c r="D258" s="9"/>
      <c r="E258" s="9"/>
      <c r="F258" s="9"/>
      <c r="G258" s="59"/>
      <c r="H258" s="9"/>
    </row>
    <row r="259">
      <c r="A259" s="9"/>
      <c r="B259" s="9"/>
      <c r="C259" s="9"/>
      <c r="D259" s="9"/>
      <c r="E259" s="9"/>
      <c r="F259" s="9"/>
      <c r="G259" s="59"/>
      <c r="H259" s="9"/>
    </row>
    <row r="260">
      <c r="A260" s="9"/>
      <c r="B260" s="9"/>
      <c r="C260" s="9"/>
      <c r="D260" s="9"/>
      <c r="E260" s="9"/>
      <c r="F260" s="9"/>
      <c r="G260" s="59"/>
      <c r="H260" s="9"/>
    </row>
    <row r="261">
      <c r="A261" s="9"/>
      <c r="B261" s="9"/>
      <c r="C261" s="9"/>
      <c r="D261" s="9"/>
      <c r="E261" s="9"/>
      <c r="F261" s="9"/>
      <c r="G261" s="59"/>
      <c r="H261" s="9"/>
    </row>
    <row r="262">
      <c r="A262" s="9"/>
      <c r="B262" s="9"/>
      <c r="C262" s="9"/>
      <c r="D262" s="9"/>
      <c r="E262" s="9"/>
      <c r="F262" s="9"/>
      <c r="G262" s="59"/>
      <c r="H262" s="9"/>
    </row>
    <row r="263">
      <c r="A263" s="9"/>
      <c r="B263" s="9"/>
      <c r="C263" s="9"/>
      <c r="D263" s="9"/>
      <c r="E263" s="9"/>
      <c r="F263" s="9"/>
      <c r="G263" s="59"/>
      <c r="H263" s="9"/>
    </row>
    <row r="264">
      <c r="A264" s="9"/>
      <c r="B264" s="9"/>
      <c r="C264" s="9"/>
      <c r="D264" s="9"/>
      <c r="E264" s="9"/>
      <c r="F264" s="9"/>
      <c r="G264" s="59"/>
      <c r="H264" s="9"/>
    </row>
    <row r="265">
      <c r="A265" s="9"/>
      <c r="B265" s="9"/>
      <c r="C265" s="9"/>
      <c r="D265" s="9"/>
      <c r="E265" s="9"/>
      <c r="F265" s="9"/>
      <c r="G265" s="59"/>
      <c r="H265" s="9"/>
    </row>
    <row r="266">
      <c r="A266" s="9"/>
      <c r="B266" s="9"/>
      <c r="C266" s="9"/>
      <c r="D266" s="9"/>
      <c r="E266" s="9"/>
      <c r="F266" s="9"/>
      <c r="G266" s="59"/>
      <c r="H266" s="9"/>
    </row>
    <row r="267">
      <c r="A267" s="9"/>
      <c r="B267" s="9"/>
      <c r="C267" s="9"/>
      <c r="D267" s="9"/>
      <c r="E267" s="9"/>
      <c r="F267" s="9"/>
      <c r="G267" s="59"/>
      <c r="H267" s="9"/>
    </row>
    <row r="268">
      <c r="A268" s="9"/>
      <c r="B268" s="9"/>
      <c r="C268" s="9"/>
      <c r="D268" s="9"/>
      <c r="E268" s="9"/>
      <c r="F268" s="9"/>
      <c r="G268" s="59"/>
      <c r="H268" s="9"/>
    </row>
    <row r="269">
      <c r="A269" s="9"/>
      <c r="B269" s="9"/>
      <c r="C269" s="9"/>
      <c r="D269" s="9"/>
      <c r="E269" s="9"/>
      <c r="F269" s="9"/>
      <c r="G269" s="59"/>
      <c r="H269" s="9"/>
    </row>
    <row r="270">
      <c r="A270" s="9"/>
      <c r="B270" s="9"/>
      <c r="C270" s="9"/>
      <c r="D270" s="9"/>
      <c r="E270" s="9"/>
      <c r="F270" s="9"/>
      <c r="G270" s="59"/>
      <c r="H270" s="9"/>
    </row>
    <row r="271">
      <c r="A271" s="9"/>
      <c r="B271" s="9"/>
      <c r="C271" s="9"/>
      <c r="D271" s="9"/>
      <c r="E271" s="9"/>
      <c r="F271" s="9"/>
      <c r="G271" s="59"/>
      <c r="H271" s="9"/>
    </row>
    <row r="272">
      <c r="A272" s="9"/>
      <c r="B272" s="9"/>
      <c r="C272" s="9"/>
      <c r="D272" s="9"/>
      <c r="E272" s="9"/>
      <c r="F272" s="9"/>
      <c r="G272" s="59"/>
      <c r="H272" s="9"/>
    </row>
    <row r="273">
      <c r="A273" s="9"/>
      <c r="B273" s="9"/>
      <c r="C273" s="9"/>
      <c r="D273" s="9"/>
      <c r="E273" s="9"/>
      <c r="F273" s="9"/>
      <c r="G273" s="59"/>
      <c r="H273" s="9"/>
    </row>
    <row r="274">
      <c r="A274" s="9"/>
      <c r="B274" s="9"/>
      <c r="C274" s="9"/>
      <c r="D274" s="9"/>
      <c r="E274" s="9"/>
      <c r="F274" s="9"/>
      <c r="G274" s="59"/>
      <c r="H274" s="9"/>
    </row>
    <row r="275">
      <c r="A275" s="9"/>
      <c r="B275" s="9"/>
      <c r="C275" s="9"/>
      <c r="D275" s="9"/>
      <c r="E275" s="9"/>
      <c r="F275" s="9"/>
      <c r="G275" s="59"/>
      <c r="H275" s="9"/>
    </row>
    <row r="276">
      <c r="A276" s="9"/>
      <c r="B276" s="9"/>
      <c r="C276" s="9"/>
      <c r="D276" s="9"/>
      <c r="E276" s="9"/>
      <c r="F276" s="9"/>
      <c r="G276" s="59"/>
      <c r="H276" s="9"/>
    </row>
    <row r="277">
      <c r="A277" s="9"/>
      <c r="B277" s="9"/>
      <c r="C277" s="9"/>
      <c r="D277" s="9"/>
      <c r="E277" s="9"/>
      <c r="F277" s="9"/>
      <c r="G277" s="59"/>
      <c r="H277" s="9"/>
    </row>
    <row r="278">
      <c r="A278" s="9"/>
      <c r="B278" s="9"/>
      <c r="C278" s="9"/>
      <c r="D278" s="9"/>
      <c r="E278" s="9"/>
      <c r="F278" s="9"/>
      <c r="G278" s="59"/>
      <c r="H278" s="9"/>
    </row>
    <row r="279">
      <c r="A279" s="9"/>
      <c r="B279" s="9"/>
      <c r="C279" s="9"/>
      <c r="D279" s="9"/>
      <c r="E279" s="9"/>
      <c r="F279" s="9"/>
      <c r="G279" s="59"/>
      <c r="H279" s="9"/>
    </row>
    <row r="280">
      <c r="A280" s="9"/>
      <c r="B280" s="9"/>
      <c r="C280" s="9"/>
      <c r="D280" s="9"/>
      <c r="E280" s="9"/>
      <c r="F280" s="9"/>
      <c r="G280" s="59"/>
      <c r="H280" s="9"/>
    </row>
    <row r="281">
      <c r="A281" s="9"/>
      <c r="B281" s="9"/>
      <c r="C281" s="9"/>
      <c r="D281" s="9"/>
      <c r="E281" s="9"/>
      <c r="F281" s="9"/>
      <c r="G281" s="59"/>
      <c r="H281" s="9"/>
    </row>
    <row r="282">
      <c r="A282" s="9"/>
      <c r="B282" s="9"/>
      <c r="C282" s="9"/>
      <c r="D282" s="9"/>
      <c r="E282" s="9"/>
      <c r="F282" s="9"/>
      <c r="G282" s="59"/>
      <c r="H282" s="9"/>
    </row>
    <row r="283">
      <c r="A283" s="9"/>
      <c r="B283" s="9"/>
      <c r="C283" s="9"/>
      <c r="D283" s="9"/>
      <c r="E283" s="9"/>
      <c r="F283" s="9"/>
      <c r="G283" s="59"/>
      <c r="H283" s="9"/>
    </row>
    <row r="284">
      <c r="A284" s="9"/>
      <c r="B284" s="9"/>
      <c r="C284" s="9"/>
      <c r="D284" s="9"/>
      <c r="E284" s="9"/>
      <c r="F284" s="9"/>
      <c r="G284" s="59"/>
      <c r="H284" s="9"/>
    </row>
    <row r="285">
      <c r="A285" s="9"/>
      <c r="B285" s="9"/>
      <c r="C285" s="9"/>
      <c r="D285" s="9"/>
      <c r="E285" s="9"/>
      <c r="F285" s="9"/>
      <c r="G285" s="59"/>
      <c r="H285" s="9"/>
    </row>
    <row r="286">
      <c r="A286" s="9"/>
      <c r="B286" s="9"/>
      <c r="C286" s="9"/>
      <c r="D286" s="9"/>
      <c r="E286" s="9"/>
      <c r="F286" s="9"/>
      <c r="G286" s="59"/>
      <c r="H286" s="9"/>
    </row>
    <row r="287">
      <c r="A287" s="9"/>
      <c r="B287" s="9"/>
      <c r="C287" s="9"/>
      <c r="D287" s="9"/>
      <c r="E287" s="9"/>
      <c r="F287" s="9"/>
      <c r="G287" s="59"/>
      <c r="H287" s="9"/>
    </row>
    <row r="288">
      <c r="A288" s="9"/>
      <c r="B288" s="9"/>
      <c r="C288" s="9"/>
      <c r="D288" s="9"/>
      <c r="E288" s="9"/>
      <c r="F288" s="9"/>
      <c r="G288" s="59"/>
      <c r="H288" s="9"/>
    </row>
    <row r="289">
      <c r="A289" s="9"/>
      <c r="B289" s="9"/>
      <c r="C289" s="9"/>
      <c r="D289" s="9"/>
      <c r="E289" s="9"/>
      <c r="F289" s="9"/>
      <c r="G289" s="59"/>
      <c r="H289" s="9"/>
    </row>
    <row r="290">
      <c r="A290" s="9"/>
      <c r="B290" s="9"/>
      <c r="C290" s="9"/>
      <c r="D290" s="9"/>
      <c r="E290" s="9"/>
      <c r="F290" s="9"/>
      <c r="G290" s="59"/>
      <c r="H290" s="9"/>
    </row>
    <row r="291">
      <c r="A291" s="9"/>
      <c r="B291" s="9"/>
      <c r="C291" s="9"/>
      <c r="D291" s="9"/>
      <c r="E291" s="9"/>
      <c r="F291" s="9"/>
      <c r="G291" s="59"/>
      <c r="H291" s="9"/>
    </row>
    <row r="292">
      <c r="A292" s="9"/>
      <c r="B292" s="9"/>
      <c r="C292" s="9"/>
      <c r="D292" s="9"/>
      <c r="E292" s="9"/>
      <c r="F292" s="9"/>
      <c r="G292" s="59"/>
      <c r="H292" s="9"/>
    </row>
    <row r="293">
      <c r="A293" s="9"/>
      <c r="B293" s="9"/>
      <c r="C293" s="9"/>
      <c r="D293" s="9"/>
      <c r="E293" s="9"/>
      <c r="F293" s="9"/>
      <c r="G293" s="59"/>
      <c r="H293" s="9"/>
    </row>
    <row r="294">
      <c r="A294" s="9"/>
      <c r="B294" s="9"/>
      <c r="C294" s="9"/>
      <c r="D294" s="9"/>
      <c r="E294" s="9"/>
      <c r="F294" s="9"/>
      <c r="G294" s="59"/>
      <c r="H294" s="9"/>
    </row>
    <row r="295">
      <c r="A295" s="9"/>
      <c r="B295" s="9"/>
      <c r="C295" s="9"/>
      <c r="D295" s="9"/>
      <c r="E295" s="9"/>
      <c r="F295" s="9"/>
      <c r="G295" s="59"/>
      <c r="H295" s="9"/>
    </row>
    <row r="296">
      <c r="A296" s="9"/>
      <c r="B296" s="9"/>
      <c r="C296" s="9"/>
      <c r="D296" s="9"/>
      <c r="E296" s="9"/>
      <c r="F296" s="9"/>
      <c r="G296" s="59"/>
      <c r="H296" s="9"/>
    </row>
    <row r="297">
      <c r="A297" s="9"/>
      <c r="B297" s="9"/>
      <c r="C297" s="9"/>
      <c r="D297" s="9"/>
      <c r="E297" s="9"/>
      <c r="F297" s="9"/>
      <c r="G297" s="59"/>
      <c r="H297" s="9"/>
    </row>
    <row r="298">
      <c r="A298" s="9"/>
      <c r="B298" s="9"/>
      <c r="C298" s="9"/>
      <c r="D298" s="9"/>
      <c r="E298" s="9"/>
      <c r="F298" s="9"/>
      <c r="G298" s="59"/>
      <c r="H298" s="9"/>
    </row>
    <row r="299">
      <c r="A299" s="9"/>
      <c r="B299" s="9"/>
      <c r="C299" s="9"/>
      <c r="D299" s="9"/>
      <c r="E299" s="9"/>
      <c r="F299" s="9"/>
      <c r="G299" s="59"/>
      <c r="H299" s="9"/>
    </row>
    <row r="300">
      <c r="A300" s="9"/>
      <c r="B300" s="9"/>
      <c r="C300" s="9"/>
      <c r="D300" s="9"/>
      <c r="E300" s="9"/>
      <c r="F300" s="9"/>
      <c r="G300" s="59"/>
      <c r="H300" s="9"/>
    </row>
    <row r="301">
      <c r="A301" s="9"/>
      <c r="B301" s="9"/>
      <c r="C301" s="9"/>
      <c r="D301" s="9"/>
      <c r="E301" s="9"/>
      <c r="F301" s="9"/>
      <c r="G301" s="59"/>
      <c r="H301" s="9"/>
    </row>
    <row r="302">
      <c r="A302" s="9"/>
      <c r="B302" s="9"/>
      <c r="C302" s="9"/>
      <c r="D302" s="9"/>
      <c r="E302" s="9"/>
      <c r="F302" s="9"/>
      <c r="G302" s="59"/>
      <c r="H302" s="9"/>
    </row>
    <row r="303">
      <c r="A303" s="9"/>
      <c r="B303" s="9"/>
      <c r="C303" s="9"/>
      <c r="D303" s="9"/>
      <c r="E303" s="9"/>
      <c r="F303" s="9"/>
      <c r="G303" s="59"/>
      <c r="H303" s="9"/>
    </row>
    <row r="304">
      <c r="A304" s="9"/>
      <c r="B304" s="9"/>
      <c r="C304" s="9"/>
      <c r="D304" s="9"/>
      <c r="E304" s="9"/>
      <c r="F304" s="9"/>
      <c r="G304" s="59"/>
      <c r="H304" s="9"/>
    </row>
    <row r="305">
      <c r="A305" s="9"/>
      <c r="B305" s="9"/>
      <c r="C305" s="9"/>
      <c r="D305" s="9"/>
      <c r="E305" s="9"/>
      <c r="F305" s="9"/>
      <c r="G305" s="59"/>
      <c r="H305" s="9"/>
    </row>
    <row r="306">
      <c r="A306" s="9"/>
      <c r="B306" s="9"/>
      <c r="C306" s="9"/>
      <c r="D306" s="9"/>
      <c r="E306" s="9"/>
      <c r="F306" s="9"/>
      <c r="G306" s="59"/>
      <c r="H306" s="9"/>
    </row>
    <row r="307">
      <c r="A307" s="9"/>
      <c r="B307" s="9"/>
      <c r="C307" s="9"/>
      <c r="D307" s="9"/>
      <c r="E307" s="9"/>
      <c r="F307" s="9"/>
      <c r="G307" s="59"/>
      <c r="H307" s="9"/>
    </row>
    <row r="308">
      <c r="A308" s="9"/>
      <c r="B308" s="9"/>
      <c r="C308" s="9"/>
      <c r="D308" s="9"/>
      <c r="E308" s="9"/>
      <c r="F308" s="9"/>
      <c r="G308" s="59"/>
      <c r="H308" s="9"/>
    </row>
    <row r="309">
      <c r="A309" s="9"/>
      <c r="B309" s="9"/>
      <c r="C309" s="9"/>
      <c r="D309" s="9"/>
      <c r="E309" s="9"/>
      <c r="F309" s="9"/>
      <c r="G309" s="59"/>
      <c r="H309" s="9"/>
    </row>
    <row r="310">
      <c r="A310" s="9"/>
      <c r="B310" s="9"/>
      <c r="C310" s="9"/>
      <c r="D310" s="9"/>
      <c r="E310" s="9"/>
      <c r="F310" s="9"/>
      <c r="G310" s="59"/>
      <c r="H310" s="9"/>
    </row>
    <row r="311">
      <c r="A311" s="9"/>
      <c r="B311" s="9"/>
      <c r="C311" s="9"/>
      <c r="D311" s="9"/>
      <c r="E311" s="9"/>
      <c r="F311" s="9"/>
      <c r="G311" s="59"/>
      <c r="H311" s="9"/>
    </row>
    <row r="312">
      <c r="A312" s="9"/>
      <c r="B312" s="9"/>
      <c r="C312" s="9"/>
      <c r="D312" s="9"/>
      <c r="E312" s="9"/>
      <c r="F312" s="9"/>
      <c r="G312" s="59"/>
      <c r="H312" s="9"/>
    </row>
    <row r="313">
      <c r="A313" s="9"/>
      <c r="B313" s="9"/>
      <c r="C313" s="9"/>
      <c r="D313" s="9"/>
      <c r="E313" s="9"/>
      <c r="F313" s="9"/>
      <c r="G313" s="59"/>
      <c r="H313" s="9"/>
    </row>
    <row r="314">
      <c r="A314" s="9"/>
      <c r="B314" s="9"/>
      <c r="C314" s="9"/>
      <c r="D314" s="9"/>
      <c r="E314" s="9"/>
      <c r="F314" s="9"/>
      <c r="G314" s="59"/>
      <c r="H314" s="9"/>
    </row>
    <row r="315">
      <c r="A315" s="9"/>
      <c r="B315" s="9"/>
      <c r="C315" s="9"/>
      <c r="D315" s="9"/>
      <c r="E315" s="9"/>
      <c r="F315" s="9"/>
      <c r="G315" s="59"/>
      <c r="H315" s="9"/>
    </row>
    <row r="316">
      <c r="A316" s="9"/>
      <c r="B316" s="9"/>
      <c r="C316" s="9"/>
      <c r="D316" s="9"/>
      <c r="E316" s="9"/>
      <c r="F316" s="9"/>
      <c r="G316" s="59"/>
      <c r="H316" s="9"/>
    </row>
    <row r="317">
      <c r="A317" s="9"/>
      <c r="B317" s="9"/>
      <c r="C317" s="9"/>
      <c r="D317" s="9"/>
      <c r="E317" s="9"/>
      <c r="F317" s="9"/>
      <c r="G317" s="59"/>
      <c r="H317" s="9"/>
    </row>
    <row r="318">
      <c r="A318" s="9"/>
      <c r="B318" s="9"/>
      <c r="C318" s="9"/>
      <c r="D318" s="9"/>
      <c r="E318" s="9"/>
      <c r="F318" s="9"/>
      <c r="G318" s="59"/>
      <c r="H318" s="9"/>
    </row>
    <row r="319">
      <c r="A319" s="9"/>
      <c r="B319" s="9"/>
      <c r="C319" s="9"/>
      <c r="D319" s="9"/>
      <c r="E319" s="9"/>
      <c r="F319" s="9"/>
      <c r="G319" s="59"/>
      <c r="H319" s="9"/>
    </row>
    <row r="320">
      <c r="A320" s="9"/>
      <c r="B320" s="9"/>
      <c r="C320" s="9"/>
      <c r="D320" s="9"/>
      <c r="E320" s="9"/>
      <c r="F320" s="9"/>
      <c r="G320" s="59"/>
      <c r="H320" s="9"/>
    </row>
    <row r="321">
      <c r="A321" s="9"/>
      <c r="B321" s="9"/>
      <c r="C321" s="9"/>
      <c r="D321" s="9"/>
      <c r="E321" s="9"/>
      <c r="F321" s="9"/>
      <c r="G321" s="59"/>
      <c r="H321" s="9"/>
    </row>
    <row r="322">
      <c r="A322" s="9"/>
      <c r="B322" s="9"/>
      <c r="C322" s="9"/>
      <c r="D322" s="9"/>
      <c r="E322" s="9"/>
      <c r="F322" s="9"/>
      <c r="G322" s="59"/>
      <c r="H322" s="9"/>
    </row>
    <row r="323">
      <c r="A323" s="9"/>
      <c r="B323" s="9"/>
      <c r="C323" s="9"/>
      <c r="D323" s="9"/>
      <c r="E323" s="9"/>
      <c r="F323" s="9"/>
      <c r="G323" s="59"/>
      <c r="H323" s="9"/>
    </row>
    <row r="324">
      <c r="A324" s="9"/>
      <c r="B324" s="9"/>
      <c r="C324" s="9"/>
      <c r="D324" s="9"/>
      <c r="E324" s="9"/>
      <c r="F324" s="9"/>
      <c r="G324" s="59"/>
      <c r="H324" s="9"/>
    </row>
    <row r="325">
      <c r="A325" s="9"/>
      <c r="B325" s="9"/>
      <c r="C325" s="9"/>
      <c r="D325" s="9"/>
      <c r="E325" s="9"/>
      <c r="F325" s="9"/>
      <c r="G325" s="59"/>
      <c r="H325" s="9"/>
    </row>
    <row r="326">
      <c r="A326" s="9"/>
      <c r="B326" s="9"/>
      <c r="C326" s="9"/>
      <c r="D326" s="9"/>
      <c r="E326" s="9"/>
      <c r="F326" s="9"/>
      <c r="G326" s="59"/>
      <c r="H326" s="9"/>
    </row>
    <row r="327">
      <c r="A327" s="9"/>
      <c r="B327" s="9"/>
      <c r="C327" s="9"/>
      <c r="D327" s="9"/>
      <c r="E327" s="9"/>
      <c r="F327" s="9"/>
      <c r="G327" s="59"/>
      <c r="H327" s="9"/>
    </row>
    <row r="328">
      <c r="A328" s="9"/>
      <c r="B328" s="9"/>
      <c r="C328" s="9"/>
      <c r="D328" s="9"/>
      <c r="E328" s="9"/>
      <c r="F328" s="9"/>
      <c r="G328" s="59"/>
      <c r="H328" s="9"/>
    </row>
    <row r="329">
      <c r="A329" s="9"/>
      <c r="B329" s="9"/>
      <c r="C329" s="9"/>
      <c r="D329" s="9"/>
      <c r="E329" s="9"/>
      <c r="F329" s="9"/>
      <c r="G329" s="59"/>
      <c r="H329" s="9"/>
    </row>
    <row r="330">
      <c r="A330" s="9"/>
      <c r="B330" s="9"/>
      <c r="C330" s="9"/>
      <c r="D330" s="9"/>
      <c r="E330" s="9"/>
      <c r="F330" s="9"/>
      <c r="G330" s="59"/>
      <c r="H330" s="9"/>
    </row>
    <row r="331">
      <c r="A331" s="9"/>
      <c r="B331" s="9"/>
      <c r="C331" s="9"/>
      <c r="D331" s="9"/>
      <c r="E331" s="9"/>
      <c r="F331" s="9"/>
      <c r="G331" s="59"/>
      <c r="H331" s="9"/>
    </row>
    <row r="332">
      <c r="A332" s="9"/>
      <c r="B332" s="9"/>
      <c r="C332" s="9"/>
      <c r="D332" s="9"/>
      <c r="E332" s="9"/>
      <c r="F332" s="9"/>
      <c r="G332" s="59"/>
      <c r="H332" s="9"/>
    </row>
    <row r="333">
      <c r="A333" s="9"/>
      <c r="B333" s="9"/>
      <c r="C333" s="9"/>
      <c r="D333" s="9"/>
      <c r="E333" s="9"/>
      <c r="F333" s="9"/>
      <c r="G333" s="59"/>
      <c r="H333" s="9"/>
    </row>
    <row r="334">
      <c r="A334" s="9"/>
      <c r="B334" s="9"/>
      <c r="C334" s="9"/>
      <c r="D334" s="9"/>
      <c r="E334" s="9"/>
      <c r="F334" s="9"/>
      <c r="G334" s="59"/>
      <c r="H334" s="9"/>
    </row>
    <row r="335">
      <c r="A335" s="9"/>
      <c r="B335" s="9"/>
      <c r="C335" s="9"/>
      <c r="D335" s="9"/>
      <c r="E335" s="9"/>
      <c r="F335" s="9"/>
      <c r="G335" s="59"/>
      <c r="H335" s="9"/>
    </row>
    <row r="336">
      <c r="A336" s="9"/>
      <c r="B336" s="9"/>
      <c r="C336" s="9"/>
      <c r="D336" s="9"/>
      <c r="E336" s="9"/>
      <c r="F336" s="9"/>
      <c r="G336" s="59"/>
      <c r="H336" s="9"/>
    </row>
    <row r="337">
      <c r="A337" s="9"/>
      <c r="B337" s="9"/>
      <c r="C337" s="9"/>
      <c r="D337" s="9"/>
      <c r="E337" s="9"/>
      <c r="F337" s="9"/>
      <c r="G337" s="59"/>
      <c r="H337" s="9"/>
    </row>
    <row r="338">
      <c r="A338" s="9"/>
      <c r="B338" s="9"/>
      <c r="C338" s="9"/>
      <c r="D338" s="9"/>
      <c r="E338" s="9"/>
      <c r="F338" s="9"/>
      <c r="G338" s="59"/>
      <c r="H338" s="9"/>
    </row>
    <row r="339">
      <c r="A339" s="9"/>
      <c r="B339" s="9"/>
      <c r="C339" s="9"/>
      <c r="D339" s="9"/>
      <c r="E339" s="9"/>
      <c r="F339" s="9"/>
      <c r="G339" s="59"/>
      <c r="H339" s="9"/>
    </row>
    <row r="340">
      <c r="A340" s="9"/>
      <c r="B340" s="9"/>
      <c r="C340" s="9"/>
      <c r="D340" s="9"/>
      <c r="E340" s="9"/>
      <c r="F340" s="9"/>
      <c r="G340" s="59"/>
      <c r="H340" s="9"/>
    </row>
    <row r="341">
      <c r="A341" s="9"/>
      <c r="B341" s="9"/>
      <c r="C341" s="9"/>
      <c r="D341" s="9"/>
      <c r="E341" s="9"/>
      <c r="F341" s="9"/>
      <c r="G341" s="59"/>
      <c r="H341" s="9"/>
    </row>
    <row r="342">
      <c r="A342" s="9"/>
      <c r="B342" s="9"/>
      <c r="C342" s="9"/>
      <c r="D342" s="9"/>
      <c r="E342" s="9"/>
      <c r="F342" s="9"/>
      <c r="G342" s="59"/>
      <c r="H342" s="9"/>
    </row>
    <row r="343">
      <c r="A343" s="9"/>
      <c r="B343" s="9"/>
      <c r="C343" s="9"/>
      <c r="D343" s="9"/>
      <c r="E343" s="9"/>
      <c r="F343" s="9"/>
      <c r="G343" s="59"/>
      <c r="H343" s="9"/>
    </row>
    <row r="344">
      <c r="A344" s="9"/>
      <c r="B344" s="9"/>
      <c r="C344" s="9"/>
      <c r="D344" s="9"/>
      <c r="E344" s="9"/>
      <c r="F344" s="9"/>
      <c r="G344" s="59"/>
      <c r="H344" s="9"/>
    </row>
    <row r="345">
      <c r="A345" s="9"/>
      <c r="B345" s="9"/>
      <c r="C345" s="9"/>
      <c r="D345" s="9"/>
      <c r="E345" s="9"/>
      <c r="F345" s="9"/>
      <c r="G345" s="59"/>
      <c r="H345" s="9"/>
    </row>
    <row r="346">
      <c r="A346" s="9"/>
      <c r="B346" s="9"/>
      <c r="C346" s="9"/>
      <c r="D346" s="9"/>
      <c r="E346" s="9"/>
      <c r="F346" s="9"/>
      <c r="G346" s="59"/>
      <c r="H346" s="9"/>
    </row>
    <row r="347">
      <c r="A347" s="9"/>
      <c r="B347" s="9"/>
      <c r="C347" s="9"/>
      <c r="D347" s="9"/>
      <c r="E347" s="9"/>
      <c r="F347" s="9"/>
      <c r="G347" s="59"/>
      <c r="H347" s="9"/>
    </row>
    <row r="348">
      <c r="A348" s="9"/>
      <c r="B348" s="9"/>
      <c r="C348" s="9"/>
      <c r="D348" s="9"/>
      <c r="E348" s="9"/>
      <c r="F348" s="9"/>
      <c r="G348" s="59"/>
      <c r="H348" s="9"/>
    </row>
    <row r="349">
      <c r="A349" s="9"/>
      <c r="B349" s="9"/>
      <c r="C349" s="9"/>
      <c r="D349" s="9"/>
      <c r="E349" s="9"/>
      <c r="F349" s="9"/>
      <c r="G349" s="59"/>
      <c r="H349" s="9"/>
    </row>
    <row r="350">
      <c r="A350" s="9"/>
      <c r="B350" s="9"/>
      <c r="C350" s="9"/>
      <c r="D350" s="9"/>
      <c r="E350" s="9"/>
      <c r="F350" s="9"/>
      <c r="G350" s="59"/>
      <c r="H350" s="9"/>
    </row>
    <row r="351">
      <c r="A351" s="9"/>
      <c r="B351" s="9"/>
      <c r="C351" s="9"/>
      <c r="D351" s="9"/>
      <c r="E351" s="9"/>
      <c r="F351" s="9"/>
      <c r="G351" s="59"/>
      <c r="H351" s="9"/>
    </row>
    <row r="352">
      <c r="A352" s="9"/>
      <c r="B352" s="9"/>
      <c r="C352" s="9"/>
      <c r="D352" s="9"/>
      <c r="E352" s="9"/>
      <c r="F352" s="9"/>
      <c r="G352" s="59"/>
      <c r="H352" s="9"/>
    </row>
    <row r="353">
      <c r="A353" s="9"/>
      <c r="B353" s="9"/>
      <c r="C353" s="9"/>
      <c r="D353" s="9"/>
      <c r="E353" s="9"/>
      <c r="F353" s="9"/>
      <c r="G353" s="59"/>
      <c r="H353" s="9"/>
    </row>
    <row r="354">
      <c r="A354" s="9"/>
      <c r="B354" s="9"/>
      <c r="C354" s="9"/>
      <c r="D354" s="9"/>
      <c r="E354" s="9"/>
      <c r="F354" s="9"/>
      <c r="G354" s="59"/>
      <c r="H354" s="9"/>
    </row>
    <row r="355">
      <c r="A355" s="9"/>
      <c r="B355" s="9"/>
      <c r="C355" s="9"/>
      <c r="D355" s="9"/>
      <c r="E355" s="9"/>
      <c r="F355" s="9"/>
      <c r="G355" s="59"/>
      <c r="H355" s="9"/>
    </row>
    <row r="356">
      <c r="A356" s="9"/>
      <c r="B356" s="9"/>
      <c r="C356" s="9"/>
      <c r="D356" s="9"/>
      <c r="E356" s="9"/>
      <c r="F356" s="9"/>
      <c r="G356" s="59"/>
      <c r="H356" s="9"/>
    </row>
    <row r="357">
      <c r="A357" s="9"/>
      <c r="B357" s="9"/>
      <c r="C357" s="9"/>
      <c r="D357" s="9"/>
      <c r="E357" s="9"/>
      <c r="F357" s="9"/>
      <c r="G357" s="59"/>
      <c r="H357" s="9"/>
    </row>
    <row r="358">
      <c r="A358" s="9"/>
      <c r="B358" s="9"/>
      <c r="C358" s="9"/>
      <c r="D358" s="9"/>
      <c r="E358" s="9"/>
      <c r="F358" s="9"/>
      <c r="G358" s="59"/>
      <c r="H358" s="9"/>
    </row>
    <row r="359">
      <c r="A359" s="9"/>
      <c r="B359" s="9"/>
      <c r="C359" s="9"/>
      <c r="D359" s="9"/>
      <c r="E359" s="9"/>
      <c r="F359" s="9"/>
      <c r="G359" s="59"/>
      <c r="H359" s="9"/>
    </row>
    <row r="360">
      <c r="A360" s="9"/>
      <c r="B360" s="9"/>
      <c r="C360" s="9"/>
      <c r="D360" s="9"/>
      <c r="E360" s="9"/>
      <c r="F360" s="9"/>
      <c r="G360" s="59"/>
      <c r="H360" s="9"/>
    </row>
    <row r="361">
      <c r="A361" s="9"/>
      <c r="B361" s="9"/>
      <c r="C361" s="9"/>
      <c r="D361" s="9"/>
      <c r="E361" s="9"/>
      <c r="F361" s="9"/>
      <c r="G361" s="59"/>
      <c r="H361" s="9"/>
    </row>
    <row r="362">
      <c r="A362" s="9"/>
      <c r="B362" s="9"/>
      <c r="C362" s="9"/>
      <c r="D362" s="9"/>
      <c r="E362" s="9"/>
      <c r="F362" s="9"/>
      <c r="G362" s="59"/>
      <c r="H362" s="9"/>
    </row>
    <row r="363">
      <c r="A363" s="9"/>
      <c r="B363" s="9"/>
      <c r="C363" s="9"/>
      <c r="D363" s="9"/>
      <c r="E363" s="9"/>
      <c r="F363" s="9"/>
      <c r="G363" s="59"/>
      <c r="H363" s="9"/>
    </row>
    <row r="364">
      <c r="A364" s="9"/>
      <c r="B364" s="9"/>
      <c r="C364" s="9"/>
      <c r="D364" s="9"/>
      <c r="E364" s="9"/>
      <c r="F364" s="9"/>
      <c r="G364" s="59"/>
      <c r="H364" s="9"/>
    </row>
    <row r="365">
      <c r="A365" s="9"/>
      <c r="B365" s="9"/>
      <c r="C365" s="9"/>
      <c r="D365" s="9"/>
      <c r="E365" s="9"/>
      <c r="F365" s="9"/>
      <c r="G365" s="59"/>
      <c r="H365" s="9"/>
    </row>
    <row r="366">
      <c r="A366" s="9"/>
      <c r="B366" s="9"/>
      <c r="C366" s="9"/>
      <c r="D366" s="9"/>
      <c r="E366" s="9"/>
      <c r="F366" s="9"/>
      <c r="G366" s="59"/>
      <c r="H366" s="9"/>
    </row>
    <row r="367">
      <c r="A367" s="9"/>
      <c r="B367" s="9"/>
      <c r="C367" s="9"/>
      <c r="D367" s="9"/>
      <c r="E367" s="9"/>
      <c r="F367" s="9"/>
      <c r="G367" s="59"/>
      <c r="H367" s="9"/>
    </row>
    <row r="368">
      <c r="A368" s="9"/>
      <c r="B368" s="9"/>
      <c r="C368" s="9"/>
      <c r="D368" s="9"/>
      <c r="E368" s="9"/>
      <c r="F368" s="9"/>
      <c r="G368" s="59"/>
      <c r="H368" s="9"/>
    </row>
    <row r="369">
      <c r="A369" s="9"/>
      <c r="B369" s="9"/>
      <c r="C369" s="9"/>
      <c r="D369" s="9"/>
      <c r="E369" s="9"/>
      <c r="F369" s="9"/>
      <c r="G369" s="59"/>
      <c r="H369" s="9"/>
    </row>
    <row r="370">
      <c r="A370" s="9"/>
      <c r="B370" s="9"/>
      <c r="C370" s="9"/>
      <c r="D370" s="9"/>
      <c r="E370" s="9"/>
      <c r="F370" s="9"/>
      <c r="G370" s="59"/>
      <c r="H370" s="9"/>
    </row>
    <row r="371">
      <c r="A371" s="9"/>
      <c r="B371" s="9"/>
      <c r="C371" s="9"/>
      <c r="D371" s="9"/>
      <c r="E371" s="9"/>
      <c r="F371" s="9"/>
      <c r="G371" s="59"/>
      <c r="H371" s="9"/>
    </row>
    <row r="372">
      <c r="A372" s="9"/>
      <c r="B372" s="9"/>
      <c r="C372" s="9"/>
      <c r="D372" s="9"/>
      <c r="E372" s="9"/>
      <c r="F372" s="9"/>
      <c r="G372" s="59"/>
      <c r="H372" s="9"/>
    </row>
    <row r="373">
      <c r="A373" s="9"/>
      <c r="B373" s="9"/>
      <c r="C373" s="9"/>
      <c r="D373" s="9"/>
      <c r="E373" s="9"/>
      <c r="F373" s="9"/>
      <c r="G373" s="59"/>
      <c r="H373" s="9"/>
    </row>
    <row r="374">
      <c r="A374" s="9"/>
      <c r="B374" s="9"/>
      <c r="C374" s="9"/>
      <c r="D374" s="9"/>
      <c r="E374" s="9"/>
      <c r="F374" s="9"/>
      <c r="G374" s="59"/>
      <c r="H374" s="9"/>
    </row>
    <row r="375">
      <c r="A375" s="9"/>
      <c r="B375" s="9"/>
      <c r="C375" s="9"/>
      <c r="D375" s="9"/>
      <c r="E375" s="9"/>
      <c r="F375" s="9"/>
      <c r="G375" s="59"/>
      <c r="H375" s="9"/>
    </row>
    <row r="376">
      <c r="A376" s="9"/>
      <c r="B376" s="9"/>
      <c r="C376" s="9"/>
      <c r="D376" s="9"/>
      <c r="E376" s="9"/>
      <c r="F376" s="9"/>
      <c r="G376" s="59"/>
      <c r="H376" s="9"/>
    </row>
    <row r="377">
      <c r="A377" s="9"/>
      <c r="B377" s="9"/>
      <c r="C377" s="9"/>
      <c r="D377" s="9"/>
      <c r="E377" s="9"/>
      <c r="F377" s="9"/>
      <c r="G377" s="59"/>
      <c r="H377" s="9"/>
    </row>
    <row r="378">
      <c r="A378" s="9"/>
      <c r="B378" s="9"/>
      <c r="C378" s="9"/>
      <c r="D378" s="9"/>
      <c r="E378" s="9"/>
      <c r="F378" s="9"/>
      <c r="G378" s="59"/>
      <c r="H378" s="9"/>
    </row>
    <row r="379">
      <c r="A379" s="9"/>
      <c r="B379" s="9"/>
      <c r="C379" s="9"/>
      <c r="D379" s="9"/>
      <c r="E379" s="9"/>
      <c r="F379" s="9"/>
      <c r="G379" s="59"/>
      <c r="H379" s="9"/>
    </row>
    <row r="380">
      <c r="A380" s="9"/>
      <c r="B380" s="9"/>
      <c r="C380" s="9"/>
      <c r="D380" s="9"/>
      <c r="E380" s="9"/>
      <c r="F380" s="9"/>
      <c r="G380" s="59"/>
      <c r="H380" s="9"/>
    </row>
    <row r="381">
      <c r="A381" s="9"/>
      <c r="B381" s="9"/>
      <c r="C381" s="9"/>
      <c r="D381" s="9"/>
      <c r="E381" s="9"/>
      <c r="F381" s="9"/>
      <c r="G381" s="59"/>
      <c r="H381" s="9"/>
    </row>
    <row r="382">
      <c r="A382" s="9"/>
      <c r="B382" s="9"/>
      <c r="C382" s="9"/>
      <c r="D382" s="9"/>
      <c r="E382" s="9"/>
      <c r="F382" s="9"/>
      <c r="G382" s="59"/>
      <c r="H382" s="9"/>
    </row>
    <row r="383">
      <c r="A383" s="9"/>
      <c r="B383" s="9"/>
      <c r="C383" s="9"/>
      <c r="D383" s="9"/>
      <c r="E383" s="9"/>
      <c r="F383" s="9"/>
      <c r="G383" s="59"/>
      <c r="H383" s="9"/>
    </row>
    <row r="384">
      <c r="A384" s="9"/>
      <c r="B384" s="9"/>
      <c r="C384" s="9"/>
      <c r="D384" s="9"/>
      <c r="E384" s="9"/>
      <c r="F384" s="9"/>
      <c r="G384" s="59"/>
      <c r="H384" s="9"/>
    </row>
    <row r="385">
      <c r="A385" s="9"/>
      <c r="B385" s="9"/>
      <c r="C385" s="9"/>
      <c r="D385" s="9"/>
      <c r="E385" s="9"/>
      <c r="F385" s="9"/>
      <c r="G385" s="59"/>
      <c r="H385" s="9"/>
    </row>
    <row r="386">
      <c r="A386" s="9"/>
      <c r="B386" s="9"/>
      <c r="C386" s="9"/>
      <c r="D386" s="9"/>
      <c r="E386" s="9"/>
      <c r="F386" s="9"/>
      <c r="G386" s="59"/>
      <c r="H386" s="9"/>
    </row>
    <row r="387">
      <c r="A387" s="9"/>
      <c r="B387" s="9"/>
      <c r="C387" s="9"/>
      <c r="D387" s="9"/>
      <c r="E387" s="9"/>
      <c r="F387" s="9"/>
      <c r="G387" s="59"/>
      <c r="H387" s="9"/>
    </row>
    <row r="388">
      <c r="A388" s="9"/>
      <c r="B388" s="9"/>
      <c r="C388" s="9"/>
      <c r="D388" s="9"/>
      <c r="E388" s="9"/>
      <c r="F388" s="9"/>
      <c r="G388" s="59"/>
      <c r="H388" s="9"/>
    </row>
    <row r="389">
      <c r="A389" s="9"/>
      <c r="B389" s="9"/>
      <c r="C389" s="9"/>
      <c r="D389" s="9"/>
      <c r="E389" s="9"/>
      <c r="F389" s="9"/>
      <c r="G389" s="59"/>
      <c r="H389" s="9"/>
    </row>
    <row r="390">
      <c r="A390" s="9"/>
      <c r="B390" s="9"/>
      <c r="C390" s="9"/>
      <c r="D390" s="9"/>
      <c r="E390" s="9"/>
      <c r="F390" s="9"/>
      <c r="G390" s="59"/>
      <c r="H390" s="9"/>
    </row>
    <row r="391">
      <c r="A391" s="9"/>
      <c r="B391" s="9"/>
      <c r="C391" s="9"/>
      <c r="D391" s="9"/>
      <c r="E391" s="9"/>
      <c r="F391" s="9"/>
      <c r="G391" s="59"/>
      <c r="H391" s="9"/>
    </row>
    <row r="392">
      <c r="A392" s="9"/>
      <c r="B392" s="9"/>
      <c r="C392" s="9"/>
      <c r="D392" s="9"/>
      <c r="E392" s="9"/>
      <c r="F392" s="9"/>
      <c r="G392" s="59"/>
      <c r="H392" s="9"/>
    </row>
    <row r="393">
      <c r="A393" s="9"/>
      <c r="B393" s="9"/>
      <c r="C393" s="9"/>
      <c r="D393" s="9"/>
      <c r="E393" s="9"/>
      <c r="F393" s="9"/>
      <c r="G393" s="59"/>
      <c r="H393" s="9"/>
    </row>
    <row r="394">
      <c r="A394" s="9"/>
      <c r="B394" s="9"/>
      <c r="C394" s="9"/>
      <c r="D394" s="9"/>
      <c r="E394" s="9"/>
      <c r="F394" s="9"/>
      <c r="G394" s="59"/>
      <c r="H394" s="9"/>
    </row>
    <row r="395">
      <c r="A395" s="9"/>
      <c r="B395" s="9"/>
      <c r="C395" s="9"/>
      <c r="D395" s="9"/>
      <c r="E395" s="9"/>
      <c r="F395" s="9"/>
      <c r="G395" s="59"/>
      <c r="H395" s="9"/>
    </row>
    <row r="396">
      <c r="A396" s="9"/>
      <c r="B396" s="9"/>
      <c r="C396" s="9"/>
      <c r="D396" s="9"/>
      <c r="E396" s="9"/>
      <c r="F396" s="9"/>
      <c r="G396" s="59"/>
      <c r="H396" s="9"/>
    </row>
    <row r="397">
      <c r="A397" s="9"/>
      <c r="B397" s="9"/>
      <c r="C397" s="9"/>
      <c r="D397" s="9"/>
      <c r="E397" s="9"/>
      <c r="F397" s="9"/>
      <c r="G397" s="59"/>
      <c r="H397" s="9"/>
    </row>
    <row r="398">
      <c r="A398" s="9"/>
      <c r="B398" s="9"/>
      <c r="C398" s="9"/>
      <c r="D398" s="9"/>
      <c r="E398" s="9"/>
      <c r="F398" s="9"/>
      <c r="G398" s="59"/>
      <c r="H398" s="9"/>
    </row>
    <row r="399">
      <c r="A399" s="9"/>
      <c r="B399" s="9"/>
      <c r="C399" s="9"/>
      <c r="D399" s="9"/>
      <c r="E399" s="9"/>
      <c r="F399" s="9"/>
      <c r="G399" s="59"/>
      <c r="H399" s="9"/>
    </row>
    <row r="400">
      <c r="A400" s="9"/>
      <c r="B400" s="9"/>
      <c r="C400" s="9"/>
      <c r="D400" s="9"/>
      <c r="E400" s="9"/>
      <c r="F400" s="9"/>
      <c r="G400" s="59"/>
      <c r="H400" s="9"/>
    </row>
    <row r="401">
      <c r="A401" s="9"/>
      <c r="B401" s="9"/>
      <c r="C401" s="9"/>
      <c r="D401" s="9"/>
      <c r="E401" s="9"/>
      <c r="F401" s="9"/>
      <c r="G401" s="59"/>
      <c r="H401" s="9"/>
    </row>
    <row r="402">
      <c r="A402" s="9"/>
      <c r="B402" s="9"/>
      <c r="C402" s="9"/>
      <c r="D402" s="9"/>
      <c r="E402" s="9"/>
      <c r="F402" s="9"/>
      <c r="G402" s="59"/>
      <c r="H402" s="9"/>
    </row>
    <row r="403">
      <c r="A403" s="9"/>
      <c r="B403" s="9"/>
      <c r="C403" s="9"/>
      <c r="D403" s="9"/>
      <c r="E403" s="9"/>
      <c r="F403" s="9"/>
      <c r="G403" s="59"/>
      <c r="H403" s="9"/>
    </row>
    <row r="404">
      <c r="A404" s="9"/>
      <c r="B404" s="9"/>
      <c r="C404" s="9"/>
      <c r="D404" s="9"/>
      <c r="E404" s="9"/>
      <c r="F404" s="9"/>
      <c r="G404" s="59"/>
      <c r="H404" s="9"/>
    </row>
    <row r="405">
      <c r="A405" s="9"/>
      <c r="B405" s="9"/>
      <c r="C405" s="9"/>
      <c r="D405" s="9"/>
      <c r="E405" s="9"/>
      <c r="F405" s="9"/>
      <c r="G405" s="59"/>
      <c r="H405" s="9"/>
    </row>
    <row r="406">
      <c r="A406" s="9"/>
      <c r="B406" s="9"/>
      <c r="C406" s="9"/>
      <c r="D406" s="9"/>
      <c r="E406" s="9"/>
      <c r="F406" s="9"/>
      <c r="G406" s="59"/>
      <c r="H406" s="9"/>
    </row>
    <row r="407">
      <c r="A407" s="9"/>
      <c r="B407" s="9"/>
      <c r="C407" s="9"/>
      <c r="D407" s="9"/>
      <c r="E407" s="9"/>
      <c r="F407" s="9"/>
      <c r="G407" s="59"/>
      <c r="H407" s="9"/>
    </row>
    <row r="408">
      <c r="A408" s="9"/>
      <c r="B408" s="9"/>
      <c r="C408" s="9"/>
      <c r="D408" s="9"/>
      <c r="E408" s="9"/>
      <c r="F408" s="9"/>
      <c r="G408" s="59"/>
      <c r="H408" s="9"/>
    </row>
    <row r="409">
      <c r="A409" s="9"/>
      <c r="B409" s="9"/>
      <c r="C409" s="9"/>
      <c r="D409" s="9"/>
      <c r="E409" s="9"/>
      <c r="F409" s="9"/>
      <c r="G409" s="59"/>
      <c r="H409" s="9"/>
    </row>
    <row r="410">
      <c r="A410" s="9"/>
      <c r="B410" s="9"/>
      <c r="C410" s="9"/>
      <c r="D410" s="9"/>
      <c r="E410" s="9"/>
      <c r="F410" s="9"/>
      <c r="G410" s="59"/>
      <c r="H410" s="9"/>
    </row>
    <row r="411">
      <c r="A411" s="9"/>
      <c r="B411" s="9"/>
      <c r="C411" s="9"/>
      <c r="D411" s="9"/>
      <c r="E411" s="9"/>
      <c r="F411" s="9"/>
      <c r="G411" s="59"/>
      <c r="H411" s="9"/>
    </row>
    <row r="412">
      <c r="A412" s="9"/>
      <c r="B412" s="9"/>
      <c r="C412" s="9"/>
      <c r="D412" s="9"/>
      <c r="E412" s="9"/>
      <c r="F412" s="9"/>
      <c r="G412" s="59"/>
      <c r="H412" s="9"/>
    </row>
    <row r="413">
      <c r="A413" s="9"/>
      <c r="B413" s="9"/>
      <c r="C413" s="9"/>
      <c r="D413" s="9"/>
      <c r="E413" s="9"/>
      <c r="F413" s="9"/>
      <c r="G413" s="59"/>
      <c r="H413" s="9"/>
    </row>
    <row r="414">
      <c r="A414" s="9"/>
      <c r="B414" s="9"/>
      <c r="C414" s="9"/>
      <c r="D414" s="9"/>
      <c r="E414" s="9"/>
      <c r="F414" s="9"/>
      <c r="G414" s="59"/>
      <c r="H414" s="9"/>
    </row>
    <row r="415">
      <c r="A415" s="9"/>
      <c r="B415" s="9"/>
      <c r="C415" s="9"/>
      <c r="D415" s="9"/>
      <c r="E415" s="9"/>
      <c r="F415" s="9"/>
      <c r="G415" s="59"/>
      <c r="H415" s="9"/>
    </row>
    <row r="416">
      <c r="A416" s="9"/>
      <c r="B416" s="9"/>
      <c r="C416" s="9"/>
      <c r="D416" s="9"/>
      <c r="E416" s="9"/>
      <c r="F416" s="9"/>
      <c r="G416" s="59"/>
      <c r="H416" s="9"/>
    </row>
    <row r="417">
      <c r="A417" s="9"/>
      <c r="B417" s="9"/>
      <c r="C417" s="9"/>
      <c r="D417" s="9"/>
      <c r="E417" s="9"/>
      <c r="F417" s="9"/>
      <c r="G417" s="59"/>
      <c r="H417" s="9"/>
    </row>
    <row r="418">
      <c r="A418" s="9"/>
      <c r="B418" s="9"/>
      <c r="C418" s="9"/>
      <c r="D418" s="9"/>
      <c r="E418" s="9"/>
      <c r="F418" s="9"/>
      <c r="G418" s="59"/>
      <c r="H418" s="9"/>
    </row>
    <row r="419">
      <c r="A419" s="9"/>
      <c r="B419" s="9"/>
      <c r="C419" s="9"/>
      <c r="D419" s="9"/>
      <c r="E419" s="9"/>
      <c r="F419" s="9"/>
      <c r="G419" s="59"/>
      <c r="H419" s="9"/>
    </row>
    <row r="420">
      <c r="A420" s="9"/>
      <c r="B420" s="9"/>
      <c r="C420" s="9"/>
      <c r="D420" s="9"/>
      <c r="E420" s="9"/>
      <c r="F420" s="9"/>
      <c r="G420" s="59"/>
      <c r="H420" s="9"/>
    </row>
    <row r="421">
      <c r="A421" s="9"/>
      <c r="B421" s="9"/>
      <c r="C421" s="9"/>
      <c r="D421" s="9"/>
      <c r="E421" s="9"/>
      <c r="F421" s="9"/>
      <c r="G421" s="59"/>
      <c r="H421" s="9"/>
    </row>
    <row r="422">
      <c r="A422" s="9"/>
      <c r="B422" s="9"/>
      <c r="C422" s="9"/>
      <c r="D422" s="9"/>
      <c r="E422" s="9"/>
      <c r="F422" s="9"/>
      <c r="G422" s="59"/>
      <c r="H422" s="9"/>
    </row>
    <row r="423">
      <c r="A423" s="9"/>
      <c r="B423" s="9"/>
      <c r="C423" s="9"/>
      <c r="D423" s="9"/>
      <c r="E423" s="9"/>
      <c r="F423" s="9"/>
      <c r="G423" s="59"/>
      <c r="H423" s="9"/>
    </row>
    <row r="424">
      <c r="A424" s="9"/>
      <c r="B424" s="9"/>
      <c r="C424" s="9"/>
      <c r="D424" s="9"/>
      <c r="E424" s="9"/>
      <c r="F424" s="9"/>
      <c r="G424" s="59"/>
      <c r="H424" s="9"/>
    </row>
    <row r="425">
      <c r="A425" s="9"/>
      <c r="B425" s="9"/>
      <c r="C425" s="9"/>
      <c r="D425" s="9"/>
      <c r="E425" s="9"/>
      <c r="F425" s="9"/>
      <c r="G425" s="59"/>
      <c r="H425" s="9"/>
    </row>
    <row r="426">
      <c r="A426" s="9"/>
      <c r="B426" s="9"/>
      <c r="C426" s="9"/>
      <c r="D426" s="9"/>
      <c r="E426" s="9"/>
      <c r="F426" s="9"/>
      <c r="G426" s="59"/>
      <c r="H426" s="9"/>
    </row>
    <row r="427">
      <c r="A427" s="9"/>
      <c r="B427" s="9"/>
      <c r="C427" s="9"/>
      <c r="D427" s="9"/>
      <c r="E427" s="9"/>
      <c r="F427" s="9"/>
      <c r="G427" s="59"/>
      <c r="H427" s="9"/>
    </row>
    <row r="428">
      <c r="A428" s="9"/>
      <c r="B428" s="9"/>
      <c r="C428" s="9"/>
      <c r="D428" s="9"/>
      <c r="E428" s="9"/>
      <c r="F428" s="9"/>
      <c r="G428" s="59"/>
      <c r="H428" s="9"/>
    </row>
    <row r="429">
      <c r="A429" s="9"/>
      <c r="B429" s="9"/>
      <c r="C429" s="9"/>
      <c r="D429" s="9"/>
      <c r="E429" s="9"/>
      <c r="F429" s="9"/>
      <c r="G429" s="59"/>
      <c r="H429" s="9"/>
    </row>
    <row r="430">
      <c r="A430" s="9"/>
      <c r="B430" s="9"/>
      <c r="C430" s="9"/>
      <c r="D430" s="9"/>
      <c r="E430" s="9"/>
      <c r="F430" s="9"/>
      <c r="G430" s="59"/>
      <c r="H430" s="9"/>
    </row>
    <row r="431">
      <c r="A431" s="9"/>
      <c r="B431" s="9"/>
      <c r="C431" s="9"/>
      <c r="D431" s="9"/>
      <c r="E431" s="9"/>
      <c r="F431" s="9"/>
      <c r="G431" s="59"/>
      <c r="H431" s="9"/>
    </row>
    <row r="432">
      <c r="A432" s="9"/>
      <c r="B432" s="9"/>
      <c r="C432" s="9"/>
      <c r="D432" s="9"/>
      <c r="E432" s="9"/>
      <c r="F432" s="9"/>
      <c r="G432" s="59"/>
      <c r="H432" s="9"/>
    </row>
    <row r="433">
      <c r="A433" s="9"/>
      <c r="B433" s="9"/>
      <c r="C433" s="9"/>
      <c r="D433" s="9"/>
      <c r="E433" s="9"/>
      <c r="F433" s="9"/>
      <c r="G433" s="59"/>
      <c r="H433" s="9"/>
    </row>
    <row r="434">
      <c r="A434" s="9"/>
      <c r="B434" s="9"/>
      <c r="C434" s="9"/>
      <c r="D434" s="9"/>
      <c r="E434" s="9"/>
      <c r="F434" s="9"/>
      <c r="G434" s="59"/>
      <c r="H434" s="9"/>
    </row>
    <row r="435">
      <c r="A435" s="9"/>
      <c r="B435" s="9"/>
      <c r="C435" s="9"/>
      <c r="D435" s="9"/>
      <c r="E435" s="9"/>
      <c r="F435" s="9"/>
      <c r="G435" s="59"/>
      <c r="H435" s="9"/>
    </row>
    <row r="436">
      <c r="A436" s="9"/>
      <c r="B436" s="9"/>
      <c r="C436" s="9"/>
      <c r="D436" s="9"/>
      <c r="E436" s="9"/>
      <c r="F436" s="9"/>
      <c r="G436" s="59"/>
      <c r="H436" s="9"/>
    </row>
    <row r="437">
      <c r="A437" s="9"/>
      <c r="B437" s="9"/>
      <c r="C437" s="9"/>
      <c r="D437" s="9"/>
      <c r="E437" s="9"/>
      <c r="F437" s="9"/>
      <c r="G437" s="59"/>
      <c r="H437" s="9"/>
    </row>
    <row r="438">
      <c r="A438" s="9"/>
      <c r="B438" s="9"/>
      <c r="C438" s="9"/>
      <c r="D438" s="9"/>
      <c r="E438" s="9"/>
      <c r="F438" s="9"/>
      <c r="G438" s="59"/>
      <c r="H438" s="9"/>
    </row>
    <row r="439">
      <c r="A439" s="9"/>
      <c r="B439" s="9"/>
      <c r="C439" s="9"/>
      <c r="D439" s="9"/>
      <c r="E439" s="9"/>
      <c r="F439" s="9"/>
      <c r="G439" s="59"/>
      <c r="H439" s="9"/>
    </row>
    <row r="440">
      <c r="A440" s="9"/>
      <c r="B440" s="9"/>
      <c r="C440" s="9"/>
      <c r="D440" s="9"/>
      <c r="E440" s="9"/>
      <c r="F440" s="9"/>
      <c r="G440" s="59"/>
      <c r="H440" s="9"/>
    </row>
    <row r="441">
      <c r="A441" s="9"/>
      <c r="B441" s="9"/>
      <c r="C441" s="9"/>
      <c r="D441" s="9"/>
      <c r="E441" s="9"/>
      <c r="F441" s="9"/>
      <c r="G441" s="59"/>
      <c r="H441" s="9"/>
    </row>
    <row r="442">
      <c r="A442" s="9"/>
      <c r="B442" s="9"/>
      <c r="C442" s="9"/>
      <c r="D442" s="9"/>
      <c r="E442" s="9"/>
      <c r="F442" s="9"/>
      <c r="G442" s="59"/>
      <c r="H442" s="9"/>
    </row>
    <row r="443">
      <c r="A443" s="9"/>
      <c r="B443" s="9"/>
      <c r="C443" s="9"/>
      <c r="D443" s="9"/>
      <c r="E443" s="9"/>
      <c r="F443" s="9"/>
      <c r="G443" s="59"/>
      <c r="H443" s="9"/>
    </row>
    <row r="444">
      <c r="A444" s="9"/>
      <c r="B444" s="9"/>
      <c r="C444" s="9"/>
      <c r="D444" s="9"/>
      <c r="E444" s="9"/>
      <c r="F444" s="9"/>
      <c r="G444" s="59"/>
      <c r="H444" s="9"/>
    </row>
    <row r="445">
      <c r="A445" s="9"/>
      <c r="B445" s="9"/>
      <c r="C445" s="9"/>
      <c r="D445" s="9"/>
      <c r="E445" s="9"/>
      <c r="F445" s="9"/>
      <c r="G445" s="59"/>
      <c r="H445" s="9"/>
    </row>
    <row r="446">
      <c r="A446" s="9"/>
      <c r="B446" s="9"/>
      <c r="C446" s="9"/>
      <c r="D446" s="9"/>
      <c r="E446" s="9"/>
      <c r="F446" s="9"/>
      <c r="G446" s="59"/>
      <c r="H446" s="9"/>
    </row>
    <row r="447">
      <c r="A447" s="9"/>
      <c r="B447" s="9"/>
      <c r="C447" s="9"/>
      <c r="D447" s="9"/>
      <c r="E447" s="9"/>
      <c r="F447" s="9"/>
      <c r="G447" s="59"/>
      <c r="H447" s="9"/>
    </row>
    <row r="448">
      <c r="A448" s="9"/>
      <c r="B448" s="9"/>
      <c r="C448" s="9"/>
      <c r="D448" s="9"/>
      <c r="E448" s="9"/>
      <c r="F448" s="9"/>
      <c r="G448" s="59"/>
      <c r="H448" s="9"/>
    </row>
    <row r="449">
      <c r="A449" s="9"/>
      <c r="B449" s="9"/>
      <c r="C449" s="9"/>
      <c r="D449" s="9"/>
      <c r="E449" s="9"/>
      <c r="F449" s="9"/>
      <c r="G449" s="59"/>
      <c r="H449" s="9"/>
    </row>
    <row r="450">
      <c r="A450" s="9"/>
      <c r="B450" s="9"/>
      <c r="C450" s="9"/>
      <c r="D450" s="9"/>
      <c r="E450" s="9"/>
      <c r="F450" s="9"/>
      <c r="G450" s="59"/>
      <c r="H450" s="9"/>
    </row>
    <row r="451">
      <c r="A451" s="9"/>
      <c r="B451" s="9"/>
      <c r="C451" s="9"/>
      <c r="D451" s="9"/>
      <c r="E451" s="9"/>
      <c r="F451" s="9"/>
      <c r="G451" s="59"/>
      <c r="H451" s="9"/>
    </row>
    <row r="452">
      <c r="A452" s="9"/>
      <c r="B452" s="9"/>
      <c r="C452" s="9"/>
      <c r="D452" s="9"/>
      <c r="E452" s="9"/>
      <c r="F452" s="9"/>
      <c r="G452" s="59"/>
      <c r="H452" s="9"/>
    </row>
    <row r="453">
      <c r="A453" s="9"/>
      <c r="B453" s="9"/>
      <c r="C453" s="9"/>
      <c r="D453" s="9"/>
      <c r="E453" s="9"/>
      <c r="F453" s="9"/>
      <c r="G453" s="59"/>
      <c r="H453" s="9"/>
    </row>
    <row r="454">
      <c r="A454" s="9"/>
      <c r="B454" s="9"/>
      <c r="C454" s="9"/>
      <c r="D454" s="9"/>
      <c r="E454" s="9"/>
      <c r="F454" s="9"/>
      <c r="G454" s="59"/>
      <c r="H454" s="9"/>
    </row>
    <row r="455">
      <c r="A455" s="9"/>
      <c r="B455" s="9"/>
      <c r="C455" s="9"/>
      <c r="D455" s="9"/>
      <c r="E455" s="9"/>
      <c r="F455" s="9"/>
      <c r="G455" s="59"/>
      <c r="H455" s="9"/>
    </row>
    <row r="456">
      <c r="A456" s="9"/>
      <c r="B456" s="9"/>
      <c r="C456" s="9"/>
      <c r="D456" s="9"/>
      <c r="E456" s="9"/>
      <c r="F456" s="9"/>
      <c r="G456" s="59"/>
      <c r="H456" s="9"/>
    </row>
    <row r="457">
      <c r="A457" s="9"/>
      <c r="B457" s="9"/>
      <c r="C457" s="9"/>
      <c r="D457" s="9"/>
      <c r="E457" s="9"/>
      <c r="F457" s="9"/>
      <c r="G457" s="59"/>
      <c r="H457" s="9"/>
    </row>
    <row r="458">
      <c r="A458" s="9"/>
      <c r="B458" s="9"/>
      <c r="C458" s="9"/>
      <c r="D458" s="9"/>
      <c r="E458" s="9"/>
      <c r="F458" s="9"/>
      <c r="G458" s="59"/>
      <c r="H458" s="9"/>
    </row>
    <row r="459">
      <c r="A459" s="9"/>
      <c r="B459" s="9"/>
      <c r="C459" s="9"/>
      <c r="D459" s="9"/>
      <c r="E459" s="9"/>
      <c r="F459" s="9"/>
      <c r="G459" s="59"/>
      <c r="H459" s="9"/>
    </row>
    <row r="460">
      <c r="A460" s="9"/>
      <c r="B460" s="9"/>
      <c r="C460" s="9"/>
      <c r="D460" s="9"/>
      <c r="E460" s="9"/>
      <c r="F460" s="9"/>
      <c r="G460" s="59"/>
      <c r="H460" s="9"/>
    </row>
    <row r="461">
      <c r="A461" s="9"/>
      <c r="B461" s="9"/>
      <c r="C461" s="9"/>
      <c r="D461" s="9"/>
      <c r="E461" s="9"/>
      <c r="F461" s="9"/>
      <c r="G461" s="59"/>
      <c r="H461" s="9"/>
    </row>
    <row r="462">
      <c r="A462" s="9"/>
      <c r="B462" s="9"/>
      <c r="C462" s="9"/>
      <c r="D462" s="9"/>
      <c r="E462" s="9"/>
      <c r="F462" s="9"/>
      <c r="G462" s="59"/>
      <c r="H462" s="9"/>
    </row>
    <row r="463">
      <c r="A463" s="9"/>
      <c r="B463" s="9"/>
      <c r="C463" s="9"/>
      <c r="D463" s="9"/>
      <c r="E463" s="9"/>
      <c r="F463" s="9"/>
      <c r="G463" s="59"/>
      <c r="H463" s="9"/>
    </row>
    <row r="464">
      <c r="A464" s="9"/>
      <c r="B464" s="9"/>
      <c r="C464" s="9"/>
      <c r="D464" s="9"/>
      <c r="E464" s="9"/>
      <c r="F464" s="9"/>
      <c r="G464" s="59"/>
      <c r="H464" s="9"/>
    </row>
    <row r="465">
      <c r="A465" s="9"/>
      <c r="B465" s="9"/>
      <c r="C465" s="9"/>
      <c r="D465" s="9"/>
      <c r="E465" s="9"/>
      <c r="F465" s="9"/>
      <c r="G465" s="59"/>
      <c r="H465" s="9"/>
    </row>
    <row r="466">
      <c r="A466" s="9"/>
      <c r="B466" s="9"/>
      <c r="C466" s="9"/>
      <c r="D466" s="9"/>
      <c r="E466" s="9"/>
      <c r="F466" s="9"/>
      <c r="G466" s="59"/>
      <c r="H466" s="9"/>
    </row>
    <row r="467">
      <c r="A467" s="9"/>
      <c r="B467" s="9"/>
      <c r="C467" s="9"/>
      <c r="D467" s="9"/>
      <c r="E467" s="9"/>
      <c r="F467" s="9"/>
      <c r="G467" s="59"/>
      <c r="H467" s="9"/>
    </row>
    <row r="468">
      <c r="A468" s="9"/>
      <c r="B468" s="9"/>
      <c r="C468" s="9"/>
      <c r="D468" s="9"/>
      <c r="E468" s="9"/>
      <c r="F468" s="9"/>
      <c r="G468" s="59"/>
      <c r="H468" s="9"/>
    </row>
    <row r="469">
      <c r="A469" s="9"/>
      <c r="B469" s="9"/>
      <c r="C469" s="9"/>
      <c r="D469" s="9"/>
      <c r="E469" s="9"/>
      <c r="F469" s="9"/>
      <c r="G469" s="59"/>
      <c r="H469" s="9"/>
    </row>
    <row r="470">
      <c r="A470" s="9"/>
      <c r="B470" s="9"/>
      <c r="C470" s="9"/>
      <c r="D470" s="9"/>
      <c r="E470" s="9"/>
      <c r="F470" s="9"/>
      <c r="G470" s="59"/>
      <c r="H470" s="9"/>
    </row>
    <row r="471">
      <c r="A471" s="9"/>
      <c r="B471" s="9"/>
      <c r="C471" s="9"/>
      <c r="D471" s="9"/>
      <c r="E471" s="9"/>
      <c r="F471" s="9"/>
      <c r="G471" s="59"/>
      <c r="H471" s="9"/>
    </row>
    <row r="472">
      <c r="A472" s="9"/>
      <c r="B472" s="9"/>
      <c r="C472" s="9"/>
      <c r="D472" s="9"/>
      <c r="E472" s="9"/>
      <c r="F472" s="9"/>
      <c r="G472" s="59"/>
      <c r="H472" s="9"/>
    </row>
    <row r="473">
      <c r="A473" s="9"/>
      <c r="B473" s="9"/>
      <c r="C473" s="9"/>
      <c r="D473" s="9"/>
      <c r="E473" s="9"/>
      <c r="F473" s="9"/>
      <c r="G473" s="59"/>
      <c r="H473" s="9"/>
    </row>
    <row r="474">
      <c r="A474" s="9"/>
      <c r="B474" s="9"/>
      <c r="C474" s="9"/>
      <c r="D474" s="9"/>
      <c r="E474" s="9"/>
      <c r="F474" s="9"/>
      <c r="G474" s="59"/>
      <c r="H474" s="9"/>
    </row>
    <row r="475">
      <c r="A475" s="9"/>
      <c r="B475" s="9"/>
      <c r="C475" s="9"/>
      <c r="D475" s="9"/>
      <c r="E475" s="9"/>
      <c r="F475" s="9"/>
      <c r="G475" s="59"/>
      <c r="H475" s="9"/>
    </row>
    <row r="476">
      <c r="A476" s="9"/>
      <c r="B476" s="9"/>
      <c r="C476" s="9"/>
      <c r="D476" s="9"/>
      <c r="E476" s="9"/>
      <c r="F476" s="9"/>
      <c r="G476" s="59"/>
      <c r="H476" s="9"/>
    </row>
    <row r="477">
      <c r="A477" s="9"/>
      <c r="B477" s="9"/>
      <c r="C477" s="9"/>
      <c r="D477" s="9"/>
      <c r="E477" s="9"/>
      <c r="F477" s="9"/>
      <c r="G477" s="59"/>
      <c r="H477" s="9"/>
    </row>
    <row r="478">
      <c r="A478" s="9"/>
      <c r="B478" s="9"/>
      <c r="C478" s="9"/>
      <c r="D478" s="9"/>
      <c r="E478" s="9"/>
      <c r="F478" s="9"/>
      <c r="G478" s="59"/>
      <c r="H478" s="9"/>
    </row>
    <row r="479">
      <c r="A479" s="9"/>
      <c r="B479" s="9"/>
      <c r="C479" s="9"/>
      <c r="D479" s="9"/>
      <c r="E479" s="9"/>
      <c r="F479" s="9"/>
      <c r="G479" s="59"/>
      <c r="H479" s="9"/>
    </row>
    <row r="480">
      <c r="A480" s="9"/>
      <c r="B480" s="9"/>
      <c r="C480" s="9"/>
      <c r="D480" s="9"/>
      <c r="E480" s="9"/>
      <c r="F480" s="9"/>
      <c r="G480" s="59"/>
      <c r="H480" s="9"/>
    </row>
    <row r="481">
      <c r="A481" s="9"/>
      <c r="B481" s="9"/>
      <c r="C481" s="9"/>
      <c r="D481" s="9"/>
      <c r="E481" s="9"/>
      <c r="F481" s="9"/>
      <c r="G481" s="59"/>
      <c r="H481" s="9"/>
    </row>
    <row r="482">
      <c r="A482" s="9"/>
      <c r="B482" s="9"/>
      <c r="C482" s="9"/>
      <c r="D482" s="9"/>
      <c r="E482" s="9"/>
      <c r="F482" s="9"/>
      <c r="G482" s="59"/>
      <c r="H482" s="9"/>
    </row>
    <row r="483">
      <c r="A483" s="9"/>
      <c r="B483" s="9"/>
      <c r="C483" s="9"/>
      <c r="D483" s="9"/>
      <c r="E483" s="9"/>
      <c r="F483" s="9"/>
      <c r="G483" s="59"/>
      <c r="H483" s="9"/>
    </row>
    <row r="484">
      <c r="A484" s="9"/>
      <c r="B484" s="9"/>
      <c r="C484" s="9"/>
      <c r="D484" s="9"/>
      <c r="E484" s="9"/>
      <c r="F484" s="9"/>
      <c r="G484" s="59"/>
      <c r="H484" s="9"/>
    </row>
    <row r="485">
      <c r="A485" s="9"/>
      <c r="B485" s="9"/>
      <c r="C485" s="9"/>
      <c r="D485" s="9"/>
      <c r="E485" s="9"/>
      <c r="F485" s="9"/>
      <c r="G485" s="59"/>
      <c r="H485" s="9"/>
    </row>
    <row r="486">
      <c r="A486" s="9"/>
      <c r="B486" s="9"/>
      <c r="C486" s="9"/>
      <c r="D486" s="9"/>
      <c r="E486" s="9"/>
      <c r="F486" s="9"/>
      <c r="G486" s="59"/>
      <c r="H486" s="9"/>
    </row>
    <row r="487">
      <c r="A487" s="9"/>
      <c r="B487" s="9"/>
      <c r="C487" s="9"/>
      <c r="D487" s="9"/>
      <c r="E487" s="9"/>
      <c r="F487" s="9"/>
      <c r="G487" s="59"/>
      <c r="H487" s="9"/>
    </row>
    <row r="488">
      <c r="A488" s="9"/>
      <c r="B488" s="9"/>
      <c r="C488" s="9"/>
      <c r="D488" s="9"/>
      <c r="E488" s="9"/>
      <c r="F488" s="9"/>
      <c r="G488" s="59"/>
      <c r="H488" s="9"/>
    </row>
    <row r="489">
      <c r="A489" s="9"/>
      <c r="B489" s="9"/>
      <c r="C489" s="9"/>
      <c r="D489" s="9"/>
      <c r="E489" s="9"/>
      <c r="F489" s="9"/>
      <c r="G489" s="59"/>
      <c r="H489" s="9"/>
    </row>
    <row r="490">
      <c r="A490" s="9"/>
      <c r="B490" s="9"/>
      <c r="C490" s="9"/>
      <c r="D490" s="9"/>
      <c r="E490" s="9"/>
      <c r="F490" s="9"/>
      <c r="G490" s="59"/>
      <c r="H490" s="9"/>
    </row>
    <row r="491">
      <c r="A491" s="9"/>
      <c r="B491" s="9"/>
      <c r="C491" s="9"/>
      <c r="D491" s="9"/>
      <c r="E491" s="9"/>
      <c r="F491" s="9"/>
      <c r="G491" s="59"/>
      <c r="H491" s="9"/>
    </row>
    <row r="492">
      <c r="A492" s="9"/>
      <c r="B492" s="9"/>
      <c r="C492" s="9"/>
      <c r="D492" s="9"/>
      <c r="E492" s="9"/>
      <c r="F492" s="9"/>
      <c r="G492" s="59"/>
      <c r="H492" s="9"/>
    </row>
    <row r="493">
      <c r="A493" s="9"/>
      <c r="B493" s="9"/>
      <c r="C493" s="9"/>
      <c r="D493" s="9"/>
      <c r="E493" s="9"/>
      <c r="F493" s="9"/>
      <c r="G493" s="59"/>
      <c r="H493" s="9"/>
    </row>
    <row r="494">
      <c r="A494" s="9"/>
      <c r="B494" s="9"/>
      <c r="C494" s="9"/>
      <c r="D494" s="9"/>
      <c r="E494" s="9"/>
      <c r="F494" s="9"/>
      <c r="G494" s="59"/>
      <c r="H494" s="9"/>
    </row>
    <row r="495">
      <c r="A495" s="9"/>
      <c r="B495" s="9"/>
      <c r="C495" s="9"/>
      <c r="D495" s="9"/>
      <c r="E495" s="9"/>
      <c r="F495" s="9"/>
      <c r="G495" s="59"/>
      <c r="H495" s="9"/>
    </row>
    <row r="496">
      <c r="A496" s="9"/>
      <c r="B496" s="9"/>
      <c r="C496" s="9"/>
      <c r="D496" s="9"/>
      <c r="E496" s="9"/>
      <c r="F496" s="9"/>
      <c r="G496" s="59"/>
      <c r="H496" s="9"/>
    </row>
    <row r="497">
      <c r="A497" s="9"/>
      <c r="B497" s="9"/>
      <c r="C497" s="9"/>
      <c r="D497" s="9"/>
      <c r="E497" s="9"/>
      <c r="F497" s="9"/>
      <c r="G497" s="59"/>
      <c r="H497" s="9"/>
    </row>
    <row r="498">
      <c r="A498" s="9"/>
      <c r="B498" s="9"/>
      <c r="C498" s="9"/>
      <c r="D498" s="9"/>
      <c r="E498" s="9"/>
      <c r="F498" s="9"/>
      <c r="G498" s="59"/>
      <c r="H498" s="9"/>
    </row>
    <row r="499">
      <c r="A499" s="9"/>
      <c r="B499" s="9"/>
      <c r="C499" s="9"/>
      <c r="D499" s="9"/>
      <c r="E499" s="9"/>
      <c r="F499" s="9"/>
      <c r="G499" s="59"/>
      <c r="H499" s="9"/>
    </row>
    <row r="500">
      <c r="A500" s="9"/>
      <c r="B500" s="9"/>
      <c r="C500" s="9"/>
      <c r="D500" s="9"/>
      <c r="E500" s="9"/>
      <c r="F500" s="9"/>
      <c r="G500" s="59"/>
      <c r="H500" s="9"/>
    </row>
    <row r="501">
      <c r="A501" s="9"/>
      <c r="B501" s="9"/>
      <c r="C501" s="9"/>
      <c r="D501" s="9"/>
      <c r="E501" s="9"/>
      <c r="F501" s="9"/>
      <c r="G501" s="59"/>
      <c r="H501" s="9"/>
    </row>
    <row r="502">
      <c r="A502" s="9"/>
      <c r="B502" s="9"/>
      <c r="C502" s="9"/>
      <c r="D502" s="9"/>
      <c r="E502" s="9"/>
      <c r="F502" s="9"/>
      <c r="G502" s="59"/>
      <c r="H502" s="9"/>
    </row>
    <row r="503">
      <c r="A503" s="9"/>
      <c r="B503" s="9"/>
      <c r="C503" s="9"/>
      <c r="D503" s="9"/>
      <c r="E503" s="9"/>
      <c r="F503" s="9"/>
      <c r="G503" s="59"/>
      <c r="H503" s="9"/>
    </row>
    <row r="504">
      <c r="A504" s="9"/>
      <c r="B504" s="9"/>
      <c r="C504" s="9"/>
      <c r="D504" s="9"/>
      <c r="E504" s="9"/>
      <c r="F504" s="9"/>
      <c r="G504" s="59"/>
      <c r="H504" s="9"/>
    </row>
    <row r="505">
      <c r="A505" s="9"/>
      <c r="B505" s="9"/>
      <c r="C505" s="9"/>
      <c r="D505" s="9"/>
      <c r="E505" s="9"/>
      <c r="F505" s="9"/>
      <c r="G505" s="59"/>
      <c r="H505" s="9"/>
    </row>
    <row r="506">
      <c r="A506" s="9"/>
      <c r="B506" s="9"/>
      <c r="C506" s="9"/>
      <c r="D506" s="9"/>
      <c r="E506" s="9"/>
      <c r="F506" s="9"/>
      <c r="G506" s="59"/>
      <c r="H506" s="9"/>
    </row>
    <row r="507">
      <c r="A507" s="9"/>
      <c r="B507" s="9"/>
      <c r="C507" s="9"/>
      <c r="D507" s="9"/>
      <c r="E507" s="9"/>
      <c r="F507" s="9"/>
      <c r="G507" s="59"/>
      <c r="H507" s="9"/>
    </row>
    <row r="508">
      <c r="A508" s="9"/>
      <c r="B508" s="9"/>
      <c r="C508" s="9"/>
      <c r="D508" s="9"/>
      <c r="E508" s="9"/>
      <c r="F508" s="9"/>
      <c r="G508" s="59"/>
      <c r="H508" s="9"/>
    </row>
    <row r="509">
      <c r="A509" s="9"/>
      <c r="B509" s="9"/>
      <c r="C509" s="9"/>
      <c r="D509" s="9"/>
      <c r="E509" s="9"/>
      <c r="F509" s="9"/>
      <c r="G509" s="59"/>
      <c r="H509" s="9"/>
    </row>
    <row r="510">
      <c r="A510" s="9"/>
      <c r="B510" s="9"/>
      <c r="C510" s="9"/>
      <c r="D510" s="9"/>
      <c r="E510" s="9"/>
      <c r="F510" s="9"/>
      <c r="G510" s="59"/>
      <c r="H510" s="9"/>
    </row>
    <row r="511">
      <c r="A511" s="9"/>
      <c r="B511" s="9"/>
      <c r="C511" s="9"/>
      <c r="D511" s="9"/>
      <c r="E511" s="9"/>
      <c r="F511" s="9"/>
      <c r="G511" s="59"/>
      <c r="H511" s="9"/>
    </row>
    <row r="512">
      <c r="A512" s="9"/>
      <c r="B512" s="9"/>
      <c r="C512" s="9"/>
      <c r="D512" s="9"/>
      <c r="E512" s="9"/>
      <c r="F512" s="9"/>
      <c r="G512" s="59"/>
      <c r="H512" s="9"/>
    </row>
    <row r="513">
      <c r="A513" s="9"/>
      <c r="B513" s="9"/>
      <c r="C513" s="9"/>
      <c r="D513" s="9"/>
      <c r="E513" s="9"/>
      <c r="F513" s="9"/>
      <c r="G513" s="59"/>
      <c r="H513" s="9"/>
    </row>
    <row r="514">
      <c r="A514" s="9"/>
      <c r="B514" s="9"/>
      <c r="C514" s="9"/>
      <c r="D514" s="9"/>
      <c r="E514" s="9"/>
      <c r="F514" s="9"/>
      <c r="G514" s="59"/>
      <c r="H514" s="9"/>
    </row>
    <row r="515">
      <c r="A515" s="9"/>
      <c r="B515" s="9"/>
      <c r="C515" s="9"/>
      <c r="D515" s="9"/>
      <c r="E515" s="9"/>
      <c r="F515" s="9"/>
      <c r="G515" s="59"/>
      <c r="H515" s="9"/>
    </row>
    <row r="516">
      <c r="A516" s="9"/>
      <c r="B516" s="9"/>
      <c r="C516" s="9"/>
      <c r="D516" s="9"/>
      <c r="E516" s="9"/>
      <c r="F516" s="9"/>
      <c r="G516" s="59"/>
      <c r="H516" s="9"/>
    </row>
    <row r="517">
      <c r="A517" s="9"/>
      <c r="B517" s="9"/>
      <c r="C517" s="9"/>
      <c r="D517" s="9"/>
      <c r="E517" s="9"/>
      <c r="F517" s="9"/>
      <c r="G517" s="59"/>
      <c r="H517" s="9"/>
    </row>
    <row r="518">
      <c r="A518" s="9"/>
      <c r="B518" s="9"/>
      <c r="C518" s="9"/>
      <c r="D518" s="9"/>
      <c r="E518" s="9"/>
      <c r="F518" s="9"/>
      <c r="G518" s="59"/>
      <c r="H518" s="9"/>
    </row>
    <row r="519">
      <c r="A519" s="9"/>
      <c r="B519" s="9"/>
      <c r="C519" s="9"/>
      <c r="D519" s="9"/>
      <c r="E519" s="9"/>
      <c r="F519" s="9"/>
      <c r="G519" s="59"/>
      <c r="H519" s="9"/>
    </row>
    <row r="520">
      <c r="A520" s="9"/>
      <c r="B520" s="9"/>
      <c r="C520" s="9"/>
      <c r="D520" s="9"/>
      <c r="E520" s="9"/>
      <c r="F520" s="9"/>
      <c r="G520" s="59"/>
      <c r="H520" s="9"/>
    </row>
    <row r="521">
      <c r="A521" s="9"/>
      <c r="B521" s="9"/>
      <c r="C521" s="9"/>
      <c r="D521" s="9"/>
      <c r="E521" s="9"/>
      <c r="F521" s="9"/>
      <c r="G521" s="59"/>
      <c r="H521" s="9"/>
    </row>
    <row r="522">
      <c r="A522" s="9"/>
      <c r="B522" s="9"/>
      <c r="C522" s="9"/>
      <c r="D522" s="9"/>
      <c r="E522" s="9"/>
      <c r="F522" s="9"/>
      <c r="G522" s="59"/>
      <c r="H522" s="9"/>
    </row>
    <row r="523">
      <c r="A523" s="9"/>
      <c r="B523" s="9"/>
      <c r="C523" s="9"/>
      <c r="D523" s="9"/>
      <c r="E523" s="9"/>
      <c r="F523" s="9"/>
      <c r="G523" s="59"/>
      <c r="H523" s="9"/>
    </row>
    <row r="524">
      <c r="A524" s="9"/>
      <c r="B524" s="9"/>
      <c r="C524" s="9"/>
      <c r="D524" s="9"/>
      <c r="E524" s="9"/>
      <c r="F524" s="9"/>
      <c r="G524" s="59"/>
      <c r="H524" s="9"/>
    </row>
    <row r="525">
      <c r="A525" s="9"/>
      <c r="B525" s="9"/>
      <c r="C525" s="9"/>
      <c r="D525" s="9"/>
      <c r="E525" s="9"/>
      <c r="F525" s="9"/>
      <c r="G525" s="59"/>
      <c r="H525" s="9"/>
    </row>
    <row r="526">
      <c r="A526" s="9"/>
      <c r="B526" s="9"/>
      <c r="C526" s="9"/>
      <c r="D526" s="9"/>
      <c r="E526" s="9"/>
      <c r="F526" s="9"/>
      <c r="G526" s="59"/>
      <c r="H526" s="9"/>
    </row>
    <row r="527">
      <c r="A527" s="9"/>
      <c r="B527" s="9"/>
      <c r="C527" s="9"/>
      <c r="D527" s="9"/>
      <c r="E527" s="9"/>
      <c r="F527" s="9"/>
      <c r="G527" s="59"/>
      <c r="H527" s="9"/>
    </row>
    <row r="528">
      <c r="A528" s="9"/>
      <c r="B528" s="9"/>
      <c r="C528" s="9"/>
      <c r="D528" s="9"/>
      <c r="E528" s="9"/>
      <c r="F528" s="9"/>
      <c r="G528" s="59"/>
      <c r="H528" s="9"/>
    </row>
    <row r="529">
      <c r="A529" s="9"/>
      <c r="B529" s="9"/>
      <c r="C529" s="9"/>
      <c r="D529" s="9"/>
      <c r="E529" s="9"/>
      <c r="F529" s="9"/>
      <c r="G529" s="59"/>
      <c r="H529" s="9"/>
    </row>
    <row r="530">
      <c r="A530" s="9"/>
      <c r="B530" s="9"/>
      <c r="C530" s="9"/>
      <c r="D530" s="9"/>
      <c r="E530" s="9"/>
      <c r="F530" s="9"/>
      <c r="G530" s="59"/>
      <c r="H530" s="9"/>
    </row>
    <row r="531">
      <c r="A531" s="9"/>
      <c r="B531" s="9"/>
      <c r="C531" s="9"/>
      <c r="D531" s="9"/>
      <c r="E531" s="9"/>
      <c r="F531" s="9"/>
      <c r="G531" s="59"/>
      <c r="H531" s="9"/>
    </row>
    <row r="532">
      <c r="A532" s="9"/>
      <c r="B532" s="9"/>
      <c r="C532" s="9"/>
      <c r="D532" s="9"/>
      <c r="E532" s="9"/>
      <c r="F532" s="9"/>
      <c r="G532" s="59"/>
      <c r="H532" s="9"/>
    </row>
    <row r="533">
      <c r="A533" s="9"/>
      <c r="B533" s="9"/>
      <c r="C533" s="9"/>
      <c r="D533" s="9"/>
      <c r="E533" s="9"/>
      <c r="F533" s="9"/>
      <c r="G533" s="59"/>
      <c r="H533" s="9"/>
    </row>
    <row r="534">
      <c r="A534" s="9"/>
      <c r="B534" s="9"/>
      <c r="C534" s="9"/>
      <c r="D534" s="9"/>
      <c r="E534" s="9"/>
      <c r="F534" s="9"/>
      <c r="G534" s="59"/>
      <c r="H534" s="9"/>
    </row>
    <row r="535">
      <c r="A535" s="9"/>
      <c r="B535" s="9"/>
      <c r="C535" s="9"/>
      <c r="D535" s="9"/>
      <c r="E535" s="9"/>
      <c r="F535" s="9"/>
      <c r="G535" s="59"/>
      <c r="H535" s="9"/>
    </row>
    <row r="536">
      <c r="A536" s="9"/>
      <c r="B536" s="9"/>
      <c r="C536" s="9"/>
      <c r="D536" s="9"/>
      <c r="E536" s="9"/>
      <c r="F536" s="9"/>
      <c r="G536" s="59"/>
      <c r="H536" s="9"/>
    </row>
    <row r="537">
      <c r="A537" s="9"/>
      <c r="B537" s="9"/>
      <c r="C537" s="9"/>
      <c r="D537" s="9"/>
      <c r="E537" s="9"/>
      <c r="F537" s="9"/>
      <c r="G537" s="59"/>
      <c r="H537" s="9"/>
    </row>
    <row r="538">
      <c r="A538" s="9"/>
      <c r="B538" s="9"/>
      <c r="C538" s="9"/>
      <c r="D538" s="9"/>
      <c r="E538" s="9"/>
      <c r="F538" s="9"/>
      <c r="G538" s="59"/>
      <c r="H538" s="9"/>
    </row>
    <row r="539">
      <c r="A539" s="9"/>
      <c r="B539" s="9"/>
      <c r="C539" s="9"/>
      <c r="D539" s="9"/>
      <c r="E539" s="9"/>
      <c r="F539" s="9"/>
      <c r="G539" s="59"/>
      <c r="H539" s="9"/>
    </row>
    <row r="540">
      <c r="A540" s="9"/>
      <c r="B540" s="9"/>
      <c r="C540" s="9"/>
      <c r="D540" s="9"/>
      <c r="E540" s="9"/>
      <c r="F540" s="9"/>
      <c r="G540" s="59"/>
      <c r="H540" s="9"/>
    </row>
    <row r="541">
      <c r="A541" s="9"/>
      <c r="B541" s="9"/>
      <c r="C541" s="9"/>
      <c r="D541" s="9"/>
      <c r="E541" s="9"/>
      <c r="F541" s="9"/>
      <c r="G541" s="59"/>
      <c r="H541" s="9"/>
    </row>
    <row r="542">
      <c r="A542" s="9"/>
      <c r="B542" s="9"/>
      <c r="C542" s="9"/>
      <c r="D542" s="9"/>
      <c r="E542" s="9"/>
      <c r="F542" s="9"/>
      <c r="G542" s="59"/>
      <c r="H542" s="9"/>
    </row>
    <row r="543">
      <c r="A543" s="9"/>
      <c r="B543" s="9"/>
      <c r="C543" s="9"/>
      <c r="D543" s="9"/>
      <c r="E543" s="9"/>
      <c r="F543" s="9"/>
      <c r="G543" s="59"/>
      <c r="H543" s="9"/>
    </row>
    <row r="544">
      <c r="A544" s="9"/>
      <c r="B544" s="9"/>
      <c r="C544" s="9"/>
      <c r="D544" s="9"/>
      <c r="E544" s="9"/>
      <c r="F544" s="9"/>
      <c r="G544" s="59"/>
      <c r="H544" s="9"/>
    </row>
    <row r="545">
      <c r="A545" s="9"/>
      <c r="B545" s="9"/>
      <c r="C545" s="9"/>
      <c r="D545" s="9"/>
      <c r="E545" s="9"/>
      <c r="F545" s="9"/>
      <c r="G545" s="59"/>
      <c r="H545" s="9"/>
    </row>
    <row r="546">
      <c r="A546" s="9"/>
      <c r="B546" s="9"/>
      <c r="C546" s="9"/>
      <c r="D546" s="9"/>
      <c r="E546" s="9"/>
      <c r="F546" s="9"/>
      <c r="G546" s="59"/>
      <c r="H546" s="9"/>
    </row>
    <row r="547">
      <c r="A547" s="9"/>
      <c r="B547" s="9"/>
      <c r="C547" s="9"/>
      <c r="D547" s="9"/>
      <c r="E547" s="9"/>
      <c r="F547" s="9"/>
      <c r="G547" s="59"/>
      <c r="H547" s="9"/>
    </row>
    <row r="548">
      <c r="A548" s="9"/>
      <c r="B548" s="9"/>
      <c r="C548" s="9"/>
      <c r="D548" s="9"/>
      <c r="E548" s="9"/>
      <c r="F548" s="9"/>
      <c r="G548" s="59"/>
      <c r="H548" s="9"/>
    </row>
    <row r="549">
      <c r="A549" s="9"/>
      <c r="B549" s="9"/>
      <c r="C549" s="9"/>
      <c r="D549" s="9"/>
      <c r="E549" s="9"/>
      <c r="F549" s="9"/>
      <c r="G549" s="59"/>
      <c r="H549" s="9"/>
    </row>
    <row r="550">
      <c r="A550" s="9"/>
      <c r="B550" s="9"/>
      <c r="C550" s="9"/>
      <c r="D550" s="9"/>
      <c r="E550" s="9"/>
      <c r="F550" s="9"/>
      <c r="G550" s="59"/>
      <c r="H550" s="9"/>
    </row>
    <row r="551">
      <c r="A551" s="9"/>
      <c r="B551" s="9"/>
      <c r="C551" s="9"/>
      <c r="D551" s="9"/>
      <c r="E551" s="9"/>
      <c r="F551" s="9"/>
      <c r="G551" s="59"/>
      <c r="H551" s="9"/>
    </row>
    <row r="552">
      <c r="A552" s="9"/>
      <c r="B552" s="9"/>
      <c r="C552" s="9"/>
      <c r="D552" s="9"/>
      <c r="E552" s="9"/>
      <c r="F552" s="9"/>
      <c r="G552" s="59"/>
      <c r="H552" s="9"/>
    </row>
    <row r="553">
      <c r="A553" s="9"/>
      <c r="B553" s="9"/>
      <c r="C553" s="9"/>
      <c r="D553" s="9"/>
      <c r="E553" s="9"/>
      <c r="F553" s="9"/>
      <c r="G553" s="59"/>
      <c r="H553" s="9"/>
    </row>
    <row r="554">
      <c r="A554" s="9"/>
      <c r="B554" s="9"/>
      <c r="C554" s="9"/>
      <c r="D554" s="9"/>
      <c r="E554" s="9"/>
      <c r="F554" s="9"/>
      <c r="G554" s="59"/>
      <c r="H554" s="9"/>
    </row>
    <row r="555">
      <c r="A555" s="9"/>
      <c r="B555" s="9"/>
      <c r="C555" s="9"/>
      <c r="D555" s="9"/>
      <c r="E555" s="9"/>
      <c r="F555" s="9"/>
      <c r="G555" s="59"/>
      <c r="H555" s="9"/>
    </row>
    <row r="556">
      <c r="A556" s="9"/>
      <c r="B556" s="9"/>
      <c r="C556" s="9"/>
      <c r="D556" s="9"/>
      <c r="E556" s="9"/>
      <c r="F556" s="9"/>
      <c r="G556" s="59"/>
      <c r="H556" s="9"/>
    </row>
    <row r="557">
      <c r="A557" s="9"/>
      <c r="B557" s="9"/>
      <c r="C557" s="9"/>
      <c r="D557" s="9"/>
      <c r="E557" s="9"/>
      <c r="F557" s="9"/>
      <c r="G557" s="59"/>
      <c r="H557" s="9"/>
    </row>
    <row r="558">
      <c r="A558" s="9"/>
      <c r="B558" s="9"/>
      <c r="C558" s="9"/>
      <c r="D558" s="9"/>
      <c r="E558" s="9"/>
      <c r="F558" s="9"/>
      <c r="G558" s="59"/>
      <c r="H558" s="9"/>
    </row>
    <row r="559">
      <c r="A559" s="9"/>
      <c r="B559" s="9"/>
      <c r="C559" s="9"/>
      <c r="D559" s="9"/>
      <c r="E559" s="9"/>
      <c r="F559" s="9"/>
      <c r="G559" s="59"/>
      <c r="H559" s="9"/>
    </row>
    <row r="560">
      <c r="A560" s="9"/>
      <c r="B560" s="9"/>
      <c r="C560" s="9"/>
      <c r="D560" s="9"/>
      <c r="E560" s="9"/>
      <c r="F560" s="9"/>
      <c r="G560" s="59"/>
      <c r="H560" s="9"/>
    </row>
    <row r="561">
      <c r="A561" s="9"/>
      <c r="B561" s="9"/>
      <c r="C561" s="9"/>
      <c r="D561" s="9"/>
      <c r="E561" s="9"/>
      <c r="F561" s="9"/>
      <c r="G561" s="59"/>
      <c r="H561" s="9"/>
    </row>
    <row r="562">
      <c r="A562" s="9"/>
      <c r="B562" s="9"/>
      <c r="C562" s="9"/>
      <c r="D562" s="9"/>
      <c r="E562" s="9"/>
      <c r="F562" s="9"/>
      <c r="G562" s="59"/>
      <c r="H562" s="9"/>
    </row>
    <row r="563">
      <c r="A563" s="9"/>
      <c r="B563" s="9"/>
      <c r="C563" s="9"/>
      <c r="D563" s="9"/>
      <c r="E563" s="9"/>
      <c r="F563" s="9"/>
      <c r="G563" s="59"/>
      <c r="H563" s="9"/>
    </row>
    <row r="564">
      <c r="A564" s="9"/>
      <c r="B564" s="9"/>
      <c r="C564" s="9"/>
      <c r="D564" s="9"/>
      <c r="E564" s="9"/>
      <c r="F564" s="9"/>
      <c r="G564" s="59"/>
      <c r="H564" s="9"/>
    </row>
    <row r="565">
      <c r="A565" s="9"/>
      <c r="B565" s="9"/>
      <c r="C565" s="9"/>
      <c r="D565" s="9"/>
      <c r="E565" s="9"/>
      <c r="F565" s="9"/>
      <c r="G565" s="59"/>
      <c r="H565" s="9"/>
    </row>
    <row r="566">
      <c r="A566" s="9"/>
      <c r="B566" s="9"/>
      <c r="C566" s="9"/>
      <c r="D566" s="9"/>
      <c r="E566" s="9"/>
      <c r="F566" s="9"/>
      <c r="G566" s="59"/>
      <c r="H566" s="9"/>
    </row>
    <row r="567">
      <c r="A567" s="9"/>
      <c r="B567" s="9"/>
      <c r="C567" s="9"/>
      <c r="D567" s="9"/>
      <c r="E567" s="9"/>
      <c r="F567" s="9"/>
      <c r="G567" s="59"/>
      <c r="H567" s="9"/>
    </row>
    <row r="568">
      <c r="A568" s="9"/>
      <c r="B568" s="9"/>
      <c r="C568" s="9"/>
      <c r="D568" s="9"/>
      <c r="E568" s="9"/>
      <c r="F568" s="9"/>
      <c r="G568" s="59"/>
      <c r="H568" s="9"/>
    </row>
    <row r="569">
      <c r="A569" s="9"/>
      <c r="B569" s="9"/>
      <c r="C569" s="9"/>
      <c r="D569" s="9"/>
      <c r="E569" s="9"/>
      <c r="F569" s="9"/>
      <c r="G569" s="59"/>
      <c r="H569" s="9"/>
    </row>
    <row r="570">
      <c r="A570" s="9"/>
      <c r="B570" s="9"/>
      <c r="C570" s="9"/>
      <c r="D570" s="9"/>
      <c r="E570" s="9"/>
      <c r="F570" s="9"/>
      <c r="G570" s="59"/>
      <c r="H570" s="9"/>
    </row>
    <row r="571">
      <c r="A571" s="9"/>
      <c r="B571" s="9"/>
      <c r="C571" s="9"/>
      <c r="D571" s="9"/>
      <c r="E571" s="9"/>
      <c r="F571" s="9"/>
      <c r="G571" s="59"/>
      <c r="H571" s="9"/>
    </row>
    <row r="572">
      <c r="A572" s="9"/>
      <c r="B572" s="9"/>
      <c r="C572" s="9"/>
      <c r="D572" s="9"/>
      <c r="E572" s="9"/>
      <c r="F572" s="9"/>
      <c r="G572" s="59"/>
      <c r="H572" s="9"/>
    </row>
    <row r="573">
      <c r="A573" s="9"/>
      <c r="B573" s="9"/>
      <c r="C573" s="9"/>
      <c r="D573" s="9"/>
      <c r="E573" s="9"/>
      <c r="F573" s="9"/>
      <c r="G573" s="59"/>
      <c r="H573" s="9"/>
    </row>
    <row r="574">
      <c r="A574" s="9"/>
      <c r="B574" s="9"/>
      <c r="C574" s="9"/>
      <c r="D574" s="9"/>
      <c r="E574" s="9"/>
      <c r="F574" s="9"/>
      <c r="G574" s="59"/>
      <c r="H574" s="9"/>
    </row>
    <row r="575">
      <c r="A575" s="9"/>
      <c r="B575" s="9"/>
      <c r="C575" s="9"/>
      <c r="D575" s="9"/>
      <c r="E575" s="9"/>
      <c r="F575" s="9"/>
      <c r="G575" s="59"/>
      <c r="H575" s="9"/>
    </row>
    <row r="576">
      <c r="A576" s="9"/>
      <c r="B576" s="9"/>
      <c r="C576" s="9"/>
      <c r="D576" s="9"/>
      <c r="E576" s="9"/>
      <c r="F576" s="9"/>
      <c r="G576" s="59"/>
      <c r="H576" s="9"/>
    </row>
    <row r="577">
      <c r="A577" s="9"/>
      <c r="B577" s="9"/>
      <c r="C577" s="9"/>
      <c r="D577" s="9"/>
      <c r="E577" s="9"/>
      <c r="F577" s="9"/>
      <c r="G577" s="59"/>
      <c r="H577" s="9"/>
    </row>
    <row r="578">
      <c r="A578" s="9"/>
      <c r="B578" s="9"/>
      <c r="C578" s="9"/>
      <c r="D578" s="9"/>
      <c r="E578" s="9"/>
      <c r="F578" s="9"/>
      <c r="G578" s="59"/>
      <c r="H578" s="9"/>
    </row>
    <row r="579">
      <c r="A579" s="9"/>
      <c r="B579" s="9"/>
      <c r="C579" s="9"/>
      <c r="D579" s="9"/>
      <c r="E579" s="9"/>
      <c r="F579" s="9"/>
      <c r="G579" s="59"/>
      <c r="H579" s="9"/>
    </row>
    <row r="580">
      <c r="A580" s="9"/>
      <c r="B580" s="9"/>
      <c r="C580" s="9"/>
      <c r="D580" s="9"/>
      <c r="E580" s="9"/>
      <c r="F580" s="9"/>
      <c r="G580" s="59"/>
      <c r="H580" s="9"/>
    </row>
    <row r="581">
      <c r="A581" s="9"/>
      <c r="B581" s="9"/>
      <c r="C581" s="9"/>
      <c r="D581" s="9"/>
      <c r="E581" s="9"/>
      <c r="F581" s="9"/>
      <c r="G581" s="59"/>
      <c r="H581" s="9"/>
    </row>
    <row r="582">
      <c r="A582" s="9"/>
      <c r="B582" s="9"/>
      <c r="C582" s="9"/>
      <c r="D582" s="9"/>
      <c r="E582" s="9"/>
      <c r="F582" s="9"/>
      <c r="G582" s="59"/>
      <c r="H582" s="9"/>
    </row>
    <row r="583">
      <c r="A583" s="9"/>
      <c r="B583" s="9"/>
      <c r="C583" s="9"/>
      <c r="D583" s="9"/>
      <c r="E583" s="9"/>
      <c r="F583" s="9"/>
      <c r="G583" s="59"/>
      <c r="H583" s="9"/>
    </row>
    <row r="584">
      <c r="A584" s="9"/>
      <c r="B584" s="9"/>
      <c r="C584" s="9"/>
      <c r="D584" s="9"/>
      <c r="E584" s="9"/>
      <c r="F584" s="9"/>
      <c r="G584" s="59"/>
      <c r="H584" s="9"/>
    </row>
    <row r="585">
      <c r="A585" s="9"/>
      <c r="B585" s="9"/>
      <c r="C585" s="9"/>
      <c r="D585" s="9"/>
      <c r="E585" s="9"/>
      <c r="F585" s="9"/>
      <c r="G585" s="59"/>
      <c r="H585" s="9"/>
    </row>
    <row r="586">
      <c r="A586" s="9"/>
      <c r="B586" s="9"/>
      <c r="C586" s="9"/>
      <c r="D586" s="9"/>
      <c r="E586" s="9"/>
      <c r="F586" s="9"/>
      <c r="G586" s="59"/>
      <c r="H586" s="9"/>
    </row>
    <row r="587">
      <c r="A587" s="9"/>
      <c r="B587" s="9"/>
      <c r="C587" s="9"/>
      <c r="D587" s="9"/>
      <c r="E587" s="9"/>
      <c r="F587" s="9"/>
      <c r="G587" s="59"/>
      <c r="H587" s="9"/>
    </row>
    <row r="588">
      <c r="A588" s="9"/>
      <c r="B588" s="9"/>
      <c r="C588" s="9"/>
      <c r="D588" s="9"/>
      <c r="E588" s="9"/>
      <c r="F588" s="9"/>
      <c r="G588" s="59"/>
      <c r="H588" s="9"/>
    </row>
    <row r="589">
      <c r="A589" s="9"/>
      <c r="B589" s="9"/>
      <c r="C589" s="9"/>
      <c r="D589" s="9"/>
      <c r="E589" s="9"/>
      <c r="F589" s="9"/>
      <c r="G589" s="59"/>
      <c r="H589" s="9"/>
    </row>
    <row r="590">
      <c r="A590" s="9"/>
      <c r="B590" s="9"/>
      <c r="C590" s="9"/>
      <c r="D590" s="9"/>
      <c r="E590" s="9"/>
      <c r="F590" s="9"/>
      <c r="G590" s="59"/>
      <c r="H590" s="9"/>
    </row>
    <row r="591">
      <c r="A591" s="9"/>
      <c r="B591" s="9"/>
      <c r="C591" s="9"/>
      <c r="D591" s="9"/>
      <c r="E591" s="9"/>
      <c r="F591" s="9"/>
      <c r="G591" s="59"/>
      <c r="H591" s="9"/>
    </row>
    <row r="592">
      <c r="A592" s="9"/>
      <c r="B592" s="9"/>
      <c r="C592" s="9"/>
      <c r="D592" s="9"/>
      <c r="E592" s="9"/>
      <c r="F592" s="9"/>
      <c r="G592" s="59"/>
      <c r="H592" s="9"/>
    </row>
    <row r="593">
      <c r="A593" s="9"/>
      <c r="B593" s="9"/>
      <c r="C593" s="9"/>
      <c r="D593" s="9"/>
      <c r="E593" s="9"/>
      <c r="F593" s="9"/>
      <c r="G593" s="59"/>
      <c r="H593" s="9"/>
    </row>
    <row r="594">
      <c r="A594" s="9"/>
      <c r="B594" s="9"/>
      <c r="C594" s="9"/>
      <c r="D594" s="9"/>
      <c r="E594" s="9"/>
      <c r="F594" s="9"/>
      <c r="G594" s="59"/>
      <c r="H594" s="9"/>
    </row>
    <row r="595">
      <c r="A595" s="9"/>
      <c r="B595" s="9"/>
      <c r="C595" s="9"/>
      <c r="D595" s="9"/>
      <c r="E595" s="9"/>
      <c r="F595" s="9"/>
      <c r="G595" s="59"/>
      <c r="H595" s="9"/>
    </row>
    <row r="596">
      <c r="A596" s="9"/>
      <c r="B596" s="9"/>
      <c r="C596" s="9"/>
      <c r="D596" s="9"/>
      <c r="E596" s="9"/>
      <c r="F596" s="9"/>
      <c r="G596" s="59"/>
      <c r="H596" s="9"/>
    </row>
    <row r="597">
      <c r="A597" s="9"/>
      <c r="B597" s="9"/>
      <c r="C597" s="9"/>
      <c r="D597" s="9"/>
      <c r="E597" s="9"/>
      <c r="F597" s="9"/>
      <c r="G597" s="59"/>
      <c r="H597" s="9"/>
    </row>
    <row r="598">
      <c r="A598" s="9"/>
      <c r="B598" s="9"/>
      <c r="C598" s="9"/>
      <c r="D598" s="9"/>
      <c r="E598" s="9"/>
      <c r="F598" s="9"/>
      <c r="G598" s="59"/>
      <c r="H598" s="9"/>
    </row>
    <row r="599">
      <c r="A599" s="9"/>
      <c r="B599" s="9"/>
      <c r="C599" s="9"/>
      <c r="D599" s="9"/>
      <c r="E599" s="9"/>
      <c r="F599" s="9"/>
      <c r="G599" s="59"/>
      <c r="H599" s="9"/>
    </row>
    <row r="600">
      <c r="A600" s="9"/>
      <c r="B600" s="9"/>
      <c r="C600" s="9"/>
      <c r="D600" s="9"/>
      <c r="E600" s="9"/>
      <c r="F600" s="9"/>
      <c r="G600" s="59"/>
      <c r="H600" s="9"/>
    </row>
    <row r="601">
      <c r="A601" s="9"/>
      <c r="B601" s="9"/>
      <c r="C601" s="9"/>
      <c r="D601" s="9"/>
      <c r="E601" s="9"/>
      <c r="F601" s="9"/>
      <c r="G601" s="59"/>
      <c r="H601" s="9"/>
    </row>
    <row r="602">
      <c r="A602" s="9"/>
      <c r="B602" s="9"/>
      <c r="C602" s="9"/>
      <c r="D602" s="9"/>
      <c r="E602" s="9"/>
      <c r="F602" s="9"/>
      <c r="G602" s="59"/>
      <c r="H602" s="9"/>
    </row>
    <row r="603">
      <c r="A603" s="9"/>
      <c r="B603" s="9"/>
      <c r="C603" s="9"/>
      <c r="D603" s="9"/>
      <c r="E603" s="9"/>
      <c r="F603" s="9"/>
      <c r="G603" s="59"/>
      <c r="H603" s="9"/>
    </row>
    <row r="604">
      <c r="A604" s="9"/>
      <c r="B604" s="9"/>
      <c r="C604" s="9"/>
      <c r="D604" s="9"/>
      <c r="E604" s="9"/>
      <c r="F604" s="9"/>
      <c r="G604" s="59"/>
      <c r="H604" s="9"/>
    </row>
    <row r="605">
      <c r="A605" s="9"/>
      <c r="B605" s="9"/>
      <c r="C605" s="9"/>
      <c r="D605" s="9"/>
      <c r="E605" s="9"/>
      <c r="F605" s="9"/>
      <c r="G605" s="59"/>
      <c r="H605" s="9"/>
    </row>
    <row r="606">
      <c r="A606" s="9"/>
      <c r="B606" s="9"/>
      <c r="C606" s="9"/>
      <c r="D606" s="9"/>
      <c r="E606" s="9"/>
      <c r="F606" s="9"/>
      <c r="G606" s="59"/>
      <c r="H606" s="9"/>
    </row>
    <row r="607">
      <c r="A607" s="9"/>
      <c r="B607" s="9"/>
      <c r="C607" s="9"/>
      <c r="D607" s="9"/>
      <c r="E607" s="9"/>
      <c r="F607" s="9"/>
      <c r="G607" s="59"/>
      <c r="H607" s="9"/>
    </row>
    <row r="608">
      <c r="A608" s="9"/>
      <c r="B608" s="9"/>
      <c r="C608" s="9"/>
      <c r="D608" s="9"/>
      <c r="E608" s="9"/>
      <c r="F608" s="9"/>
      <c r="G608" s="59"/>
      <c r="H608" s="9"/>
    </row>
    <row r="609">
      <c r="A609" s="9"/>
      <c r="B609" s="9"/>
      <c r="C609" s="9"/>
      <c r="D609" s="9"/>
      <c r="E609" s="9"/>
      <c r="F609" s="9"/>
      <c r="G609" s="59"/>
      <c r="H609" s="9"/>
    </row>
    <row r="610">
      <c r="A610" s="9"/>
      <c r="B610" s="9"/>
      <c r="C610" s="9"/>
      <c r="D610" s="9"/>
      <c r="E610" s="9"/>
      <c r="F610" s="9"/>
      <c r="G610" s="59"/>
      <c r="H610" s="9"/>
    </row>
    <row r="611">
      <c r="A611" s="9"/>
      <c r="B611" s="9"/>
      <c r="C611" s="9"/>
      <c r="D611" s="9"/>
      <c r="E611" s="9"/>
      <c r="F611" s="9"/>
      <c r="G611" s="59"/>
      <c r="H611" s="9"/>
    </row>
    <row r="612">
      <c r="A612" s="9"/>
      <c r="B612" s="9"/>
      <c r="C612" s="9"/>
      <c r="D612" s="9"/>
      <c r="E612" s="9"/>
      <c r="F612" s="9"/>
      <c r="G612" s="59"/>
      <c r="H612" s="9"/>
    </row>
    <row r="613">
      <c r="A613" s="9"/>
      <c r="B613" s="9"/>
      <c r="C613" s="9"/>
      <c r="D613" s="9"/>
      <c r="E613" s="9"/>
      <c r="F613" s="9"/>
      <c r="G613" s="59"/>
      <c r="H613" s="9"/>
    </row>
    <row r="614">
      <c r="A614" s="9"/>
      <c r="B614" s="9"/>
      <c r="C614" s="9"/>
      <c r="D614" s="9"/>
      <c r="E614" s="9"/>
      <c r="F614" s="9"/>
      <c r="G614" s="59"/>
      <c r="H614" s="9"/>
    </row>
    <row r="615">
      <c r="A615" s="9"/>
      <c r="B615" s="9"/>
      <c r="C615" s="9"/>
      <c r="D615" s="9"/>
      <c r="E615" s="9"/>
      <c r="F615" s="9"/>
      <c r="G615" s="59"/>
      <c r="H615" s="9"/>
    </row>
    <row r="616">
      <c r="A616" s="9"/>
      <c r="B616" s="9"/>
      <c r="C616" s="9"/>
      <c r="D616" s="9"/>
      <c r="E616" s="9"/>
      <c r="F616" s="9"/>
      <c r="G616" s="59"/>
      <c r="H616" s="9"/>
    </row>
    <row r="617">
      <c r="A617" s="9"/>
      <c r="B617" s="9"/>
      <c r="C617" s="9"/>
      <c r="D617" s="9"/>
      <c r="E617" s="9"/>
      <c r="F617" s="9"/>
      <c r="G617" s="59"/>
      <c r="H617" s="9"/>
    </row>
    <row r="618">
      <c r="A618" s="9"/>
      <c r="B618" s="9"/>
      <c r="C618" s="9"/>
      <c r="D618" s="9"/>
      <c r="E618" s="9"/>
      <c r="F618" s="9"/>
      <c r="G618" s="59"/>
      <c r="H618" s="9"/>
    </row>
    <row r="619">
      <c r="A619" s="9"/>
      <c r="B619" s="9"/>
      <c r="C619" s="9"/>
      <c r="D619" s="9"/>
      <c r="E619" s="9"/>
      <c r="F619" s="9"/>
      <c r="G619" s="59"/>
      <c r="H619" s="9"/>
    </row>
    <row r="620">
      <c r="A620" s="9"/>
      <c r="B620" s="9"/>
      <c r="C620" s="9"/>
      <c r="D620" s="9"/>
      <c r="E620" s="9"/>
      <c r="F620" s="9"/>
      <c r="G620" s="59"/>
      <c r="H620" s="9"/>
    </row>
    <row r="621">
      <c r="A621" s="9"/>
      <c r="B621" s="9"/>
      <c r="C621" s="9"/>
      <c r="D621" s="9"/>
      <c r="E621" s="9"/>
      <c r="F621" s="9"/>
      <c r="G621" s="59"/>
      <c r="H621" s="9"/>
    </row>
    <row r="622">
      <c r="A622" s="9"/>
      <c r="B622" s="9"/>
      <c r="C622" s="9"/>
      <c r="D622" s="9"/>
      <c r="E622" s="9"/>
      <c r="F622" s="9"/>
      <c r="G622" s="59"/>
      <c r="H622" s="9"/>
    </row>
    <row r="623">
      <c r="A623" s="9"/>
      <c r="B623" s="9"/>
      <c r="C623" s="9"/>
      <c r="D623" s="9"/>
      <c r="E623" s="9"/>
      <c r="F623" s="9"/>
      <c r="G623" s="59"/>
      <c r="H623" s="9"/>
    </row>
    <row r="624">
      <c r="A624" s="9"/>
      <c r="B624" s="9"/>
      <c r="C624" s="9"/>
      <c r="D624" s="9"/>
      <c r="E624" s="9"/>
      <c r="F624" s="9"/>
      <c r="G624" s="59"/>
      <c r="H624" s="9"/>
    </row>
    <row r="625">
      <c r="A625" s="9"/>
      <c r="B625" s="9"/>
      <c r="C625" s="9"/>
      <c r="D625" s="9"/>
      <c r="E625" s="9"/>
      <c r="F625" s="9"/>
      <c r="G625" s="59"/>
      <c r="H625" s="9"/>
    </row>
    <row r="626">
      <c r="A626" s="9"/>
      <c r="B626" s="9"/>
      <c r="C626" s="9"/>
      <c r="D626" s="9"/>
      <c r="E626" s="9"/>
      <c r="F626" s="9"/>
      <c r="G626" s="59"/>
      <c r="H626" s="9"/>
    </row>
    <row r="627">
      <c r="A627" s="9"/>
      <c r="B627" s="9"/>
      <c r="C627" s="9"/>
      <c r="D627" s="9"/>
      <c r="E627" s="9"/>
      <c r="F627" s="9"/>
      <c r="G627" s="59"/>
      <c r="H627" s="9"/>
    </row>
    <row r="628">
      <c r="A628" s="9"/>
      <c r="B628" s="9"/>
      <c r="C628" s="9"/>
      <c r="D628" s="9"/>
      <c r="E628" s="9"/>
      <c r="F628" s="9"/>
      <c r="G628" s="59"/>
      <c r="H628" s="9"/>
    </row>
    <row r="629">
      <c r="A629" s="9"/>
      <c r="B629" s="9"/>
      <c r="C629" s="9"/>
      <c r="D629" s="9"/>
      <c r="E629" s="9"/>
      <c r="F629" s="9"/>
      <c r="G629" s="59"/>
      <c r="H629" s="9"/>
    </row>
    <row r="630">
      <c r="A630" s="9"/>
      <c r="B630" s="9"/>
      <c r="C630" s="9"/>
      <c r="D630" s="9"/>
      <c r="E630" s="9"/>
      <c r="F630" s="9"/>
      <c r="G630" s="59"/>
      <c r="H630" s="9"/>
    </row>
    <row r="631">
      <c r="A631" s="9"/>
      <c r="B631" s="9"/>
      <c r="C631" s="9"/>
      <c r="D631" s="9"/>
      <c r="E631" s="9"/>
      <c r="F631" s="9"/>
      <c r="G631" s="59"/>
      <c r="H631" s="9"/>
    </row>
    <row r="632">
      <c r="A632" s="9"/>
      <c r="B632" s="9"/>
      <c r="C632" s="9"/>
      <c r="D632" s="9"/>
      <c r="E632" s="9"/>
      <c r="F632" s="9"/>
      <c r="G632" s="59"/>
      <c r="H632" s="9"/>
    </row>
    <row r="633">
      <c r="A633" s="9"/>
      <c r="B633" s="9"/>
      <c r="C633" s="9"/>
      <c r="D633" s="9"/>
      <c r="E633" s="9"/>
      <c r="F633" s="9"/>
      <c r="G633" s="59"/>
      <c r="H633" s="9"/>
    </row>
    <row r="634">
      <c r="A634" s="9"/>
      <c r="B634" s="9"/>
      <c r="C634" s="9"/>
      <c r="D634" s="9"/>
      <c r="E634" s="9"/>
      <c r="F634" s="9"/>
      <c r="G634" s="59"/>
      <c r="H634" s="9"/>
    </row>
    <row r="635">
      <c r="A635" s="9"/>
      <c r="B635" s="9"/>
      <c r="C635" s="9"/>
      <c r="D635" s="9"/>
      <c r="E635" s="9"/>
      <c r="F635" s="9"/>
      <c r="G635" s="59"/>
      <c r="H635" s="9"/>
    </row>
    <row r="636">
      <c r="A636" s="9"/>
      <c r="B636" s="9"/>
      <c r="C636" s="9"/>
      <c r="D636" s="9"/>
      <c r="E636" s="9"/>
      <c r="F636" s="9"/>
      <c r="G636" s="59"/>
      <c r="H636" s="9"/>
    </row>
    <row r="637">
      <c r="A637" s="9"/>
      <c r="B637" s="9"/>
      <c r="C637" s="9"/>
      <c r="D637" s="9"/>
      <c r="E637" s="9"/>
      <c r="F637" s="9"/>
      <c r="G637" s="59"/>
      <c r="H637" s="9"/>
    </row>
    <row r="638">
      <c r="A638" s="9"/>
      <c r="B638" s="9"/>
      <c r="C638" s="9"/>
      <c r="D638" s="9"/>
      <c r="E638" s="9"/>
      <c r="F638" s="9"/>
      <c r="G638" s="59"/>
      <c r="H638" s="9"/>
    </row>
    <row r="639">
      <c r="A639" s="9"/>
      <c r="B639" s="9"/>
      <c r="C639" s="9"/>
      <c r="D639" s="9"/>
      <c r="E639" s="9"/>
      <c r="F639" s="9"/>
      <c r="G639" s="59"/>
      <c r="H639" s="9"/>
    </row>
    <row r="640">
      <c r="A640" s="9"/>
      <c r="B640" s="9"/>
      <c r="C640" s="9"/>
      <c r="D640" s="9"/>
      <c r="E640" s="9"/>
      <c r="F640" s="9"/>
      <c r="G640" s="59"/>
      <c r="H640" s="9"/>
    </row>
    <row r="641">
      <c r="A641" s="9"/>
      <c r="B641" s="9"/>
      <c r="C641" s="9"/>
      <c r="D641" s="9"/>
      <c r="E641" s="9"/>
      <c r="F641" s="9"/>
      <c r="G641" s="59"/>
      <c r="H641" s="9"/>
    </row>
    <row r="642">
      <c r="A642" s="9"/>
      <c r="B642" s="9"/>
      <c r="C642" s="9"/>
      <c r="D642" s="9"/>
      <c r="E642" s="9"/>
      <c r="F642" s="9"/>
      <c r="G642" s="59"/>
      <c r="H642" s="9"/>
    </row>
    <row r="643">
      <c r="A643" s="9"/>
      <c r="B643" s="9"/>
      <c r="C643" s="9"/>
      <c r="D643" s="9"/>
      <c r="E643" s="9"/>
      <c r="F643" s="9"/>
      <c r="G643" s="59"/>
      <c r="H643" s="9"/>
    </row>
    <row r="644">
      <c r="A644" s="9"/>
      <c r="B644" s="9"/>
      <c r="C644" s="9"/>
      <c r="D644" s="9"/>
      <c r="E644" s="9"/>
      <c r="F644" s="9"/>
      <c r="G644" s="59"/>
      <c r="H644" s="9"/>
    </row>
    <row r="645">
      <c r="A645" s="9"/>
      <c r="B645" s="9"/>
      <c r="C645" s="9"/>
      <c r="D645" s="9"/>
      <c r="E645" s="9"/>
      <c r="F645" s="9"/>
      <c r="G645" s="59"/>
      <c r="H645" s="9"/>
    </row>
    <row r="646">
      <c r="A646" s="9"/>
      <c r="B646" s="9"/>
      <c r="C646" s="9"/>
      <c r="D646" s="9"/>
      <c r="E646" s="9"/>
      <c r="F646" s="9"/>
      <c r="G646" s="59"/>
      <c r="H646" s="9"/>
    </row>
    <row r="647">
      <c r="A647" s="9"/>
      <c r="B647" s="9"/>
      <c r="C647" s="9"/>
      <c r="D647" s="9"/>
      <c r="E647" s="9"/>
      <c r="F647" s="9"/>
      <c r="G647" s="59"/>
      <c r="H647" s="9"/>
    </row>
    <row r="648">
      <c r="A648" s="9"/>
      <c r="B648" s="9"/>
      <c r="C648" s="9"/>
      <c r="D648" s="9"/>
      <c r="E648" s="9"/>
      <c r="F648" s="9"/>
      <c r="G648" s="59"/>
      <c r="H648" s="9"/>
    </row>
    <row r="649">
      <c r="A649" s="9"/>
      <c r="B649" s="9"/>
      <c r="C649" s="9"/>
      <c r="D649" s="9"/>
      <c r="E649" s="9"/>
      <c r="F649" s="9"/>
      <c r="G649" s="59"/>
      <c r="H649" s="9"/>
    </row>
    <row r="650">
      <c r="A650" s="9"/>
      <c r="B650" s="9"/>
      <c r="C650" s="9"/>
      <c r="D650" s="9"/>
      <c r="E650" s="9"/>
      <c r="F650" s="9"/>
      <c r="G650" s="59"/>
      <c r="H650" s="9"/>
    </row>
    <row r="651">
      <c r="A651" s="9"/>
      <c r="B651" s="9"/>
      <c r="C651" s="9"/>
      <c r="D651" s="9"/>
      <c r="E651" s="9"/>
      <c r="F651" s="9"/>
      <c r="G651" s="59"/>
      <c r="H651" s="9"/>
    </row>
    <row r="652">
      <c r="A652" s="9"/>
      <c r="B652" s="9"/>
      <c r="C652" s="9"/>
      <c r="D652" s="9"/>
      <c r="E652" s="9"/>
      <c r="F652" s="9"/>
      <c r="G652" s="59"/>
      <c r="H652" s="9"/>
    </row>
    <row r="653">
      <c r="A653" s="9"/>
      <c r="B653" s="9"/>
      <c r="C653" s="9"/>
      <c r="D653" s="9"/>
      <c r="E653" s="9"/>
      <c r="F653" s="9"/>
      <c r="G653" s="59"/>
      <c r="H653" s="9"/>
    </row>
    <row r="654">
      <c r="A654" s="9"/>
      <c r="B654" s="9"/>
      <c r="C654" s="9"/>
      <c r="D654" s="9"/>
      <c r="E654" s="9"/>
      <c r="F654" s="9"/>
      <c r="G654" s="59"/>
      <c r="H654" s="9"/>
    </row>
    <row r="655">
      <c r="A655" s="9"/>
      <c r="B655" s="9"/>
      <c r="C655" s="9"/>
      <c r="D655" s="9"/>
      <c r="E655" s="9"/>
      <c r="F655" s="9"/>
      <c r="G655" s="59"/>
      <c r="H655" s="9"/>
    </row>
    <row r="656">
      <c r="A656" s="9"/>
      <c r="B656" s="9"/>
      <c r="C656" s="9"/>
      <c r="D656" s="9"/>
      <c r="E656" s="9"/>
      <c r="F656" s="9"/>
      <c r="G656" s="59"/>
      <c r="H656" s="9"/>
    </row>
    <row r="657">
      <c r="A657" s="9"/>
      <c r="B657" s="9"/>
      <c r="C657" s="9"/>
      <c r="D657" s="9"/>
      <c r="E657" s="9"/>
      <c r="F657" s="9"/>
      <c r="G657" s="59"/>
      <c r="H657" s="9"/>
    </row>
    <row r="658">
      <c r="A658" s="9"/>
      <c r="B658" s="9"/>
      <c r="C658" s="9"/>
      <c r="D658" s="9"/>
      <c r="E658" s="9"/>
      <c r="F658" s="9"/>
      <c r="G658" s="59"/>
      <c r="H658" s="9"/>
    </row>
    <row r="659">
      <c r="A659" s="9"/>
      <c r="B659" s="9"/>
      <c r="C659" s="9"/>
      <c r="D659" s="9"/>
      <c r="E659" s="9"/>
      <c r="F659" s="9"/>
      <c r="G659" s="59"/>
      <c r="H659" s="9"/>
    </row>
    <row r="660">
      <c r="A660" s="9"/>
      <c r="B660" s="9"/>
      <c r="C660" s="9"/>
      <c r="D660" s="9"/>
      <c r="E660" s="9"/>
      <c r="F660" s="9"/>
      <c r="G660" s="59"/>
      <c r="H660" s="9"/>
    </row>
    <row r="661">
      <c r="A661" s="9"/>
      <c r="B661" s="9"/>
      <c r="C661" s="9"/>
      <c r="D661" s="9"/>
      <c r="E661" s="9"/>
      <c r="F661" s="9"/>
      <c r="G661" s="59"/>
      <c r="H661" s="9"/>
    </row>
    <row r="662">
      <c r="A662" s="9"/>
      <c r="B662" s="9"/>
      <c r="C662" s="9"/>
      <c r="D662" s="9"/>
      <c r="E662" s="9"/>
      <c r="F662" s="9"/>
      <c r="G662" s="59"/>
      <c r="H662" s="9"/>
    </row>
    <row r="663">
      <c r="A663" s="9"/>
      <c r="B663" s="9"/>
      <c r="C663" s="9"/>
      <c r="D663" s="9"/>
      <c r="E663" s="9"/>
      <c r="F663" s="9"/>
      <c r="G663" s="59"/>
      <c r="H663" s="9"/>
    </row>
    <row r="664">
      <c r="A664" s="9"/>
      <c r="B664" s="9"/>
      <c r="C664" s="9"/>
      <c r="D664" s="9"/>
      <c r="E664" s="9"/>
      <c r="F664" s="9"/>
      <c r="G664" s="59"/>
      <c r="H664" s="9"/>
    </row>
    <row r="665">
      <c r="A665" s="9"/>
      <c r="B665" s="9"/>
      <c r="C665" s="9"/>
      <c r="D665" s="9"/>
      <c r="E665" s="9"/>
      <c r="F665" s="9"/>
      <c r="G665" s="59"/>
      <c r="H665" s="9"/>
    </row>
    <row r="666">
      <c r="A666" s="9"/>
      <c r="B666" s="9"/>
      <c r="C666" s="9"/>
      <c r="D666" s="9"/>
      <c r="E666" s="9"/>
      <c r="F666" s="9"/>
      <c r="G666" s="59"/>
      <c r="H666" s="9"/>
    </row>
    <row r="667">
      <c r="A667" s="9"/>
      <c r="B667" s="9"/>
      <c r="C667" s="9"/>
      <c r="D667" s="9"/>
      <c r="E667" s="9"/>
      <c r="F667" s="9"/>
      <c r="G667" s="59"/>
      <c r="H667" s="9"/>
    </row>
    <row r="668">
      <c r="A668" s="9"/>
      <c r="B668" s="9"/>
      <c r="C668" s="9"/>
      <c r="D668" s="9"/>
      <c r="E668" s="9"/>
      <c r="F668" s="9"/>
      <c r="G668" s="59"/>
      <c r="H668" s="9"/>
    </row>
    <row r="669">
      <c r="A669" s="9"/>
      <c r="B669" s="9"/>
      <c r="C669" s="9"/>
      <c r="D669" s="9"/>
      <c r="E669" s="9"/>
      <c r="F669" s="9"/>
      <c r="G669" s="59"/>
      <c r="H669" s="9"/>
    </row>
    <row r="670">
      <c r="A670" s="9"/>
      <c r="B670" s="9"/>
      <c r="C670" s="9"/>
      <c r="D670" s="9"/>
      <c r="E670" s="9"/>
      <c r="F670" s="9"/>
      <c r="G670" s="59"/>
      <c r="H670" s="9"/>
    </row>
    <row r="671">
      <c r="A671" s="9"/>
      <c r="B671" s="9"/>
      <c r="C671" s="9"/>
      <c r="D671" s="9"/>
      <c r="E671" s="9"/>
      <c r="F671" s="9"/>
      <c r="G671" s="59"/>
      <c r="H671" s="9"/>
    </row>
    <row r="672">
      <c r="A672" s="9"/>
      <c r="B672" s="9"/>
      <c r="C672" s="9"/>
      <c r="D672" s="9"/>
      <c r="E672" s="9"/>
      <c r="F672" s="9"/>
      <c r="G672" s="59"/>
      <c r="H672" s="9"/>
    </row>
    <row r="673">
      <c r="A673" s="9"/>
      <c r="B673" s="9"/>
      <c r="C673" s="9"/>
      <c r="D673" s="9"/>
      <c r="E673" s="9"/>
      <c r="F673" s="9"/>
      <c r="G673" s="59"/>
      <c r="H673" s="9"/>
    </row>
    <row r="674">
      <c r="A674" s="9"/>
      <c r="B674" s="9"/>
      <c r="C674" s="9"/>
      <c r="D674" s="9"/>
      <c r="E674" s="9"/>
      <c r="F674" s="9"/>
      <c r="G674" s="59"/>
      <c r="H674" s="9"/>
    </row>
    <row r="675">
      <c r="A675" s="9"/>
      <c r="B675" s="9"/>
      <c r="C675" s="9"/>
      <c r="D675" s="9"/>
      <c r="E675" s="9"/>
      <c r="F675" s="9"/>
      <c r="G675" s="59"/>
      <c r="H675" s="9"/>
    </row>
    <row r="676">
      <c r="A676" s="9"/>
      <c r="B676" s="9"/>
      <c r="C676" s="9"/>
      <c r="D676" s="9"/>
      <c r="E676" s="9"/>
      <c r="F676" s="9"/>
      <c r="G676" s="59"/>
      <c r="H676" s="9"/>
    </row>
    <row r="677">
      <c r="A677" s="9"/>
      <c r="B677" s="9"/>
      <c r="C677" s="9"/>
      <c r="D677" s="9"/>
      <c r="E677" s="9"/>
      <c r="F677" s="9"/>
      <c r="G677" s="59"/>
      <c r="H677" s="9"/>
    </row>
    <row r="678">
      <c r="A678" s="9"/>
      <c r="B678" s="9"/>
      <c r="C678" s="9"/>
      <c r="D678" s="9"/>
      <c r="E678" s="9"/>
      <c r="F678" s="9"/>
      <c r="G678" s="59"/>
      <c r="H678" s="9"/>
    </row>
    <row r="679">
      <c r="A679" s="9"/>
      <c r="B679" s="9"/>
      <c r="C679" s="9"/>
      <c r="D679" s="9"/>
      <c r="E679" s="9"/>
      <c r="F679" s="9"/>
      <c r="G679" s="59"/>
      <c r="H679" s="9"/>
    </row>
    <row r="680">
      <c r="A680" s="9"/>
      <c r="B680" s="9"/>
      <c r="C680" s="9"/>
      <c r="D680" s="9"/>
      <c r="E680" s="9"/>
      <c r="F680" s="9"/>
      <c r="G680" s="59"/>
      <c r="H680" s="9"/>
    </row>
    <row r="681">
      <c r="A681" s="9"/>
      <c r="B681" s="9"/>
      <c r="C681" s="9"/>
      <c r="D681" s="9"/>
      <c r="E681" s="9"/>
      <c r="F681" s="9"/>
      <c r="G681" s="59"/>
      <c r="H681" s="9"/>
    </row>
    <row r="682">
      <c r="A682" s="9"/>
      <c r="B682" s="9"/>
      <c r="C682" s="9"/>
      <c r="D682" s="9"/>
      <c r="E682" s="9"/>
      <c r="F682" s="9"/>
      <c r="G682" s="59"/>
      <c r="H682" s="9"/>
    </row>
    <row r="683">
      <c r="A683" s="9"/>
      <c r="B683" s="9"/>
      <c r="C683" s="9"/>
      <c r="D683" s="9"/>
      <c r="E683" s="9"/>
      <c r="F683" s="9"/>
      <c r="G683" s="59"/>
      <c r="H683" s="9"/>
    </row>
    <row r="684">
      <c r="A684" s="9"/>
      <c r="B684" s="9"/>
      <c r="C684" s="9"/>
      <c r="D684" s="9"/>
      <c r="E684" s="9"/>
      <c r="F684" s="9"/>
      <c r="G684" s="59"/>
      <c r="H684" s="9"/>
    </row>
    <row r="685">
      <c r="A685" s="9"/>
      <c r="B685" s="9"/>
      <c r="C685" s="9"/>
      <c r="D685" s="9"/>
      <c r="E685" s="9"/>
      <c r="F685" s="9"/>
      <c r="G685" s="59"/>
      <c r="H685" s="9"/>
    </row>
    <row r="686">
      <c r="A686" s="9"/>
      <c r="B686" s="9"/>
      <c r="C686" s="9"/>
      <c r="D686" s="9"/>
      <c r="E686" s="9"/>
      <c r="F686" s="9"/>
      <c r="G686" s="59"/>
      <c r="H686" s="9"/>
    </row>
    <row r="687">
      <c r="A687" s="9"/>
      <c r="B687" s="9"/>
      <c r="C687" s="9"/>
      <c r="D687" s="9"/>
      <c r="E687" s="9"/>
      <c r="F687" s="9"/>
      <c r="G687" s="59"/>
      <c r="H687" s="9"/>
    </row>
    <row r="688">
      <c r="A688" s="9"/>
      <c r="B688" s="9"/>
      <c r="C688" s="9"/>
      <c r="D688" s="9"/>
      <c r="E688" s="9"/>
      <c r="F688" s="9"/>
      <c r="G688" s="59"/>
      <c r="H688" s="9"/>
    </row>
    <row r="689">
      <c r="A689" s="9"/>
      <c r="B689" s="9"/>
      <c r="C689" s="9"/>
      <c r="D689" s="9"/>
      <c r="E689" s="9"/>
      <c r="F689" s="9"/>
      <c r="G689" s="59"/>
      <c r="H689" s="9"/>
    </row>
    <row r="690">
      <c r="A690" s="9"/>
      <c r="B690" s="9"/>
      <c r="C690" s="9"/>
      <c r="D690" s="9"/>
      <c r="E690" s="9"/>
      <c r="F690" s="9"/>
      <c r="G690" s="59"/>
      <c r="H690" s="9"/>
    </row>
    <row r="691">
      <c r="A691" s="9"/>
      <c r="B691" s="9"/>
      <c r="C691" s="9"/>
      <c r="D691" s="9"/>
      <c r="E691" s="9"/>
      <c r="F691" s="9"/>
      <c r="G691" s="59"/>
      <c r="H691" s="9"/>
    </row>
    <row r="692">
      <c r="A692" s="9"/>
      <c r="B692" s="9"/>
      <c r="C692" s="9"/>
      <c r="D692" s="9"/>
      <c r="E692" s="9"/>
      <c r="F692" s="9"/>
      <c r="G692" s="59"/>
      <c r="H692" s="9"/>
    </row>
    <row r="693">
      <c r="A693" s="9"/>
      <c r="B693" s="9"/>
      <c r="C693" s="9"/>
      <c r="D693" s="9"/>
      <c r="E693" s="9"/>
      <c r="F693" s="9"/>
      <c r="G693" s="59"/>
      <c r="H693" s="9"/>
    </row>
    <row r="694">
      <c r="A694" s="9"/>
      <c r="B694" s="9"/>
      <c r="C694" s="9"/>
      <c r="D694" s="9"/>
      <c r="E694" s="9"/>
      <c r="F694" s="9"/>
      <c r="G694" s="59"/>
      <c r="H694" s="9"/>
    </row>
    <row r="695">
      <c r="A695" s="9"/>
      <c r="B695" s="9"/>
      <c r="C695" s="9"/>
      <c r="D695" s="9"/>
      <c r="E695" s="9"/>
      <c r="F695" s="9"/>
      <c r="G695" s="59"/>
      <c r="H695" s="9"/>
    </row>
    <row r="696">
      <c r="A696" s="9"/>
      <c r="B696" s="9"/>
      <c r="C696" s="9"/>
      <c r="D696" s="9"/>
      <c r="E696" s="9"/>
      <c r="F696" s="9"/>
      <c r="G696" s="59"/>
      <c r="H696" s="9"/>
    </row>
    <row r="697">
      <c r="A697" s="9"/>
      <c r="B697" s="9"/>
      <c r="C697" s="9"/>
      <c r="D697" s="9"/>
      <c r="E697" s="9"/>
      <c r="F697" s="9"/>
      <c r="G697" s="59"/>
      <c r="H697" s="9"/>
    </row>
    <row r="698">
      <c r="A698" s="9"/>
      <c r="B698" s="9"/>
      <c r="C698" s="9"/>
      <c r="D698" s="9"/>
      <c r="E698" s="9"/>
      <c r="F698" s="9"/>
      <c r="G698" s="59"/>
      <c r="H698" s="9"/>
    </row>
    <row r="699">
      <c r="A699" s="9"/>
      <c r="B699" s="9"/>
      <c r="C699" s="9"/>
      <c r="D699" s="9"/>
      <c r="E699" s="9"/>
      <c r="F699" s="9"/>
      <c r="G699" s="59"/>
      <c r="H699" s="9"/>
    </row>
    <row r="700">
      <c r="A700" s="9"/>
      <c r="B700" s="9"/>
      <c r="C700" s="9"/>
      <c r="D700" s="9"/>
      <c r="E700" s="9"/>
      <c r="F700" s="9"/>
      <c r="G700" s="59"/>
      <c r="H700" s="9"/>
    </row>
    <row r="701">
      <c r="A701" s="9"/>
      <c r="B701" s="9"/>
      <c r="C701" s="9"/>
      <c r="D701" s="9"/>
      <c r="E701" s="9"/>
      <c r="F701" s="9"/>
      <c r="G701" s="59"/>
      <c r="H701" s="9"/>
    </row>
    <row r="702">
      <c r="A702" s="9"/>
      <c r="B702" s="9"/>
      <c r="C702" s="9"/>
      <c r="D702" s="9"/>
      <c r="E702" s="9"/>
      <c r="F702" s="9"/>
      <c r="G702" s="59"/>
      <c r="H702" s="9"/>
    </row>
    <row r="703">
      <c r="A703" s="9"/>
      <c r="B703" s="9"/>
      <c r="C703" s="9"/>
      <c r="D703" s="9"/>
      <c r="E703" s="9"/>
      <c r="F703" s="9"/>
      <c r="G703" s="59"/>
      <c r="H703" s="9"/>
    </row>
    <row r="704">
      <c r="A704" s="9"/>
      <c r="B704" s="9"/>
      <c r="C704" s="9"/>
      <c r="D704" s="9"/>
      <c r="E704" s="9"/>
      <c r="F704" s="9"/>
      <c r="G704" s="59"/>
      <c r="H704" s="9"/>
    </row>
    <row r="705">
      <c r="A705" s="9"/>
      <c r="B705" s="9"/>
      <c r="C705" s="9"/>
      <c r="D705" s="9"/>
      <c r="E705" s="9"/>
      <c r="F705" s="9"/>
      <c r="G705" s="59"/>
      <c r="H705" s="9"/>
    </row>
    <row r="706">
      <c r="A706" s="9"/>
      <c r="B706" s="9"/>
      <c r="C706" s="9"/>
      <c r="D706" s="9"/>
      <c r="E706" s="9"/>
      <c r="F706" s="9"/>
      <c r="G706" s="59"/>
      <c r="H706" s="9"/>
    </row>
    <row r="707">
      <c r="A707" s="9"/>
      <c r="B707" s="9"/>
      <c r="C707" s="9"/>
      <c r="D707" s="9"/>
      <c r="E707" s="9"/>
      <c r="F707" s="9"/>
      <c r="G707" s="59"/>
      <c r="H707" s="9"/>
    </row>
    <row r="708">
      <c r="A708" s="9"/>
      <c r="B708" s="9"/>
      <c r="C708" s="9"/>
      <c r="D708" s="9"/>
      <c r="E708" s="9"/>
      <c r="F708" s="9"/>
      <c r="G708" s="59"/>
      <c r="H708" s="9"/>
    </row>
    <row r="709">
      <c r="A709" s="9"/>
      <c r="B709" s="9"/>
      <c r="C709" s="9"/>
      <c r="D709" s="9"/>
      <c r="E709" s="9"/>
      <c r="F709" s="9"/>
      <c r="G709" s="59"/>
      <c r="H709" s="9"/>
    </row>
    <row r="710">
      <c r="A710" s="9"/>
      <c r="B710" s="9"/>
      <c r="C710" s="9"/>
      <c r="D710" s="9"/>
      <c r="E710" s="9"/>
      <c r="F710" s="9"/>
      <c r="G710" s="59"/>
      <c r="H710" s="9"/>
    </row>
    <row r="711">
      <c r="A711" s="9"/>
      <c r="B711" s="9"/>
      <c r="C711" s="9"/>
      <c r="D711" s="9"/>
      <c r="E711" s="9"/>
      <c r="F711" s="9"/>
      <c r="G711" s="59"/>
      <c r="H711" s="9"/>
    </row>
    <row r="712">
      <c r="A712" s="9"/>
      <c r="B712" s="9"/>
      <c r="C712" s="9"/>
      <c r="D712" s="9"/>
      <c r="E712" s="9"/>
      <c r="F712" s="9"/>
      <c r="G712" s="59"/>
      <c r="H712" s="9"/>
    </row>
    <row r="713">
      <c r="A713" s="9"/>
      <c r="B713" s="9"/>
      <c r="C713" s="9"/>
      <c r="D713" s="9"/>
      <c r="E713" s="9"/>
      <c r="F713" s="9"/>
      <c r="G713" s="59"/>
      <c r="H713" s="9"/>
    </row>
    <row r="714">
      <c r="A714" s="9"/>
      <c r="B714" s="9"/>
      <c r="C714" s="9"/>
      <c r="D714" s="9"/>
      <c r="E714" s="9"/>
      <c r="F714" s="9"/>
      <c r="G714" s="59"/>
      <c r="H714" s="9"/>
    </row>
    <row r="715">
      <c r="A715" s="9"/>
      <c r="B715" s="9"/>
      <c r="C715" s="9"/>
      <c r="D715" s="9"/>
      <c r="E715" s="9"/>
      <c r="F715" s="9"/>
      <c r="G715" s="59"/>
      <c r="H715" s="9"/>
    </row>
    <row r="716">
      <c r="A716" s="9"/>
      <c r="B716" s="9"/>
      <c r="C716" s="9"/>
      <c r="D716" s="9"/>
      <c r="E716" s="9"/>
      <c r="F716" s="9"/>
      <c r="G716" s="59"/>
      <c r="H716" s="9"/>
    </row>
    <row r="717">
      <c r="A717" s="9"/>
      <c r="B717" s="9"/>
      <c r="C717" s="9"/>
      <c r="D717" s="9"/>
      <c r="E717" s="9"/>
      <c r="F717" s="9"/>
      <c r="G717" s="59"/>
      <c r="H717" s="9"/>
    </row>
    <row r="718">
      <c r="A718" s="9"/>
      <c r="B718" s="9"/>
      <c r="C718" s="9"/>
      <c r="D718" s="9"/>
      <c r="E718" s="9"/>
      <c r="F718" s="9"/>
      <c r="G718" s="59"/>
      <c r="H718" s="9"/>
    </row>
    <row r="719">
      <c r="A719" s="9"/>
      <c r="B719" s="9"/>
      <c r="C719" s="9"/>
      <c r="D719" s="9"/>
      <c r="E719" s="9"/>
      <c r="F719" s="9"/>
      <c r="G719" s="59"/>
      <c r="H719" s="9"/>
    </row>
    <row r="720">
      <c r="A720" s="9"/>
      <c r="B720" s="9"/>
      <c r="C720" s="9"/>
      <c r="D720" s="9"/>
      <c r="E720" s="9"/>
      <c r="F720" s="9"/>
      <c r="G720" s="59"/>
      <c r="H720" s="9"/>
    </row>
    <row r="721">
      <c r="A721" s="9"/>
      <c r="B721" s="9"/>
      <c r="C721" s="9"/>
      <c r="D721" s="9"/>
      <c r="E721" s="9"/>
      <c r="F721" s="9"/>
      <c r="G721" s="59"/>
      <c r="H721" s="9"/>
    </row>
    <row r="722">
      <c r="A722" s="9"/>
      <c r="B722" s="9"/>
      <c r="C722" s="9"/>
      <c r="D722" s="9"/>
      <c r="E722" s="9"/>
      <c r="F722" s="9"/>
      <c r="G722" s="59"/>
      <c r="H722" s="9"/>
    </row>
    <row r="723">
      <c r="A723" s="9"/>
      <c r="B723" s="9"/>
      <c r="C723" s="9"/>
      <c r="D723" s="9"/>
      <c r="E723" s="9"/>
      <c r="F723" s="9"/>
      <c r="G723" s="59"/>
      <c r="H723" s="9"/>
    </row>
    <row r="724">
      <c r="A724" s="9"/>
      <c r="B724" s="9"/>
      <c r="C724" s="9"/>
      <c r="D724" s="9"/>
      <c r="E724" s="9"/>
      <c r="F724" s="9"/>
      <c r="G724" s="59"/>
      <c r="H724" s="9"/>
    </row>
    <row r="725">
      <c r="A725" s="9"/>
      <c r="B725" s="9"/>
      <c r="C725" s="9"/>
      <c r="D725" s="9"/>
      <c r="E725" s="9"/>
      <c r="F725" s="9"/>
      <c r="G725" s="59"/>
      <c r="H725" s="9"/>
    </row>
    <row r="726">
      <c r="A726" s="9"/>
      <c r="B726" s="9"/>
      <c r="C726" s="9"/>
      <c r="D726" s="9"/>
      <c r="E726" s="9"/>
      <c r="F726" s="9"/>
      <c r="G726" s="59"/>
      <c r="H726" s="9"/>
    </row>
    <row r="727">
      <c r="A727" s="9"/>
      <c r="B727" s="9"/>
      <c r="C727" s="9"/>
      <c r="D727" s="9"/>
      <c r="E727" s="9"/>
      <c r="F727" s="9"/>
      <c r="G727" s="59"/>
      <c r="H727" s="9"/>
    </row>
    <row r="728">
      <c r="A728" s="9"/>
      <c r="B728" s="9"/>
      <c r="C728" s="9"/>
      <c r="D728" s="9"/>
      <c r="E728" s="9"/>
      <c r="F728" s="9"/>
      <c r="G728" s="59"/>
      <c r="H728" s="9"/>
    </row>
    <row r="729">
      <c r="A729" s="9"/>
      <c r="B729" s="9"/>
      <c r="C729" s="9"/>
      <c r="D729" s="9"/>
      <c r="E729" s="9"/>
      <c r="F729" s="9"/>
      <c r="G729" s="59"/>
      <c r="H729" s="9"/>
    </row>
    <row r="730">
      <c r="A730" s="9"/>
      <c r="B730" s="9"/>
      <c r="C730" s="9"/>
      <c r="D730" s="9"/>
      <c r="E730" s="9"/>
      <c r="F730" s="9"/>
      <c r="G730" s="59"/>
      <c r="H730" s="9"/>
    </row>
    <row r="731">
      <c r="A731" s="9"/>
      <c r="B731" s="9"/>
      <c r="C731" s="9"/>
      <c r="D731" s="9"/>
      <c r="E731" s="9"/>
      <c r="F731" s="9"/>
      <c r="G731" s="59"/>
      <c r="H731" s="9"/>
    </row>
    <row r="732">
      <c r="A732" s="9"/>
      <c r="B732" s="9"/>
      <c r="C732" s="9"/>
      <c r="D732" s="9"/>
      <c r="E732" s="9"/>
      <c r="F732" s="9"/>
      <c r="G732" s="59"/>
      <c r="H732" s="9"/>
    </row>
    <row r="733">
      <c r="A733" s="9"/>
      <c r="B733" s="9"/>
      <c r="C733" s="9"/>
      <c r="D733" s="9"/>
      <c r="E733" s="9"/>
      <c r="F733" s="9"/>
      <c r="G733" s="59"/>
      <c r="H733" s="9"/>
    </row>
    <row r="734">
      <c r="A734" s="9"/>
      <c r="B734" s="9"/>
      <c r="C734" s="9"/>
      <c r="D734" s="9"/>
      <c r="E734" s="9"/>
      <c r="F734" s="9"/>
      <c r="G734" s="59"/>
      <c r="H734" s="9"/>
    </row>
    <row r="735">
      <c r="A735" s="9"/>
      <c r="B735" s="9"/>
      <c r="C735" s="9"/>
      <c r="D735" s="9"/>
      <c r="E735" s="9"/>
      <c r="F735" s="9"/>
      <c r="G735" s="59"/>
      <c r="H735" s="9"/>
    </row>
    <row r="736">
      <c r="A736" s="9"/>
      <c r="B736" s="9"/>
      <c r="C736" s="9"/>
      <c r="D736" s="9"/>
      <c r="E736" s="9"/>
      <c r="F736" s="9"/>
      <c r="G736" s="59"/>
      <c r="H736" s="9"/>
    </row>
    <row r="737">
      <c r="A737" s="9"/>
      <c r="B737" s="9"/>
      <c r="C737" s="9"/>
      <c r="D737" s="9"/>
      <c r="E737" s="9"/>
      <c r="F737" s="9"/>
      <c r="G737" s="59"/>
      <c r="H737" s="9"/>
    </row>
    <row r="738">
      <c r="A738" s="9"/>
      <c r="B738" s="9"/>
      <c r="C738" s="9"/>
      <c r="D738" s="9"/>
      <c r="E738" s="9"/>
      <c r="F738" s="9"/>
      <c r="G738" s="59"/>
      <c r="H738" s="9"/>
    </row>
    <row r="739">
      <c r="A739" s="9"/>
      <c r="B739" s="9"/>
      <c r="C739" s="9"/>
      <c r="D739" s="9"/>
      <c r="E739" s="9"/>
      <c r="F739" s="9"/>
      <c r="G739" s="59"/>
      <c r="H739" s="9"/>
    </row>
    <row r="740">
      <c r="A740" s="9"/>
      <c r="B740" s="9"/>
      <c r="C740" s="9"/>
      <c r="D740" s="9"/>
      <c r="E740" s="9"/>
      <c r="F740" s="9"/>
      <c r="G740" s="59"/>
      <c r="H740" s="9"/>
    </row>
    <row r="741">
      <c r="A741" s="9"/>
      <c r="B741" s="9"/>
      <c r="C741" s="9"/>
      <c r="D741" s="9"/>
      <c r="E741" s="9"/>
      <c r="F741" s="9"/>
      <c r="G741" s="59"/>
      <c r="H741" s="9"/>
    </row>
    <row r="742">
      <c r="A742" s="9"/>
      <c r="B742" s="9"/>
      <c r="C742" s="9"/>
      <c r="D742" s="9"/>
      <c r="E742" s="9"/>
      <c r="F742" s="9"/>
      <c r="G742" s="59"/>
      <c r="H742" s="9"/>
    </row>
    <row r="743">
      <c r="A743" s="9"/>
      <c r="B743" s="9"/>
      <c r="C743" s="9"/>
      <c r="D743" s="9"/>
      <c r="E743" s="9"/>
      <c r="F743" s="9"/>
      <c r="G743" s="59"/>
      <c r="H743" s="9"/>
    </row>
    <row r="744">
      <c r="A744" s="9"/>
      <c r="B744" s="9"/>
      <c r="C744" s="9"/>
      <c r="D744" s="9"/>
      <c r="E744" s="9"/>
      <c r="F744" s="9"/>
      <c r="G744" s="59"/>
      <c r="H744" s="9"/>
    </row>
    <row r="745">
      <c r="A745" s="9"/>
      <c r="B745" s="9"/>
      <c r="C745" s="9"/>
      <c r="D745" s="9"/>
      <c r="E745" s="9"/>
      <c r="F745" s="9"/>
      <c r="G745" s="59"/>
      <c r="H745" s="9"/>
    </row>
    <row r="746">
      <c r="A746" s="9"/>
      <c r="B746" s="9"/>
      <c r="C746" s="9"/>
      <c r="D746" s="9"/>
      <c r="E746" s="9"/>
      <c r="F746" s="9"/>
      <c r="G746" s="59"/>
      <c r="H746" s="9"/>
    </row>
    <row r="747">
      <c r="A747" s="9"/>
      <c r="B747" s="9"/>
      <c r="C747" s="9"/>
      <c r="D747" s="9"/>
      <c r="E747" s="9"/>
      <c r="F747" s="9"/>
      <c r="G747" s="59"/>
      <c r="H747" s="9"/>
    </row>
    <row r="748">
      <c r="A748" s="9"/>
      <c r="B748" s="9"/>
      <c r="C748" s="9"/>
      <c r="D748" s="9"/>
      <c r="E748" s="9"/>
      <c r="F748" s="9"/>
      <c r="G748" s="59"/>
      <c r="H748" s="9"/>
    </row>
    <row r="749">
      <c r="A749" s="9"/>
      <c r="B749" s="9"/>
      <c r="C749" s="9"/>
      <c r="D749" s="9"/>
      <c r="E749" s="9"/>
      <c r="F749" s="9"/>
      <c r="G749" s="59"/>
      <c r="H749" s="9"/>
    </row>
    <row r="750">
      <c r="A750" s="9"/>
      <c r="B750" s="9"/>
      <c r="C750" s="9"/>
      <c r="D750" s="9"/>
      <c r="E750" s="9"/>
      <c r="F750" s="9"/>
      <c r="G750" s="59"/>
      <c r="H750" s="9"/>
    </row>
    <row r="751">
      <c r="A751" s="9"/>
      <c r="B751" s="9"/>
      <c r="C751" s="9"/>
      <c r="D751" s="9"/>
      <c r="E751" s="9"/>
      <c r="F751" s="9"/>
      <c r="G751" s="59"/>
      <c r="H751" s="9"/>
    </row>
    <row r="752">
      <c r="A752" s="9"/>
      <c r="B752" s="9"/>
      <c r="C752" s="9"/>
      <c r="D752" s="9"/>
      <c r="E752" s="9"/>
      <c r="F752" s="9"/>
      <c r="G752" s="59"/>
      <c r="H752" s="9"/>
    </row>
    <row r="753">
      <c r="A753" s="9"/>
      <c r="B753" s="9"/>
      <c r="C753" s="9"/>
      <c r="D753" s="9"/>
      <c r="E753" s="9"/>
      <c r="F753" s="9"/>
      <c r="G753" s="59"/>
      <c r="H753" s="9"/>
    </row>
    <row r="754">
      <c r="A754" s="9"/>
      <c r="B754" s="9"/>
      <c r="C754" s="9"/>
      <c r="D754" s="9"/>
      <c r="E754" s="9"/>
      <c r="F754" s="9"/>
      <c r="G754" s="59"/>
      <c r="H754" s="9"/>
    </row>
    <row r="755">
      <c r="A755" s="9"/>
      <c r="B755" s="9"/>
      <c r="C755" s="9"/>
      <c r="D755" s="9"/>
      <c r="E755" s="9"/>
      <c r="F755" s="9"/>
      <c r="G755" s="59"/>
      <c r="H755" s="9"/>
    </row>
    <row r="756">
      <c r="A756" s="9"/>
      <c r="B756" s="9"/>
      <c r="C756" s="9"/>
      <c r="D756" s="9"/>
      <c r="E756" s="9"/>
      <c r="F756" s="9"/>
      <c r="G756" s="59"/>
      <c r="H756" s="9"/>
    </row>
    <row r="757">
      <c r="A757" s="9"/>
      <c r="B757" s="9"/>
      <c r="C757" s="9"/>
      <c r="D757" s="9"/>
      <c r="E757" s="9"/>
      <c r="F757" s="9"/>
      <c r="G757" s="59"/>
      <c r="H757" s="9"/>
    </row>
    <row r="758">
      <c r="A758" s="9"/>
      <c r="B758" s="9"/>
      <c r="C758" s="9"/>
      <c r="D758" s="9"/>
      <c r="E758" s="9"/>
      <c r="F758" s="9"/>
      <c r="G758" s="59"/>
      <c r="H758" s="9"/>
    </row>
    <row r="759">
      <c r="A759" s="9"/>
      <c r="B759" s="9"/>
      <c r="C759" s="9"/>
      <c r="D759" s="9"/>
      <c r="E759" s="9"/>
      <c r="F759" s="9"/>
      <c r="G759" s="59"/>
      <c r="H759" s="9"/>
    </row>
    <row r="760">
      <c r="A760" s="9"/>
      <c r="B760" s="9"/>
      <c r="C760" s="9"/>
      <c r="D760" s="9"/>
      <c r="E760" s="9"/>
      <c r="F760" s="9"/>
      <c r="G760" s="59"/>
      <c r="H760" s="9"/>
    </row>
    <row r="761">
      <c r="A761" s="9"/>
      <c r="B761" s="9"/>
      <c r="C761" s="9"/>
      <c r="D761" s="9"/>
      <c r="E761" s="9"/>
      <c r="F761" s="9"/>
      <c r="G761" s="59"/>
      <c r="H761" s="9"/>
    </row>
    <row r="762">
      <c r="A762" s="9"/>
      <c r="B762" s="9"/>
      <c r="C762" s="9"/>
      <c r="D762" s="9"/>
      <c r="E762" s="9"/>
      <c r="F762" s="9"/>
      <c r="G762" s="59"/>
      <c r="H762" s="9"/>
    </row>
    <row r="763">
      <c r="A763" s="9"/>
      <c r="B763" s="9"/>
      <c r="C763" s="9"/>
      <c r="D763" s="9"/>
      <c r="E763" s="9"/>
      <c r="F763" s="9"/>
      <c r="G763" s="59"/>
      <c r="H763" s="9"/>
    </row>
    <row r="764">
      <c r="A764" s="9"/>
      <c r="B764" s="9"/>
      <c r="C764" s="9"/>
      <c r="D764" s="9"/>
      <c r="E764" s="9"/>
      <c r="F764" s="9"/>
      <c r="G764" s="59"/>
      <c r="H764" s="9"/>
    </row>
    <row r="765">
      <c r="A765" s="9"/>
      <c r="B765" s="9"/>
      <c r="C765" s="9"/>
      <c r="D765" s="9"/>
      <c r="E765" s="9"/>
      <c r="F765" s="9"/>
      <c r="G765" s="59"/>
      <c r="H765" s="9"/>
    </row>
    <row r="766">
      <c r="A766" s="9"/>
      <c r="B766" s="9"/>
      <c r="C766" s="9"/>
      <c r="D766" s="9"/>
      <c r="E766" s="9"/>
      <c r="F766" s="9"/>
      <c r="G766" s="59"/>
      <c r="H766" s="9"/>
    </row>
    <row r="767">
      <c r="A767" s="9"/>
      <c r="B767" s="9"/>
      <c r="C767" s="9"/>
      <c r="D767" s="9"/>
      <c r="E767" s="9"/>
      <c r="F767" s="9"/>
      <c r="G767" s="59"/>
      <c r="H767" s="9"/>
    </row>
    <row r="768">
      <c r="A768" s="9"/>
      <c r="B768" s="9"/>
      <c r="C768" s="9"/>
      <c r="D768" s="9"/>
      <c r="E768" s="9"/>
      <c r="F768" s="9"/>
      <c r="G768" s="59"/>
      <c r="H768" s="9"/>
    </row>
    <row r="769">
      <c r="A769" s="9"/>
      <c r="B769" s="9"/>
      <c r="C769" s="9"/>
      <c r="D769" s="9"/>
      <c r="E769" s="9"/>
      <c r="F769" s="9"/>
      <c r="G769" s="59"/>
      <c r="H769" s="9"/>
    </row>
    <row r="770">
      <c r="A770" s="9"/>
      <c r="B770" s="9"/>
      <c r="C770" s="9"/>
      <c r="D770" s="9"/>
      <c r="E770" s="9"/>
      <c r="F770" s="9"/>
      <c r="G770" s="59"/>
      <c r="H770" s="9"/>
    </row>
    <row r="771">
      <c r="A771" s="9"/>
      <c r="B771" s="9"/>
      <c r="C771" s="9"/>
      <c r="D771" s="9"/>
      <c r="E771" s="9"/>
      <c r="F771" s="9"/>
      <c r="G771" s="59"/>
      <c r="H771" s="9"/>
    </row>
    <row r="772">
      <c r="A772" s="9"/>
      <c r="B772" s="9"/>
      <c r="C772" s="9"/>
      <c r="D772" s="9"/>
      <c r="E772" s="9"/>
      <c r="F772" s="9"/>
      <c r="G772" s="59"/>
      <c r="H772" s="9"/>
    </row>
    <row r="773">
      <c r="A773" s="9"/>
      <c r="B773" s="9"/>
      <c r="C773" s="9"/>
      <c r="D773" s="9"/>
      <c r="E773" s="9"/>
      <c r="F773" s="9"/>
      <c r="G773" s="59"/>
      <c r="H773" s="9"/>
    </row>
    <row r="774">
      <c r="A774" s="9"/>
      <c r="B774" s="9"/>
      <c r="C774" s="9"/>
      <c r="D774" s="9"/>
      <c r="E774" s="9"/>
      <c r="F774" s="9"/>
      <c r="G774" s="59"/>
      <c r="H774" s="9"/>
    </row>
    <row r="775">
      <c r="A775" s="9"/>
      <c r="B775" s="9"/>
      <c r="C775" s="9"/>
      <c r="D775" s="9"/>
      <c r="E775" s="9"/>
      <c r="F775" s="9"/>
      <c r="G775" s="59"/>
      <c r="H775" s="9"/>
    </row>
    <row r="776">
      <c r="A776" s="9"/>
      <c r="B776" s="9"/>
      <c r="C776" s="9"/>
      <c r="D776" s="9"/>
      <c r="E776" s="9"/>
      <c r="F776" s="9"/>
      <c r="G776" s="59"/>
      <c r="H776" s="9"/>
    </row>
    <row r="777">
      <c r="A777" s="9"/>
      <c r="B777" s="9"/>
      <c r="C777" s="9"/>
      <c r="D777" s="9"/>
      <c r="E777" s="9"/>
      <c r="F777" s="9"/>
      <c r="G777" s="59"/>
      <c r="H777" s="9"/>
    </row>
    <row r="778">
      <c r="A778" s="9"/>
      <c r="B778" s="9"/>
      <c r="C778" s="9"/>
      <c r="D778" s="9"/>
      <c r="E778" s="9"/>
      <c r="F778" s="9"/>
      <c r="G778" s="59"/>
      <c r="H778" s="9"/>
    </row>
    <row r="779">
      <c r="A779" s="9"/>
      <c r="B779" s="9"/>
      <c r="C779" s="9"/>
      <c r="D779" s="9"/>
      <c r="E779" s="9"/>
      <c r="F779" s="9"/>
      <c r="G779" s="59"/>
      <c r="H779" s="9"/>
    </row>
    <row r="780">
      <c r="A780" s="9"/>
      <c r="B780" s="9"/>
      <c r="C780" s="9"/>
      <c r="D780" s="9"/>
      <c r="E780" s="9"/>
      <c r="F780" s="9"/>
      <c r="G780" s="59"/>
      <c r="H780" s="9"/>
    </row>
    <row r="781">
      <c r="A781" s="9"/>
      <c r="B781" s="9"/>
      <c r="C781" s="9"/>
      <c r="D781" s="9"/>
      <c r="E781" s="9"/>
      <c r="F781" s="9"/>
      <c r="G781" s="59"/>
      <c r="H781" s="9"/>
    </row>
    <row r="782">
      <c r="A782" s="9"/>
      <c r="B782" s="9"/>
      <c r="C782" s="9"/>
      <c r="D782" s="9"/>
      <c r="E782" s="9"/>
      <c r="F782" s="9"/>
      <c r="G782" s="59"/>
      <c r="H782" s="9"/>
    </row>
    <row r="783">
      <c r="A783" s="9"/>
      <c r="B783" s="9"/>
      <c r="C783" s="9"/>
      <c r="D783" s="9"/>
      <c r="E783" s="9"/>
      <c r="F783" s="9"/>
      <c r="G783" s="59"/>
      <c r="H783" s="9"/>
    </row>
    <row r="784">
      <c r="A784" s="9"/>
      <c r="B784" s="9"/>
      <c r="C784" s="9"/>
      <c r="D784" s="9"/>
      <c r="E784" s="9"/>
      <c r="F784" s="9"/>
      <c r="G784" s="59"/>
      <c r="H784" s="9"/>
    </row>
    <row r="785">
      <c r="A785" s="9"/>
      <c r="B785" s="9"/>
      <c r="C785" s="9"/>
      <c r="D785" s="9"/>
      <c r="E785" s="9"/>
      <c r="F785" s="9"/>
      <c r="G785" s="59"/>
      <c r="H785" s="9"/>
    </row>
    <row r="786">
      <c r="A786" s="9"/>
      <c r="B786" s="9"/>
      <c r="C786" s="9"/>
      <c r="D786" s="9"/>
      <c r="E786" s="9"/>
      <c r="F786" s="9"/>
      <c r="G786" s="59"/>
      <c r="H786" s="9"/>
    </row>
    <row r="787">
      <c r="A787" s="9"/>
      <c r="B787" s="9"/>
      <c r="C787" s="9"/>
      <c r="D787" s="9"/>
      <c r="E787" s="9"/>
      <c r="F787" s="9"/>
      <c r="G787" s="59"/>
      <c r="H787" s="9"/>
    </row>
    <row r="788">
      <c r="A788" s="9"/>
      <c r="B788" s="9"/>
      <c r="C788" s="9"/>
      <c r="D788" s="9"/>
      <c r="E788" s="9"/>
      <c r="F788" s="9"/>
      <c r="G788" s="59"/>
      <c r="H788" s="9"/>
    </row>
    <row r="789">
      <c r="A789" s="9"/>
      <c r="B789" s="9"/>
      <c r="C789" s="9"/>
      <c r="D789" s="9"/>
      <c r="E789" s="9"/>
      <c r="F789" s="9"/>
      <c r="G789" s="59"/>
      <c r="H789" s="9"/>
    </row>
    <row r="790">
      <c r="A790" s="9"/>
      <c r="B790" s="9"/>
      <c r="C790" s="9"/>
      <c r="D790" s="9"/>
      <c r="E790" s="9"/>
      <c r="F790" s="9"/>
      <c r="G790" s="59"/>
      <c r="H790" s="9"/>
    </row>
    <row r="791">
      <c r="A791" s="9"/>
      <c r="B791" s="9"/>
      <c r="C791" s="9"/>
      <c r="D791" s="9"/>
      <c r="E791" s="9"/>
      <c r="F791" s="9"/>
      <c r="G791" s="59"/>
      <c r="H791" s="9"/>
    </row>
    <row r="792">
      <c r="A792" s="9"/>
      <c r="B792" s="9"/>
      <c r="C792" s="9"/>
      <c r="D792" s="9"/>
      <c r="E792" s="9"/>
      <c r="F792" s="9"/>
      <c r="G792" s="59"/>
      <c r="H792" s="9"/>
    </row>
    <row r="793">
      <c r="A793" s="9"/>
      <c r="B793" s="9"/>
      <c r="C793" s="9"/>
      <c r="D793" s="9"/>
      <c r="E793" s="9"/>
      <c r="F793" s="9"/>
      <c r="G793" s="59"/>
      <c r="H793" s="9"/>
    </row>
    <row r="794">
      <c r="A794" s="9"/>
      <c r="B794" s="9"/>
      <c r="C794" s="9"/>
      <c r="D794" s="9"/>
      <c r="E794" s="9"/>
      <c r="F794" s="9"/>
      <c r="G794" s="59"/>
      <c r="H794" s="9"/>
    </row>
    <row r="795">
      <c r="A795" s="9"/>
      <c r="B795" s="9"/>
      <c r="C795" s="9"/>
      <c r="D795" s="9"/>
      <c r="E795" s="9"/>
      <c r="F795" s="9"/>
      <c r="G795" s="59"/>
      <c r="H795" s="9"/>
    </row>
    <row r="796">
      <c r="A796" s="9"/>
      <c r="B796" s="9"/>
      <c r="C796" s="9"/>
      <c r="D796" s="9"/>
      <c r="E796" s="9"/>
      <c r="F796" s="9"/>
      <c r="G796" s="59"/>
      <c r="H796" s="9"/>
    </row>
    <row r="797">
      <c r="A797" s="9"/>
      <c r="B797" s="9"/>
      <c r="C797" s="9"/>
      <c r="D797" s="9"/>
      <c r="E797" s="9"/>
      <c r="F797" s="9"/>
      <c r="G797" s="59"/>
      <c r="H797" s="9"/>
    </row>
    <row r="798">
      <c r="A798" s="9"/>
      <c r="B798" s="9"/>
      <c r="C798" s="9"/>
      <c r="D798" s="9"/>
      <c r="E798" s="9"/>
      <c r="F798" s="9"/>
      <c r="G798" s="59"/>
      <c r="H798" s="9"/>
    </row>
    <row r="799">
      <c r="A799" s="9"/>
      <c r="B799" s="9"/>
      <c r="C799" s="9"/>
      <c r="D799" s="9"/>
      <c r="E799" s="9"/>
      <c r="F799" s="9"/>
      <c r="G799" s="59"/>
      <c r="H799" s="9"/>
    </row>
    <row r="800">
      <c r="A800" s="9"/>
      <c r="B800" s="9"/>
      <c r="C800" s="9"/>
      <c r="D800" s="9"/>
      <c r="E800" s="9"/>
      <c r="F800" s="9"/>
      <c r="G800" s="59"/>
      <c r="H800" s="9"/>
    </row>
    <row r="801">
      <c r="A801" s="9"/>
      <c r="B801" s="9"/>
      <c r="C801" s="9"/>
      <c r="D801" s="9"/>
      <c r="E801" s="9"/>
      <c r="F801" s="9"/>
      <c r="G801" s="59"/>
      <c r="H801" s="9"/>
    </row>
    <row r="802">
      <c r="A802" s="9"/>
      <c r="B802" s="9"/>
      <c r="C802" s="9"/>
      <c r="D802" s="9"/>
      <c r="E802" s="9"/>
      <c r="F802" s="9"/>
      <c r="G802" s="59"/>
      <c r="H802" s="9"/>
    </row>
    <row r="803">
      <c r="A803" s="9"/>
      <c r="B803" s="9"/>
      <c r="C803" s="9"/>
      <c r="D803" s="9"/>
      <c r="E803" s="9"/>
      <c r="F803" s="9"/>
      <c r="G803" s="59"/>
      <c r="H803" s="9"/>
    </row>
    <row r="804">
      <c r="A804" s="9"/>
      <c r="B804" s="9"/>
      <c r="C804" s="9"/>
      <c r="D804" s="9"/>
      <c r="E804" s="9"/>
      <c r="F804" s="9"/>
      <c r="G804" s="59"/>
      <c r="H804" s="9"/>
    </row>
    <row r="805">
      <c r="A805" s="9"/>
      <c r="B805" s="9"/>
      <c r="C805" s="9"/>
      <c r="D805" s="9"/>
      <c r="E805" s="9"/>
      <c r="F805" s="9"/>
      <c r="G805" s="59"/>
      <c r="H805" s="9"/>
    </row>
    <row r="806">
      <c r="A806" s="9"/>
      <c r="B806" s="9"/>
      <c r="C806" s="9"/>
      <c r="D806" s="9"/>
      <c r="E806" s="9"/>
      <c r="F806" s="9"/>
      <c r="G806" s="59"/>
      <c r="H806" s="9"/>
    </row>
    <row r="807">
      <c r="A807" s="9"/>
      <c r="B807" s="9"/>
      <c r="C807" s="9"/>
      <c r="D807" s="9"/>
      <c r="E807" s="9"/>
      <c r="F807" s="9"/>
      <c r="G807" s="59"/>
      <c r="H807" s="9"/>
    </row>
    <row r="808">
      <c r="A808" s="9"/>
      <c r="B808" s="9"/>
      <c r="C808" s="9"/>
      <c r="D808" s="9"/>
      <c r="E808" s="9"/>
      <c r="F808" s="9"/>
      <c r="G808" s="59"/>
      <c r="H808" s="9"/>
    </row>
    <row r="809">
      <c r="A809" s="9"/>
      <c r="B809" s="9"/>
      <c r="C809" s="9"/>
      <c r="D809" s="9"/>
      <c r="E809" s="9"/>
      <c r="F809" s="9"/>
      <c r="G809" s="59"/>
      <c r="H809" s="9"/>
    </row>
    <row r="810">
      <c r="A810" s="9"/>
      <c r="B810" s="9"/>
      <c r="C810" s="9"/>
      <c r="D810" s="9"/>
      <c r="E810" s="9"/>
      <c r="F810" s="9"/>
      <c r="G810" s="59"/>
      <c r="H810" s="9"/>
    </row>
    <row r="811">
      <c r="A811" s="9"/>
      <c r="B811" s="9"/>
      <c r="C811" s="9"/>
      <c r="D811" s="9"/>
      <c r="E811" s="9"/>
      <c r="F811" s="9"/>
      <c r="G811" s="59"/>
      <c r="H811" s="9"/>
    </row>
    <row r="812">
      <c r="A812" s="9"/>
      <c r="B812" s="9"/>
      <c r="C812" s="9"/>
      <c r="D812" s="9"/>
      <c r="E812" s="9"/>
      <c r="F812" s="9"/>
      <c r="G812" s="59"/>
      <c r="H812" s="9"/>
    </row>
    <row r="813">
      <c r="A813" s="9"/>
      <c r="B813" s="9"/>
      <c r="C813" s="9"/>
      <c r="D813" s="9"/>
      <c r="E813" s="9"/>
      <c r="F813" s="9"/>
      <c r="G813" s="59"/>
      <c r="H813" s="9"/>
    </row>
    <row r="814">
      <c r="A814" s="9"/>
      <c r="B814" s="9"/>
      <c r="C814" s="9"/>
      <c r="D814" s="9"/>
      <c r="E814" s="9"/>
      <c r="F814" s="9"/>
      <c r="G814" s="59"/>
      <c r="H814" s="9"/>
    </row>
    <row r="815">
      <c r="A815" s="9"/>
      <c r="B815" s="9"/>
      <c r="C815" s="9"/>
      <c r="D815" s="9"/>
      <c r="E815" s="9"/>
      <c r="F815" s="9"/>
      <c r="G815" s="59"/>
      <c r="H815" s="9"/>
    </row>
    <row r="816">
      <c r="A816" s="9"/>
      <c r="B816" s="9"/>
      <c r="C816" s="9"/>
      <c r="D816" s="9"/>
      <c r="E816" s="9"/>
      <c r="F816" s="9"/>
      <c r="G816" s="59"/>
      <c r="H816" s="9"/>
    </row>
    <row r="817">
      <c r="A817" s="9"/>
      <c r="B817" s="9"/>
      <c r="C817" s="9"/>
      <c r="D817" s="9"/>
      <c r="E817" s="9"/>
      <c r="F817" s="9"/>
      <c r="G817" s="59"/>
      <c r="H817" s="9"/>
    </row>
    <row r="818">
      <c r="A818" s="9"/>
      <c r="B818" s="9"/>
      <c r="C818" s="9"/>
      <c r="D818" s="9"/>
      <c r="E818" s="9"/>
      <c r="F818" s="9"/>
      <c r="G818" s="59"/>
      <c r="H818" s="9"/>
    </row>
    <row r="819">
      <c r="A819" s="9"/>
      <c r="B819" s="9"/>
      <c r="C819" s="9"/>
      <c r="D819" s="9"/>
      <c r="E819" s="9"/>
      <c r="F819" s="9"/>
      <c r="G819" s="59"/>
      <c r="H819" s="9"/>
    </row>
    <row r="820">
      <c r="A820" s="9"/>
      <c r="B820" s="9"/>
      <c r="C820" s="9"/>
      <c r="D820" s="9"/>
      <c r="E820" s="9"/>
      <c r="F820" s="9"/>
      <c r="G820" s="59"/>
      <c r="H820" s="9"/>
    </row>
    <row r="821">
      <c r="A821" s="9"/>
      <c r="B821" s="9"/>
      <c r="C821" s="9"/>
      <c r="D821" s="9"/>
      <c r="E821" s="9"/>
      <c r="F821" s="9"/>
      <c r="G821" s="59"/>
      <c r="H821" s="9"/>
    </row>
    <row r="822">
      <c r="A822" s="9"/>
      <c r="B822" s="9"/>
      <c r="C822" s="9"/>
      <c r="D822" s="9"/>
      <c r="E822" s="9"/>
      <c r="F822" s="9"/>
      <c r="G822" s="59"/>
      <c r="H822" s="9"/>
    </row>
    <row r="823">
      <c r="A823" s="9"/>
      <c r="B823" s="9"/>
      <c r="C823" s="9"/>
      <c r="D823" s="9"/>
      <c r="E823" s="9"/>
      <c r="F823" s="9"/>
      <c r="G823" s="59"/>
      <c r="H823" s="9"/>
    </row>
    <row r="824">
      <c r="A824" s="9"/>
      <c r="B824" s="9"/>
      <c r="C824" s="9"/>
      <c r="D824" s="9"/>
      <c r="E824" s="9"/>
      <c r="F824" s="9"/>
      <c r="G824" s="59"/>
      <c r="H824" s="9"/>
    </row>
    <row r="825">
      <c r="A825" s="9"/>
      <c r="B825" s="9"/>
      <c r="C825" s="9"/>
      <c r="D825" s="9"/>
      <c r="E825" s="9"/>
      <c r="F825" s="9"/>
      <c r="G825" s="59"/>
      <c r="H825" s="9"/>
    </row>
    <row r="826">
      <c r="A826" s="9"/>
      <c r="B826" s="9"/>
      <c r="C826" s="9"/>
      <c r="D826" s="9"/>
      <c r="E826" s="9"/>
      <c r="F826" s="9"/>
      <c r="G826" s="59"/>
      <c r="H826" s="9"/>
    </row>
    <row r="827">
      <c r="A827" s="9"/>
      <c r="B827" s="9"/>
      <c r="C827" s="9"/>
      <c r="D827" s="9"/>
      <c r="E827" s="9"/>
      <c r="F827" s="9"/>
      <c r="G827" s="59"/>
      <c r="H827" s="9"/>
    </row>
    <row r="828">
      <c r="A828" s="9"/>
      <c r="B828" s="9"/>
      <c r="C828" s="9"/>
      <c r="D828" s="9"/>
      <c r="E828" s="9"/>
      <c r="F828" s="9"/>
      <c r="G828" s="59"/>
      <c r="H828" s="9"/>
    </row>
    <row r="829">
      <c r="A829" s="9"/>
      <c r="B829" s="9"/>
      <c r="C829" s="9"/>
      <c r="D829" s="9"/>
      <c r="E829" s="9"/>
      <c r="F829" s="9"/>
      <c r="G829" s="59"/>
      <c r="H829" s="9"/>
    </row>
    <row r="830">
      <c r="A830" s="9"/>
      <c r="B830" s="9"/>
      <c r="C830" s="9"/>
      <c r="D830" s="9"/>
      <c r="E830" s="9"/>
      <c r="F830" s="9"/>
      <c r="G830" s="59"/>
      <c r="H830" s="9"/>
    </row>
    <row r="831">
      <c r="A831" s="9"/>
      <c r="B831" s="9"/>
      <c r="C831" s="9"/>
      <c r="D831" s="9"/>
      <c r="E831" s="9"/>
      <c r="F831" s="9"/>
      <c r="G831" s="59"/>
      <c r="H831" s="9"/>
    </row>
    <row r="832">
      <c r="A832" s="9"/>
      <c r="B832" s="9"/>
      <c r="C832" s="9"/>
      <c r="D832" s="9"/>
      <c r="E832" s="9"/>
      <c r="F832" s="9"/>
      <c r="G832" s="59"/>
      <c r="H832" s="9"/>
    </row>
    <row r="833">
      <c r="A833" s="9"/>
      <c r="B833" s="9"/>
      <c r="C833" s="9"/>
      <c r="D833" s="9"/>
      <c r="E833" s="9"/>
      <c r="F833" s="9"/>
      <c r="G833" s="59"/>
      <c r="H833" s="9"/>
    </row>
    <row r="834">
      <c r="A834" s="9"/>
      <c r="B834" s="9"/>
      <c r="C834" s="9"/>
      <c r="D834" s="9"/>
      <c r="E834" s="9"/>
      <c r="F834" s="9"/>
      <c r="G834" s="59"/>
      <c r="H834" s="9"/>
    </row>
    <row r="835">
      <c r="A835" s="9"/>
      <c r="B835" s="9"/>
      <c r="C835" s="9"/>
      <c r="D835" s="9"/>
      <c r="E835" s="9"/>
      <c r="F835" s="9"/>
      <c r="G835" s="59"/>
      <c r="H835" s="9"/>
    </row>
    <row r="836">
      <c r="A836" s="9"/>
      <c r="B836" s="9"/>
      <c r="C836" s="9"/>
      <c r="D836" s="9"/>
      <c r="E836" s="9"/>
      <c r="F836" s="9"/>
      <c r="G836" s="59"/>
      <c r="H836" s="9"/>
    </row>
    <row r="837">
      <c r="A837" s="9"/>
      <c r="B837" s="9"/>
      <c r="C837" s="9"/>
      <c r="D837" s="9"/>
      <c r="E837" s="9"/>
      <c r="F837" s="9"/>
      <c r="G837" s="59"/>
      <c r="H837" s="9"/>
    </row>
    <row r="838">
      <c r="A838" s="9"/>
      <c r="B838" s="9"/>
      <c r="C838" s="9"/>
      <c r="D838" s="9"/>
      <c r="E838" s="9"/>
      <c r="F838" s="9"/>
      <c r="G838" s="59"/>
      <c r="H838" s="9"/>
    </row>
    <row r="839">
      <c r="A839" s="9"/>
      <c r="B839" s="9"/>
      <c r="C839" s="9"/>
      <c r="D839" s="9"/>
      <c r="E839" s="9"/>
      <c r="F839" s="9"/>
      <c r="G839" s="59"/>
      <c r="H839" s="9"/>
    </row>
    <row r="840">
      <c r="A840" s="9"/>
      <c r="B840" s="9"/>
      <c r="C840" s="9"/>
      <c r="D840" s="9"/>
      <c r="E840" s="9"/>
      <c r="F840" s="9"/>
      <c r="G840" s="59"/>
      <c r="H840" s="9"/>
    </row>
    <row r="841">
      <c r="A841" s="9"/>
      <c r="B841" s="9"/>
      <c r="C841" s="9"/>
      <c r="D841" s="9"/>
      <c r="E841" s="9"/>
      <c r="F841" s="9"/>
      <c r="G841" s="59"/>
      <c r="H841" s="9"/>
    </row>
    <row r="842">
      <c r="A842" s="9"/>
      <c r="B842" s="9"/>
      <c r="C842" s="9"/>
      <c r="D842" s="9"/>
      <c r="E842" s="9"/>
      <c r="F842" s="9"/>
      <c r="G842" s="59"/>
      <c r="H842" s="9"/>
    </row>
    <row r="843">
      <c r="A843" s="9"/>
      <c r="B843" s="9"/>
      <c r="C843" s="9"/>
      <c r="D843" s="9"/>
      <c r="E843" s="9"/>
      <c r="F843" s="9"/>
      <c r="G843" s="59"/>
      <c r="H843" s="9"/>
    </row>
    <row r="844">
      <c r="A844" s="9"/>
      <c r="B844" s="9"/>
      <c r="C844" s="9"/>
      <c r="D844" s="9"/>
      <c r="E844" s="9"/>
      <c r="F844" s="9"/>
      <c r="G844" s="59"/>
      <c r="H844" s="9"/>
    </row>
    <row r="845">
      <c r="A845" s="9"/>
      <c r="B845" s="9"/>
      <c r="C845" s="9"/>
      <c r="D845" s="9"/>
      <c r="E845" s="9"/>
      <c r="F845" s="9"/>
      <c r="G845" s="59"/>
      <c r="H845" s="9"/>
    </row>
    <row r="846">
      <c r="A846" s="9"/>
      <c r="B846" s="9"/>
      <c r="C846" s="9"/>
      <c r="D846" s="9"/>
      <c r="E846" s="9"/>
      <c r="F846" s="9"/>
      <c r="G846" s="59"/>
      <c r="H846" s="9"/>
    </row>
    <row r="847">
      <c r="A847" s="9"/>
      <c r="B847" s="9"/>
      <c r="C847" s="9"/>
      <c r="D847" s="9"/>
      <c r="E847" s="9"/>
      <c r="F847" s="9"/>
      <c r="G847" s="59"/>
      <c r="H847" s="9"/>
    </row>
    <row r="848">
      <c r="A848" s="9"/>
      <c r="B848" s="9"/>
      <c r="C848" s="9"/>
      <c r="D848" s="9"/>
      <c r="E848" s="9"/>
      <c r="F848" s="9"/>
      <c r="G848" s="59"/>
      <c r="H848" s="9"/>
    </row>
    <row r="849">
      <c r="A849" s="9"/>
      <c r="B849" s="9"/>
      <c r="C849" s="9"/>
      <c r="D849" s="9"/>
      <c r="E849" s="9"/>
      <c r="F849" s="9"/>
      <c r="G849" s="59"/>
      <c r="H849" s="9"/>
    </row>
    <row r="850">
      <c r="A850" s="9"/>
      <c r="B850" s="9"/>
      <c r="C850" s="9"/>
      <c r="D850" s="9"/>
      <c r="E850" s="9"/>
      <c r="F850" s="9"/>
      <c r="G850" s="59"/>
      <c r="H850" s="9"/>
    </row>
    <row r="851">
      <c r="A851" s="9"/>
      <c r="B851" s="9"/>
      <c r="C851" s="9"/>
      <c r="D851" s="9"/>
      <c r="E851" s="9"/>
      <c r="F851" s="9"/>
      <c r="G851" s="59"/>
      <c r="H851" s="9"/>
    </row>
    <row r="852">
      <c r="A852" s="9"/>
      <c r="B852" s="9"/>
      <c r="C852" s="9"/>
      <c r="D852" s="9"/>
      <c r="E852" s="9"/>
      <c r="F852" s="9"/>
      <c r="G852" s="59"/>
      <c r="H852" s="9"/>
    </row>
    <row r="853">
      <c r="A853" s="9"/>
      <c r="B853" s="9"/>
      <c r="C853" s="9"/>
      <c r="D853" s="9"/>
      <c r="E853" s="9"/>
      <c r="F853" s="9"/>
      <c r="G853" s="59"/>
      <c r="H853" s="9"/>
    </row>
    <row r="854">
      <c r="A854" s="9"/>
      <c r="B854" s="9"/>
      <c r="C854" s="9"/>
      <c r="D854" s="9"/>
      <c r="E854" s="9"/>
      <c r="F854" s="9"/>
      <c r="G854" s="59"/>
      <c r="H854" s="9"/>
    </row>
    <row r="855">
      <c r="A855" s="9"/>
      <c r="B855" s="9"/>
      <c r="C855" s="9"/>
      <c r="D855" s="9"/>
      <c r="E855" s="9"/>
      <c r="F855" s="9"/>
      <c r="G855" s="59"/>
      <c r="H855" s="9"/>
    </row>
    <row r="856">
      <c r="A856" s="9"/>
      <c r="B856" s="9"/>
      <c r="C856" s="9"/>
      <c r="D856" s="9"/>
      <c r="E856" s="9"/>
      <c r="F856" s="9"/>
      <c r="G856" s="59"/>
      <c r="H856" s="9"/>
    </row>
    <row r="857">
      <c r="A857" s="9"/>
      <c r="B857" s="9"/>
      <c r="C857" s="9"/>
      <c r="D857" s="9"/>
      <c r="E857" s="9"/>
      <c r="F857" s="9"/>
      <c r="G857" s="59"/>
      <c r="H857" s="9"/>
    </row>
    <row r="858">
      <c r="A858" s="9"/>
      <c r="B858" s="9"/>
      <c r="C858" s="9"/>
      <c r="D858" s="9"/>
      <c r="E858" s="9"/>
      <c r="F858" s="9"/>
      <c r="G858" s="59"/>
      <c r="H858" s="9"/>
    </row>
    <row r="859">
      <c r="A859" s="9"/>
      <c r="B859" s="9"/>
      <c r="C859" s="9"/>
      <c r="D859" s="9"/>
      <c r="E859" s="9"/>
      <c r="F859" s="9"/>
      <c r="G859" s="59"/>
      <c r="H859" s="9"/>
    </row>
    <row r="860">
      <c r="A860" s="9"/>
      <c r="B860" s="9"/>
      <c r="C860" s="9"/>
      <c r="D860" s="9"/>
      <c r="E860" s="9"/>
      <c r="F860" s="9"/>
      <c r="G860" s="59"/>
      <c r="H860" s="9"/>
    </row>
    <row r="861">
      <c r="A861" s="9"/>
      <c r="B861" s="9"/>
      <c r="C861" s="9"/>
      <c r="D861" s="9"/>
      <c r="E861" s="9"/>
      <c r="F861" s="9"/>
      <c r="G861" s="59"/>
      <c r="H861" s="9"/>
    </row>
    <row r="862">
      <c r="A862" s="9"/>
      <c r="B862" s="9"/>
      <c r="C862" s="9"/>
      <c r="D862" s="9"/>
      <c r="E862" s="9"/>
      <c r="F862" s="9"/>
      <c r="G862" s="59"/>
      <c r="H862" s="9"/>
    </row>
    <row r="863">
      <c r="A863" s="9"/>
      <c r="B863" s="9"/>
      <c r="C863" s="9"/>
      <c r="D863" s="9"/>
      <c r="E863" s="9"/>
      <c r="F863" s="9"/>
      <c r="G863" s="59"/>
      <c r="H863" s="9"/>
    </row>
    <row r="864">
      <c r="A864" s="9"/>
      <c r="B864" s="9"/>
      <c r="C864" s="9"/>
      <c r="D864" s="9"/>
      <c r="E864" s="9"/>
      <c r="F864" s="9"/>
      <c r="G864" s="59"/>
      <c r="H864" s="9"/>
    </row>
    <row r="865">
      <c r="A865" s="9"/>
      <c r="B865" s="9"/>
      <c r="C865" s="9"/>
      <c r="D865" s="9"/>
      <c r="E865" s="9"/>
      <c r="F865" s="9"/>
      <c r="G865" s="59"/>
      <c r="H865" s="9"/>
    </row>
    <row r="866">
      <c r="A866" s="9"/>
      <c r="B866" s="9"/>
      <c r="C866" s="9"/>
      <c r="D866" s="9"/>
      <c r="E866" s="9"/>
      <c r="F866" s="9"/>
      <c r="G866" s="59"/>
      <c r="H866" s="9"/>
    </row>
    <row r="867">
      <c r="A867" s="9"/>
      <c r="B867" s="9"/>
      <c r="C867" s="9"/>
      <c r="D867" s="9"/>
      <c r="E867" s="9"/>
      <c r="F867" s="9"/>
      <c r="G867" s="59"/>
      <c r="H867" s="9"/>
    </row>
    <row r="868">
      <c r="A868" s="9"/>
      <c r="B868" s="9"/>
      <c r="C868" s="9"/>
      <c r="D868" s="9"/>
      <c r="E868" s="9"/>
      <c r="F868" s="9"/>
      <c r="G868" s="59"/>
      <c r="H868" s="9"/>
    </row>
    <row r="869">
      <c r="A869" s="9"/>
      <c r="B869" s="9"/>
      <c r="C869" s="9"/>
      <c r="D869" s="9"/>
      <c r="E869" s="9"/>
      <c r="F869" s="9"/>
      <c r="G869" s="59"/>
      <c r="H869" s="9"/>
    </row>
    <row r="870">
      <c r="A870" s="9"/>
      <c r="B870" s="9"/>
      <c r="C870" s="9"/>
      <c r="D870" s="9"/>
      <c r="E870" s="9"/>
      <c r="F870" s="9"/>
      <c r="G870" s="59"/>
      <c r="H870" s="9"/>
    </row>
    <row r="871">
      <c r="A871" s="9"/>
      <c r="B871" s="9"/>
      <c r="C871" s="9"/>
      <c r="D871" s="9"/>
      <c r="E871" s="9"/>
      <c r="F871" s="9"/>
      <c r="G871" s="59"/>
      <c r="H871" s="9"/>
    </row>
    <row r="872">
      <c r="A872" s="9"/>
      <c r="B872" s="9"/>
      <c r="C872" s="9"/>
      <c r="D872" s="9"/>
      <c r="E872" s="9"/>
      <c r="F872" s="9"/>
      <c r="G872" s="59"/>
      <c r="H872" s="9"/>
    </row>
    <row r="873">
      <c r="A873" s="9"/>
      <c r="B873" s="9"/>
      <c r="C873" s="9"/>
      <c r="D873" s="9"/>
      <c r="E873" s="9"/>
      <c r="F873" s="9"/>
      <c r="G873" s="59"/>
      <c r="H873" s="9"/>
    </row>
    <row r="874">
      <c r="A874" s="9"/>
      <c r="B874" s="9"/>
      <c r="C874" s="9"/>
      <c r="D874" s="9"/>
      <c r="E874" s="9"/>
      <c r="F874" s="9"/>
      <c r="G874" s="59"/>
      <c r="H874" s="9"/>
    </row>
    <row r="875">
      <c r="A875" s="9"/>
      <c r="B875" s="9"/>
      <c r="C875" s="9"/>
      <c r="D875" s="9"/>
      <c r="E875" s="9"/>
      <c r="F875" s="9"/>
      <c r="G875" s="59"/>
      <c r="H875" s="9"/>
    </row>
    <row r="876">
      <c r="A876" s="9"/>
      <c r="B876" s="9"/>
      <c r="C876" s="9"/>
      <c r="D876" s="9"/>
      <c r="E876" s="9"/>
      <c r="F876" s="9"/>
      <c r="G876" s="59"/>
      <c r="H876" s="9"/>
    </row>
    <row r="877">
      <c r="A877" s="9"/>
      <c r="B877" s="9"/>
      <c r="C877" s="9"/>
      <c r="D877" s="9"/>
      <c r="E877" s="9"/>
      <c r="F877" s="9"/>
      <c r="G877" s="59"/>
      <c r="H877" s="9"/>
    </row>
    <row r="878">
      <c r="A878" s="9"/>
      <c r="B878" s="9"/>
      <c r="C878" s="9"/>
      <c r="D878" s="9"/>
      <c r="E878" s="9"/>
      <c r="F878" s="9"/>
      <c r="G878" s="59"/>
      <c r="H878" s="9"/>
    </row>
    <row r="879">
      <c r="A879" s="9"/>
      <c r="B879" s="9"/>
      <c r="C879" s="9"/>
      <c r="D879" s="9"/>
      <c r="E879" s="9"/>
      <c r="F879" s="9"/>
      <c r="G879" s="59"/>
      <c r="H879" s="9"/>
    </row>
    <row r="880">
      <c r="A880" s="9"/>
      <c r="B880" s="9"/>
      <c r="C880" s="9"/>
      <c r="D880" s="9"/>
      <c r="E880" s="9"/>
      <c r="F880" s="9"/>
      <c r="G880" s="59"/>
      <c r="H880" s="9"/>
    </row>
    <row r="881">
      <c r="A881" s="9"/>
      <c r="B881" s="9"/>
      <c r="C881" s="9"/>
      <c r="D881" s="9"/>
      <c r="E881" s="9"/>
      <c r="F881" s="9"/>
      <c r="G881" s="59"/>
      <c r="H881" s="9"/>
    </row>
    <row r="882">
      <c r="A882" s="9"/>
      <c r="B882" s="9"/>
      <c r="C882" s="9"/>
      <c r="D882" s="9"/>
      <c r="E882" s="9"/>
      <c r="F882" s="9"/>
      <c r="G882" s="59"/>
      <c r="H882" s="9"/>
    </row>
    <row r="883">
      <c r="A883" s="9"/>
      <c r="B883" s="9"/>
      <c r="C883" s="9"/>
      <c r="D883" s="9"/>
      <c r="E883" s="9"/>
      <c r="F883" s="9"/>
      <c r="G883" s="59"/>
      <c r="H883" s="9"/>
    </row>
    <row r="884">
      <c r="A884" s="9"/>
      <c r="B884" s="9"/>
      <c r="C884" s="9"/>
      <c r="D884" s="9"/>
      <c r="E884" s="9"/>
      <c r="F884" s="9"/>
      <c r="G884" s="59"/>
      <c r="H884" s="9"/>
    </row>
    <row r="885">
      <c r="A885" s="9"/>
      <c r="B885" s="9"/>
      <c r="C885" s="9"/>
      <c r="D885" s="9"/>
      <c r="E885" s="9"/>
      <c r="F885" s="9"/>
      <c r="G885" s="59"/>
      <c r="H885" s="9"/>
    </row>
    <row r="886">
      <c r="A886" s="9"/>
      <c r="B886" s="9"/>
      <c r="C886" s="9"/>
      <c r="D886" s="9"/>
      <c r="E886" s="9"/>
      <c r="F886" s="9"/>
      <c r="G886" s="59"/>
      <c r="H886" s="9"/>
    </row>
    <row r="887">
      <c r="A887" s="9"/>
      <c r="B887" s="9"/>
      <c r="C887" s="9"/>
      <c r="D887" s="9"/>
      <c r="E887" s="9"/>
      <c r="F887" s="9"/>
      <c r="G887" s="59"/>
      <c r="H887" s="9"/>
    </row>
    <row r="888">
      <c r="A888" s="9"/>
      <c r="B888" s="9"/>
      <c r="C888" s="9"/>
      <c r="D888" s="9"/>
      <c r="E888" s="9"/>
      <c r="F888" s="9"/>
      <c r="G888" s="59"/>
      <c r="H888" s="9"/>
    </row>
    <row r="889">
      <c r="A889" s="9"/>
      <c r="B889" s="9"/>
      <c r="C889" s="9"/>
      <c r="D889" s="9"/>
      <c r="E889" s="9"/>
      <c r="F889" s="9"/>
      <c r="G889" s="59"/>
      <c r="H889" s="9"/>
    </row>
    <row r="890">
      <c r="A890" s="9"/>
      <c r="B890" s="9"/>
      <c r="C890" s="9"/>
      <c r="D890" s="9"/>
      <c r="E890" s="9"/>
      <c r="F890" s="9"/>
      <c r="G890" s="59"/>
      <c r="H890" s="9"/>
    </row>
    <row r="891">
      <c r="A891" s="9"/>
      <c r="B891" s="9"/>
      <c r="C891" s="9"/>
      <c r="D891" s="9"/>
      <c r="E891" s="9"/>
      <c r="F891" s="9"/>
      <c r="G891" s="59"/>
      <c r="H891" s="9"/>
    </row>
    <row r="892">
      <c r="A892" s="9"/>
      <c r="B892" s="9"/>
      <c r="C892" s="9"/>
      <c r="D892" s="9"/>
      <c r="E892" s="9"/>
      <c r="F892" s="9"/>
      <c r="G892" s="59"/>
      <c r="H892" s="9"/>
    </row>
    <row r="893">
      <c r="A893" s="9"/>
      <c r="B893" s="9"/>
      <c r="C893" s="9"/>
      <c r="D893" s="9"/>
      <c r="E893" s="9"/>
      <c r="F893" s="9"/>
      <c r="G893" s="59"/>
      <c r="H893" s="9"/>
    </row>
    <row r="894">
      <c r="A894" s="9"/>
      <c r="B894" s="9"/>
      <c r="C894" s="9"/>
      <c r="D894" s="9"/>
      <c r="E894" s="9"/>
      <c r="F894" s="9"/>
      <c r="G894" s="59"/>
      <c r="H894" s="9"/>
    </row>
    <row r="895">
      <c r="A895" s="9"/>
      <c r="B895" s="9"/>
      <c r="C895" s="9"/>
      <c r="D895" s="9"/>
      <c r="E895" s="9"/>
      <c r="F895" s="9"/>
      <c r="G895" s="59"/>
      <c r="H895" s="9"/>
    </row>
    <row r="896">
      <c r="A896" s="9"/>
      <c r="B896" s="9"/>
      <c r="C896" s="9"/>
      <c r="D896" s="9"/>
      <c r="E896" s="9"/>
      <c r="F896" s="9"/>
      <c r="G896" s="59"/>
      <c r="H896" s="9"/>
    </row>
    <row r="897">
      <c r="A897" s="9"/>
      <c r="B897" s="9"/>
      <c r="C897" s="9"/>
      <c r="D897" s="9"/>
      <c r="E897" s="9"/>
      <c r="F897" s="9"/>
      <c r="G897" s="59"/>
      <c r="H897" s="9"/>
    </row>
    <row r="898">
      <c r="A898" s="9"/>
      <c r="B898" s="9"/>
      <c r="C898" s="9"/>
      <c r="D898" s="9"/>
      <c r="E898" s="9"/>
      <c r="F898" s="9"/>
      <c r="G898" s="59"/>
      <c r="H898" s="9"/>
    </row>
    <row r="899">
      <c r="A899" s="9"/>
      <c r="B899" s="9"/>
      <c r="C899" s="9"/>
      <c r="D899" s="9"/>
      <c r="E899" s="9"/>
      <c r="F899" s="9"/>
      <c r="G899" s="59"/>
      <c r="H899" s="9"/>
    </row>
    <row r="900">
      <c r="A900" s="9"/>
      <c r="B900" s="9"/>
      <c r="C900" s="9"/>
      <c r="D900" s="9"/>
      <c r="E900" s="9"/>
      <c r="F900" s="9"/>
      <c r="G900" s="59"/>
      <c r="H900" s="9"/>
    </row>
    <row r="901">
      <c r="A901" s="9"/>
      <c r="B901" s="9"/>
      <c r="C901" s="9"/>
      <c r="D901" s="9"/>
      <c r="E901" s="9"/>
      <c r="F901" s="9"/>
      <c r="G901" s="59"/>
      <c r="H901" s="9"/>
    </row>
    <row r="902">
      <c r="A902" s="9"/>
      <c r="B902" s="9"/>
      <c r="C902" s="9"/>
      <c r="D902" s="9"/>
      <c r="E902" s="9"/>
      <c r="F902" s="9"/>
      <c r="G902" s="59"/>
      <c r="H902" s="9"/>
    </row>
    <row r="903">
      <c r="A903" s="9"/>
      <c r="B903" s="9"/>
      <c r="C903" s="9"/>
      <c r="D903" s="9"/>
      <c r="E903" s="9"/>
      <c r="F903" s="9"/>
      <c r="G903" s="59"/>
      <c r="H903" s="9"/>
    </row>
    <row r="904">
      <c r="A904" s="9"/>
      <c r="B904" s="9"/>
      <c r="C904" s="9"/>
      <c r="D904" s="9"/>
      <c r="E904" s="9"/>
      <c r="F904" s="9"/>
      <c r="G904" s="59"/>
      <c r="H904" s="9"/>
    </row>
    <row r="905">
      <c r="A905" s="9"/>
      <c r="B905" s="9"/>
      <c r="C905" s="9"/>
      <c r="D905" s="9"/>
      <c r="E905" s="9"/>
      <c r="F905" s="9"/>
      <c r="G905" s="59"/>
      <c r="H905" s="9"/>
    </row>
    <row r="906">
      <c r="A906" s="9"/>
      <c r="B906" s="9"/>
      <c r="C906" s="9"/>
      <c r="D906" s="9"/>
      <c r="E906" s="9"/>
      <c r="F906" s="9"/>
      <c r="G906" s="59"/>
      <c r="H906" s="9"/>
    </row>
    <row r="907">
      <c r="A907" s="9"/>
      <c r="B907" s="9"/>
      <c r="C907" s="9"/>
      <c r="D907" s="9"/>
      <c r="E907" s="9"/>
      <c r="F907" s="9"/>
      <c r="G907" s="59"/>
      <c r="H907" s="9"/>
    </row>
    <row r="908">
      <c r="A908" s="9"/>
      <c r="B908" s="9"/>
      <c r="C908" s="9"/>
      <c r="D908" s="9"/>
      <c r="E908" s="9"/>
      <c r="F908" s="9"/>
      <c r="G908" s="59"/>
      <c r="H908" s="9"/>
    </row>
    <row r="909">
      <c r="A909" s="9"/>
      <c r="B909" s="9"/>
      <c r="C909" s="9"/>
      <c r="D909" s="9"/>
      <c r="E909" s="9"/>
      <c r="F909" s="9"/>
      <c r="G909" s="59"/>
      <c r="H909" s="9"/>
    </row>
    <row r="910">
      <c r="A910" s="9"/>
      <c r="B910" s="9"/>
      <c r="C910" s="9"/>
      <c r="D910" s="9"/>
      <c r="E910" s="9"/>
      <c r="F910" s="9"/>
      <c r="G910" s="59"/>
      <c r="H910" s="9"/>
    </row>
    <row r="911">
      <c r="A911" s="9"/>
      <c r="B911" s="9"/>
      <c r="C911" s="9"/>
      <c r="D911" s="9"/>
      <c r="E911" s="9"/>
      <c r="F911" s="9"/>
      <c r="G911" s="59"/>
      <c r="H911" s="9"/>
    </row>
    <row r="912">
      <c r="A912" s="9"/>
      <c r="B912" s="9"/>
      <c r="C912" s="9"/>
      <c r="D912" s="9"/>
      <c r="E912" s="9"/>
      <c r="F912" s="9"/>
      <c r="G912" s="59"/>
      <c r="H912" s="9"/>
    </row>
    <row r="913">
      <c r="A913" s="9"/>
      <c r="B913" s="9"/>
      <c r="C913" s="9"/>
      <c r="D913" s="9"/>
      <c r="E913" s="9"/>
      <c r="F913" s="9"/>
      <c r="G913" s="59"/>
      <c r="H913" s="9"/>
    </row>
    <row r="914">
      <c r="A914" s="9"/>
      <c r="B914" s="9"/>
      <c r="C914" s="9"/>
      <c r="D914" s="9"/>
      <c r="E914" s="9"/>
      <c r="F914" s="9"/>
      <c r="G914" s="59"/>
      <c r="H914" s="9"/>
    </row>
    <row r="915">
      <c r="A915" s="9"/>
      <c r="B915" s="9"/>
      <c r="C915" s="9"/>
      <c r="D915" s="9"/>
      <c r="E915" s="9"/>
      <c r="F915" s="9"/>
      <c r="G915" s="59"/>
      <c r="H915" s="9"/>
    </row>
    <row r="916">
      <c r="A916" s="9"/>
      <c r="B916" s="9"/>
      <c r="C916" s="9"/>
      <c r="D916" s="9"/>
      <c r="E916" s="9"/>
      <c r="F916" s="9"/>
      <c r="G916" s="59"/>
      <c r="H916" s="9"/>
    </row>
    <row r="917">
      <c r="A917" s="9"/>
      <c r="B917" s="9"/>
      <c r="C917" s="9"/>
      <c r="D917" s="9"/>
      <c r="E917" s="9"/>
      <c r="F917" s="9"/>
      <c r="G917" s="59"/>
      <c r="H917" s="9"/>
    </row>
    <row r="918">
      <c r="A918" s="9"/>
      <c r="B918" s="9"/>
      <c r="C918" s="9"/>
      <c r="D918" s="9"/>
      <c r="E918" s="9"/>
      <c r="F918" s="9"/>
      <c r="G918" s="59"/>
      <c r="H918" s="9"/>
    </row>
    <row r="919">
      <c r="A919" s="9"/>
      <c r="B919" s="9"/>
      <c r="C919" s="9"/>
      <c r="D919" s="9"/>
      <c r="E919" s="9"/>
      <c r="F919" s="9"/>
      <c r="G919" s="59"/>
      <c r="H919" s="9"/>
    </row>
    <row r="920">
      <c r="A920" s="9"/>
      <c r="B920" s="9"/>
      <c r="C920" s="9"/>
      <c r="D920" s="9"/>
      <c r="E920" s="9"/>
      <c r="F920" s="9"/>
      <c r="G920" s="59"/>
      <c r="H920" s="9"/>
    </row>
    <row r="921">
      <c r="A921" s="9"/>
      <c r="B921" s="9"/>
      <c r="C921" s="9"/>
      <c r="D921" s="9"/>
      <c r="E921" s="9"/>
      <c r="F921" s="9"/>
      <c r="G921" s="59"/>
      <c r="H921" s="9"/>
    </row>
    <row r="922">
      <c r="A922" s="9"/>
      <c r="B922" s="9"/>
      <c r="C922" s="9"/>
      <c r="D922" s="9"/>
      <c r="E922" s="9"/>
      <c r="F922" s="9"/>
      <c r="G922" s="59"/>
      <c r="H922" s="9"/>
    </row>
    <row r="923">
      <c r="A923" s="9"/>
      <c r="B923" s="9"/>
      <c r="C923" s="9"/>
      <c r="D923" s="9"/>
      <c r="E923" s="9"/>
      <c r="F923" s="9"/>
      <c r="G923" s="59"/>
      <c r="H923" s="9"/>
    </row>
    <row r="924">
      <c r="A924" s="9"/>
      <c r="B924" s="9"/>
      <c r="C924" s="9"/>
      <c r="D924" s="9"/>
      <c r="E924" s="9"/>
      <c r="F924" s="9"/>
      <c r="G924" s="59"/>
      <c r="H924" s="9"/>
    </row>
    <row r="925">
      <c r="A925" s="9"/>
      <c r="B925" s="9"/>
      <c r="C925" s="9"/>
      <c r="D925" s="9"/>
      <c r="E925" s="9"/>
      <c r="F925" s="9"/>
      <c r="G925" s="59"/>
      <c r="H925" s="9"/>
    </row>
    <row r="926">
      <c r="A926" s="9"/>
      <c r="B926" s="9"/>
      <c r="C926" s="9"/>
      <c r="D926" s="9"/>
      <c r="E926" s="9"/>
      <c r="F926" s="9"/>
      <c r="G926" s="59"/>
      <c r="H926" s="9"/>
    </row>
    <row r="927">
      <c r="A927" s="9"/>
      <c r="B927" s="9"/>
      <c r="C927" s="9"/>
      <c r="D927" s="9"/>
      <c r="E927" s="9"/>
      <c r="F927" s="9"/>
      <c r="G927" s="59"/>
      <c r="H927" s="9"/>
    </row>
    <row r="928">
      <c r="A928" s="9"/>
      <c r="B928" s="9"/>
      <c r="C928" s="9"/>
      <c r="D928" s="9"/>
      <c r="E928" s="9"/>
      <c r="F928" s="9"/>
      <c r="G928" s="59"/>
      <c r="H928" s="9"/>
    </row>
    <row r="929">
      <c r="A929" s="9"/>
      <c r="B929" s="9"/>
      <c r="C929" s="9"/>
      <c r="D929" s="9"/>
      <c r="E929" s="9"/>
      <c r="F929" s="9"/>
      <c r="G929" s="59"/>
      <c r="H929" s="9"/>
    </row>
    <row r="930">
      <c r="A930" s="9"/>
      <c r="B930" s="9"/>
      <c r="C930" s="9"/>
      <c r="D930" s="9"/>
      <c r="E930" s="9"/>
      <c r="F930" s="9"/>
      <c r="G930" s="59"/>
      <c r="H930" s="9"/>
    </row>
    <row r="931">
      <c r="A931" s="9"/>
      <c r="B931" s="9"/>
      <c r="C931" s="9"/>
      <c r="D931" s="9"/>
      <c r="E931" s="9"/>
      <c r="F931" s="9"/>
      <c r="G931" s="59"/>
      <c r="H931" s="9"/>
    </row>
    <row r="932">
      <c r="A932" s="9"/>
      <c r="B932" s="9"/>
      <c r="C932" s="9"/>
      <c r="D932" s="9"/>
      <c r="E932" s="9"/>
      <c r="F932" s="9"/>
      <c r="G932" s="59"/>
      <c r="H932" s="9"/>
    </row>
    <row r="933">
      <c r="A933" s="9"/>
      <c r="B933" s="9"/>
      <c r="C933" s="9"/>
      <c r="D933" s="9"/>
      <c r="E933" s="9"/>
      <c r="F933" s="9"/>
      <c r="G933" s="59"/>
      <c r="H933" s="9"/>
    </row>
    <row r="934">
      <c r="A934" s="9"/>
      <c r="B934" s="9"/>
      <c r="C934" s="9"/>
      <c r="D934" s="9"/>
      <c r="E934" s="9"/>
      <c r="F934" s="9"/>
      <c r="G934" s="59"/>
      <c r="H934" s="9"/>
    </row>
    <row r="935">
      <c r="A935" s="9"/>
      <c r="B935" s="9"/>
      <c r="C935" s="9"/>
      <c r="D935" s="9"/>
      <c r="E935" s="9"/>
      <c r="F935" s="9"/>
      <c r="G935" s="59"/>
      <c r="H935" s="9"/>
    </row>
    <row r="936">
      <c r="A936" s="9"/>
      <c r="B936" s="9"/>
      <c r="C936" s="9"/>
      <c r="D936" s="9"/>
      <c r="E936" s="9"/>
      <c r="F936" s="9"/>
      <c r="G936" s="59"/>
      <c r="H936" s="9"/>
    </row>
    <row r="937">
      <c r="A937" s="9"/>
      <c r="B937" s="9"/>
      <c r="C937" s="9"/>
      <c r="D937" s="9"/>
      <c r="E937" s="9"/>
      <c r="F937" s="9"/>
      <c r="G937" s="59"/>
      <c r="H937" s="9"/>
    </row>
    <row r="938">
      <c r="A938" s="9"/>
      <c r="B938" s="9"/>
      <c r="C938" s="9"/>
      <c r="D938" s="9"/>
      <c r="E938" s="9"/>
      <c r="F938" s="9"/>
      <c r="G938" s="59"/>
      <c r="H938" s="9"/>
    </row>
    <row r="939">
      <c r="A939" s="9"/>
      <c r="B939" s="9"/>
      <c r="C939" s="9"/>
      <c r="D939" s="9"/>
      <c r="E939" s="9"/>
      <c r="F939" s="9"/>
      <c r="G939" s="59"/>
      <c r="H939" s="9"/>
    </row>
    <row r="940">
      <c r="A940" s="9"/>
      <c r="B940" s="9"/>
      <c r="C940" s="9"/>
      <c r="D940" s="9"/>
      <c r="E940" s="9"/>
      <c r="F940" s="9"/>
      <c r="G940" s="59"/>
      <c r="H940" s="9"/>
    </row>
    <row r="941">
      <c r="A941" s="9"/>
      <c r="B941" s="9"/>
      <c r="C941" s="9"/>
      <c r="D941" s="9"/>
      <c r="E941" s="9"/>
      <c r="F941" s="9"/>
      <c r="G941" s="59"/>
      <c r="H941" s="9"/>
    </row>
    <row r="942">
      <c r="A942" s="9"/>
      <c r="B942" s="9"/>
      <c r="C942" s="9"/>
      <c r="D942" s="9"/>
      <c r="E942" s="9"/>
      <c r="F942" s="9"/>
      <c r="G942" s="59"/>
      <c r="H942" s="9"/>
    </row>
    <row r="943">
      <c r="A943" s="9"/>
      <c r="B943" s="9"/>
      <c r="C943" s="9"/>
      <c r="D943" s="9"/>
      <c r="E943" s="9"/>
      <c r="F943" s="9"/>
      <c r="G943" s="59"/>
      <c r="H943" s="9"/>
    </row>
    <row r="944">
      <c r="A944" s="9"/>
      <c r="B944" s="9"/>
      <c r="C944" s="9"/>
      <c r="D944" s="9"/>
      <c r="E944" s="9"/>
      <c r="F944" s="9"/>
      <c r="G944" s="59"/>
      <c r="H944" s="9"/>
    </row>
    <row r="945">
      <c r="A945" s="9"/>
      <c r="B945" s="9"/>
      <c r="C945" s="9"/>
      <c r="D945" s="9"/>
      <c r="E945" s="9"/>
      <c r="F945" s="9"/>
      <c r="G945" s="59"/>
      <c r="H945" s="9"/>
    </row>
    <row r="946">
      <c r="A946" s="9"/>
      <c r="B946" s="9"/>
      <c r="C946" s="9"/>
      <c r="D946" s="9"/>
      <c r="E946" s="9"/>
      <c r="F946" s="9"/>
      <c r="G946" s="59"/>
      <c r="H946" s="9"/>
    </row>
    <row r="947">
      <c r="A947" s="9"/>
      <c r="B947" s="9"/>
      <c r="C947" s="9"/>
      <c r="D947" s="9"/>
      <c r="E947" s="9"/>
      <c r="F947" s="9"/>
      <c r="G947" s="59"/>
      <c r="H947" s="9"/>
    </row>
    <row r="948">
      <c r="A948" s="9"/>
      <c r="B948" s="9"/>
      <c r="C948" s="9"/>
      <c r="D948" s="9"/>
      <c r="E948" s="9"/>
      <c r="F948" s="9"/>
      <c r="G948" s="59"/>
      <c r="H948" s="9"/>
    </row>
    <row r="949">
      <c r="A949" s="9"/>
      <c r="B949" s="9"/>
      <c r="C949" s="9"/>
      <c r="D949" s="9"/>
      <c r="E949" s="9"/>
      <c r="F949" s="9"/>
      <c r="G949" s="59"/>
      <c r="H949" s="9"/>
    </row>
    <row r="950">
      <c r="A950" s="9"/>
      <c r="B950" s="9"/>
      <c r="C950" s="9"/>
      <c r="D950" s="9"/>
      <c r="E950" s="9"/>
      <c r="F950" s="9"/>
      <c r="G950" s="59"/>
      <c r="H950" s="9"/>
    </row>
    <row r="951">
      <c r="A951" s="9"/>
      <c r="B951" s="9"/>
      <c r="C951" s="9"/>
      <c r="D951" s="9"/>
      <c r="E951" s="9"/>
      <c r="F951" s="9"/>
      <c r="G951" s="59"/>
      <c r="H951" s="9"/>
    </row>
    <row r="952">
      <c r="A952" s="9"/>
      <c r="B952" s="9"/>
      <c r="C952" s="9"/>
      <c r="D952" s="9"/>
      <c r="E952" s="9"/>
      <c r="F952" s="9"/>
      <c r="G952" s="59"/>
      <c r="H952" s="9"/>
    </row>
    <row r="953">
      <c r="A953" s="9"/>
      <c r="B953" s="9"/>
      <c r="C953" s="9"/>
      <c r="D953" s="9"/>
      <c r="E953" s="9"/>
      <c r="F953" s="9"/>
      <c r="G953" s="59"/>
      <c r="H953" s="9"/>
    </row>
    <row r="954">
      <c r="A954" s="9"/>
      <c r="B954" s="9"/>
      <c r="C954" s="9"/>
      <c r="D954" s="9"/>
      <c r="E954" s="9"/>
      <c r="F954" s="9"/>
      <c r="G954" s="59"/>
      <c r="H954" s="9"/>
    </row>
    <row r="955">
      <c r="A955" s="9"/>
      <c r="B955" s="9"/>
      <c r="C955" s="9"/>
      <c r="D955" s="9"/>
      <c r="E955" s="9"/>
      <c r="F955" s="9"/>
      <c r="G955" s="59"/>
      <c r="H955" s="9"/>
    </row>
    <row r="956">
      <c r="A956" s="9"/>
      <c r="B956" s="9"/>
      <c r="C956" s="9"/>
      <c r="D956" s="9"/>
      <c r="E956" s="9"/>
      <c r="F956" s="9"/>
      <c r="G956" s="59"/>
      <c r="H956" s="9"/>
    </row>
    <row r="957">
      <c r="A957" s="9"/>
      <c r="B957" s="9"/>
      <c r="C957" s="9"/>
      <c r="D957" s="9"/>
      <c r="E957" s="9"/>
      <c r="F957" s="9"/>
      <c r="G957" s="59"/>
      <c r="H957" s="9"/>
    </row>
    <row r="958">
      <c r="A958" s="9"/>
      <c r="B958" s="9"/>
      <c r="C958" s="9"/>
      <c r="D958" s="9"/>
      <c r="E958" s="9"/>
      <c r="F958" s="9"/>
      <c r="G958" s="59"/>
      <c r="H958" s="9"/>
    </row>
    <row r="959">
      <c r="A959" s="9"/>
      <c r="B959" s="9"/>
      <c r="C959" s="9"/>
      <c r="D959" s="9"/>
      <c r="E959" s="9"/>
      <c r="F959" s="9"/>
      <c r="G959" s="59"/>
      <c r="H959" s="9"/>
    </row>
    <row r="960">
      <c r="A960" s="9"/>
      <c r="B960" s="9"/>
      <c r="C960" s="9"/>
      <c r="D960" s="9"/>
      <c r="E960" s="9"/>
      <c r="F960" s="9"/>
      <c r="G960" s="59"/>
      <c r="H960" s="9"/>
    </row>
    <row r="961">
      <c r="A961" s="9"/>
      <c r="B961" s="9"/>
      <c r="C961" s="9"/>
      <c r="D961" s="9"/>
      <c r="E961" s="9"/>
      <c r="F961" s="9"/>
      <c r="G961" s="59"/>
      <c r="H961" s="9"/>
    </row>
    <row r="962">
      <c r="A962" s="9"/>
      <c r="B962" s="9"/>
      <c r="C962" s="9"/>
      <c r="D962" s="9"/>
      <c r="E962" s="9"/>
      <c r="F962" s="9"/>
      <c r="G962" s="59"/>
      <c r="H962" s="9"/>
    </row>
    <row r="963">
      <c r="A963" s="9"/>
      <c r="B963" s="9"/>
      <c r="C963" s="9"/>
      <c r="D963" s="9"/>
      <c r="E963" s="9"/>
      <c r="F963" s="9"/>
      <c r="G963" s="59"/>
      <c r="H963" s="9"/>
    </row>
    <row r="964">
      <c r="A964" s="9"/>
      <c r="B964" s="9"/>
      <c r="C964" s="9"/>
      <c r="D964" s="9"/>
      <c r="E964" s="9"/>
      <c r="F964" s="9"/>
      <c r="G964" s="59"/>
      <c r="H964" s="9"/>
    </row>
    <row r="965">
      <c r="A965" s="9"/>
      <c r="B965" s="9"/>
      <c r="C965" s="9"/>
      <c r="D965" s="9"/>
      <c r="E965" s="9"/>
      <c r="F965" s="9"/>
      <c r="G965" s="59"/>
      <c r="H965" s="9"/>
    </row>
    <row r="966">
      <c r="A966" s="9"/>
      <c r="B966" s="9"/>
      <c r="C966" s="9"/>
      <c r="D966" s="9"/>
      <c r="E966" s="9"/>
      <c r="F966" s="9"/>
      <c r="G966" s="59"/>
      <c r="H966" s="9"/>
    </row>
    <row r="967">
      <c r="A967" s="9"/>
      <c r="B967" s="9"/>
      <c r="C967" s="9"/>
      <c r="D967" s="9"/>
      <c r="E967" s="9"/>
      <c r="F967" s="9"/>
      <c r="G967" s="59"/>
      <c r="H967" s="9"/>
    </row>
    <row r="968">
      <c r="A968" s="9"/>
      <c r="B968" s="9"/>
      <c r="C968" s="9"/>
      <c r="D968" s="9"/>
      <c r="E968" s="9"/>
      <c r="F968" s="9"/>
      <c r="G968" s="59"/>
      <c r="H968" s="9"/>
    </row>
    <row r="969">
      <c r="A969" s="9"/>
      <c r="B969" s="9"/>
      <c r="C969" s="9"/>
      <c r="D969" s="9"/>
      <c r="E969" s="9"/>
      <c r="F969" s="9"/>
      <c r="G969" s="59"/>
      <c r="H969" s="9"/>
    </row>
  </sheetData>
  <mergeCells count="3">
    <mergeCell ref="A1:F1"/>
    <mergeCell ref="I3:R7"/>
    <mergeCell ref="A5:A6"/>
  </mergeCells>
  <dataValidations>
    <dataValidation type="list" allowBlank="1" showErrorMessage="1" sqref="B9:B32">
      <formula1>"🕹 Lucky Draw"</formula1>
    </dataValidation>
    <dataValidation type="list" allowBlank="1" showErrorMessage="1" sqref="L10:L17">
      <formula1>Data!E4:E969</formula1>
    </dataValidation>
    <dataValidation type="list" allowBlank="1" showErrorMessage="1" sqref="E9:E32">
      <formula1>"🌐 เว็บไซต์,💌 จดหมายภายในเกม,📱 ข้อความ sms,📦 จัดส่งพัสดุ"</formula1>
    </dataValidation>
    <dataValidation type="list" allowBlank="1" showErrorMessage="1" sqref="F33:F35">
      <formula1>"เปิดรับยืนยันตัวตน,ปิดรับยืนยันตัวตน,⚙️ กำลังดำเนินการ,✅ จัดส่งแล้ว,🟡 ติดต่อแก้ข้อมูล"</formula1>
    </dataValidation>
    <dataValidation type="list" allowBlank="1" showErrorMessage="1" sqref="B3">
      <formula1>"⚙️ กำลังดำเนินการ,✅ จัดส่งเรียบร้อย"</formula1>
    </dataValidation>
    <dataValidation type="list" allowBlank="1" showErrorMessage="1" sqref="D3:D4">
      <formula1>"ทีมสีเหลือง,ทีมสีฟ้า,MKT,BD"</formula1>
    </dataValidation>
    <dataValidation type="list" allowBlank="1" showErrorMessage="1" sqref="F9:F32">
      <formula1>"เปิดรับยืนยันตัวตน,ปิดรับยืนยันตัวตน,⚙️ กำลังดำเนินการ,✅ จัดส่งแล้ว"</formula1>
    </dataValidation>
    <dataValidation type="list" allowBlank="1" showErrorMessage="1" sqref="B33:B35">
      <formula1>"🕹 Lucky Draw,เข้าร่วมทุกคน,รอตรวจสอบ,รอแก้ไขข้อมูล"</formula1>
    </dataValidation>
  </dataValidations>
  <hyperlinks>
    <hyperlink r:id="rId1" ref="C3"/>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9.75"/>
    <col customWidth="1" min="3" max="3" width="37.25"/>
    <col customWidth="1" min="4" max="4" width="27.5"/>
    <col customWidth="1" min="5" max="5" width="24.63"/>
    <col customWidth="1" min="6" max="6" width="23.88"/>
    <col customWidth="1" min="7" max="7" width="6.75"/>
  </cols>
  <sheetData>
    <row r="1">
      <c r="A1" s="92" t="s">
        <v>28</v>
      </c>
      <c r="G1" s="59"/>
      <c r="H1" s="9"/>
    </row>
    <row r="2">
      <c r="A2" s="60" t="s">
        <v>46</v>
      </c>
      <c r="B2" s="93">
        <v>46183.0</v>
      </c>
      <c r="C2" s="60" t="s">
        <v>47</v>
      </c>
      <c r="D2" s="62" t="s">
        <v>48</v>
      </c>
      <c r="E2" s="63" t="s">
        <v>49</v>
      </c>
      <c r="F2" s="9"/>
      <c r="G2" s="59"/>
      <c r="H2" s="9"/>
    </row>
    <row r="3">
      <c r="A3" s="60" t="s">
        <v>51</v>
      </c>
      <c r="B3" s="65" t="s">
        <v>27</v>
      </c>
      <c r="C3" s="113" t="s">
        <v>52</v>
      </c>
      <c r="D3" s="65" t="s">
        <v>53</v>
      </c>
      <c r="E3" s="67" t="s">
        <v>54</v>
      </c>
      <c r="F3" s="9"/>
      <c r="G3" s="59"/>
      <c r="H3" s="9"/>
    </row>
    <row r="4">
      <c r="A4" s="9"/>
      <c r="B4" s="9"/>
      <c r="C4" s="9"/>
      <c r="D4" s="9"/>
      <c r="E4" s="9"/>
      <c r="F4" s="9"/>
      <c r="G4" s="59"/>
      <c r="H4" s="9"/>
      <c r="I4" s="9"/>
      <c r="J4" s="166" t="s">
        <v>1371</v>
      </c>
    </row>
    <row r="5">
      <c r="A5" s="70" t="s">
        <v>57</v>
      </c>
      <c r="B5" s="71" t="s">
        <v>58</v>
      </c>
      <c r="C5" s="72" t="s">
        <v>59</v>
      </c>
      <c r="D5" s="9"/>
      <c r="E5" s="9"/>
      <c r="F5" s="9"/>
      <c r="G5" s="59"/>
      <c r="H5" s="9"/>
      <c r="I5" s="9"/>
    </row>
    <row r="6">
      <c r="B6" s="71" t="s">
        <v>60</v>
      </c>
      <c r="C6" s="72" t="s">
        <v>61</v>
      </c>
      <c r="D6" s="9"/>
      <c r="E6" s="9"/>
      <c r="F6" s="9"/>
      <c r="G6" s="59"/>
      <c r="H6" s="9"/>
      <c r="I6" s="9"/>
    </row>
    <row r="7">
      <c r="A7" s="9"/>
      <c r="B7" s="9"/>
      <c r="C7" s="9"/>
      <c r="D7" s="9"/>
      <c r="E7" s="9"/>
      <c r="F7" s="9"/>
      <c r="G7" s="59"/>
      <c r="H7" s="9"/>
      <c r="I7" s="9"/>
    </row>
    <row r="8">
      <c r="A8" s="73" t="s">
        <v>62</v>
      </c>
      <c r="B8" s="73" t="s">
        <v>63</v>
      </c>
      <c r="C8" s="73" t="s">
        <v>64</v>
      </c>
      <c r="D8" s="73" t="s">
        <v>65</v>
      </c>
      <c r="E8" s="73" t="s">
        <v>66</v>
      </c>
      <c r="F8" s="73" t="s">
        <v>51</v>
      </c>
      <c r="G8" s="59"/>
      <c r="H8" s="9"/>
      <c r="I8" s="96" t="s">
        <v>55</v>
      </c>
    </row>
    <row r="9">
      <c r="A9" s="65">
        <v>1.0</v>
      </c>
      <c r="B9" s="151" t="s">
        <v>734</v>
      </c>
      <c r="C9" s="143" t="s">
        <v>304</v>
      </c>
      <c r="D9" s="143" t="s">
        <v>305</v>
      </c>
      <c r="E9" s="75" t="s">
        <v>68</v>
      </c>
      <c r="F9" s="117" t="s">
        <v>27</v>
      </c>
      <c r="G9" s="59"/>
      <c r="H9" s="9"/>
      <c r="I9" s="97">
        <v>1339.0</v>
      </c>
      <c r="J9" s="121" t="s">
        <v>71</v>
      </c>
      <c r="K9" s="121" t="s">
        <v>72</v>
      </c>
      <c r="L9" s="122" t="s">
        <v>73</v>
      </c>
      <c r="M9" s="123" t="s">
        <v>74</v>
      </c>
      <c r="N9" s="121" t="s">
        <v>75</v>
      </c>
      <c r="O9" s="121" t="s">
        <v>76</v>
      </c>
      <c r="P9" s="121" t="s">
        <v>77</v>
      </c>
      <c r="Q9" s="124" t="s">
        <v>78</v>
      </c>
    </row>
    <row r="10">
      <c r="A10" s="65">
        <v>2.0</v>
      </c>
      <c r="B10" s="151" t="s">
        <v>734</v>
      </c>
      <c r="C10" s="143" t="s">
        <v>450</v>
      </c>
      <c r="D10" s="143" t="s">
        <v>451</v>
      </c>
      <c r="E10" s="75" t="s">
        <v>68</v>
      </c>
      <c r="F10" s="117" t="s">
        <v>27</v>
      </c>
      <c r="G10" s="59"/>
      <c r="H10" s="9"/>
      <c r="I10" s="101">
        <v>1189.0</v>
      </c>
      <c r="J10" s="82" t="str">
        <f t="array" ref="J10">IFERROR(INDEX(Data!$A$4:$O992, MATCH($L10, INDEX(Data!$A$4:$O992, 0, MATCH("Item EN", Data!$A$3:$O$3, FALSE)), FALSE), MATCH("Image", Data!$A$3:$O$3, FALSE)
),"")</f>
        <v/>
      </c>
      <c r="K10" s="83">
        <f t="array" ref="K10">IFERROR(INDEX(Data!$A$4:$O992, MATCH($L10, INDEX(Data!$A$4:$O992, 0, MATCH("Item EN", Data!$A$3:$O$3, FALSE)), FALSE), MATCH("Item ID", Data!$A$3:$O$3, FALSE)
),"")</f>
        <v>101107</v>
      </c>
      <c r="L10" s="138" t="s">
        <v>1372</v>
      </c>
      <c r="M10" s="103"/>
      <c r="N10" s="83" t="str">
        <f t="array" ref="N10">IFERROR(INDEX(Data!$A$4:$O992, MATCH($L10, INDEX(Data!$A$4:$O992, 0, MATCH("Item EN", Data!$A$3:$O$3, FALSE)), FALSE), MATCH("Item Type", Data!$A$3:$O$3, FALSE)
),"")</f>
        <v>Weapon</v>
      </c>
      <c r="O10" s="102">
        <v>1.0</v>
      </c>
      <c r="P10" s="87">
        <f t="array" ref="P10">IF(O10="",,IFERROR(INDEX(Data!$A$4:$O992, MATCH($L10, INDEX(Data!$A$4:$O992, 0, MATCH("Item EN", Data!$A$3:$O$3, FALSE)), FALSE), MATCH("Price", Data!$A$3:$O$3, FALSE)
),"")*O10)</f>
        <v>2</v>
      </c>
      <c r="Q10" s="88" t="str">
        <f t="array" ref="Q10">IFERROR(INDEX(Data!$A$4:$O992, MATCH($L10, INDEX(Data!$A$4:$O992, 0, MATCH("Item EN", Data!$A$3:$O$3, FALSE)), FALSE), MATCH("Image URL", Data!$A$3:$O$3, FALSE)
),"")</f>
        <v>https://cdn.exe.in.th/marketing/WarzTH_LE/Item%20Dict/fn_p90.png</v>
      </c>
    </row>
    <row r="11">
      <c r="A11" s="65">
        <v>3.0</v>
      </c>
      <c r="B11" s="151" t="s">
        <v>734</v>
      </c>
      <c r="C11" s="143" t="s">
        <v>1245</v>
      </c>
      <c r="D11" s="143" t="s">
        <v>1373</v>
      </c>
      <c r="E11" s="75" t="s">
        <v>68</v>
      </c>
      <c r="F11" s="117" t="s">
        <v>27</v>
      </c>
      <c r="G11" s="59"/>
      <c r="H11" s="9"/>
      <c r="I11" s="104">
        <v>1190.0</v>
      </c>
      <c r="J11" s="82" t="str">
        <f t="array" ref="J11">IFERROR(INDEX(Data!$A$4:$O992, MATCH($L11, INDEX(Data!$A$4:$O992, 0, MATCH("Item EN", Data!$A$3:$O$3, FALSE)), FALSE), MATCH("Image", Data!$A$3:$O$3, FALSE)
),"")</f>
        <v/>
      </c>
      <c r="K11" s="83">
        <f t="array" ref="K11">IFERROR(INDEX(Data!$A$4:$O992, MATCH($L11, INDEX(Data!$A$4:$O992, 0, MATCH("Item EN", Data!$A$3:$O$3, FALSE)), FALSE), MATCH("Item ID", Data!$A$3:$O$3, FALSE)
),"")</f>
        <v>400046</v>
      </c>
      <c r="L11" s="138" t="s">
        <v>599</v>
      </c>
      <c r="M11" s="103"/>
      <c r="N11" s="83" t="str">
        <f t="array" ref="N11">IFERROR(INDEX(Data!$A$4:$O992, MATCH($L11, INDEX(Data!$A$4:$O992, 0, MATCH("Item EN", Data!$A$3:$O$3, FALSE)), FALSE), MATCH("Item Type", Data!$A$3:$O$3, FALSE)
),"")</f>
        <v>Ammo</v>
      </c>
      <c r="O11" s="102">
        <v>2.0</v>
      </c>
      <c r="P11" s="87">
        <f t="array" ref="P11">IF(O11="",,IFERROR(INDEX(Data!$A$4:$O992, MATCH($L11, INDEX(Data!$A$4:$O992, 0, MATCH("Item EN", Data!$A$3:$O$3, FALSE)), FALSE), MATCH("Price", Data!$A$3:$O$3, FALSE)
),"")*O11)</f>
        <v>2</v>
      </c>
      <c r="Q11" s="88" t="str">
        <f t="array" ref="Q11">IFERROR(INDEX(Data!$A$4:$O992, MATCH($L11, INDEX(Data!$A$4:$O992, 0, MATCH("Item EN", Data!$A$3:$O$3, FALSE)), FALSE), MATCH("Image URL", Data!$A$3:$O$3, FALSE)
),"")</f>
        <v>https://cdn.exe.in.th/marketing/WarzTH_LE/Item%20Dict/p90_50.png</v>
      </c>
    </row>
    <row r="12">
      <c r="A12" s="65">
        <v>4.0</v>
      </c>
      <c r="B12" s="151" t="s">
        <v>734</v>
      </c>
      <c r="C12" s="143" t="s">
        <v>207</v>
      </c>
      <c r="D12" s="143" t="s">
        <v>208</v>
      </c>
      <c r="E12" s="75" t="s">
        <v>68</v>
      </c>
      <c r="F12" s="117" t="s">
        <v>27</v>
      </c>
      <c r="G12" s="59"/>
      <c r="H12" s="9"/>
      <c r="I12" s="104">
        <v>1193.0</v>
      </c>
      <c r="J12" s="82" t="str">
        <f t="array" ref="J12">IFERROR(INDEX(Data!$A$4:$O992, MATCH($L12, INDEX(Data!$A$4:$O992, 0, MATCH("Item EN", Data!$A$3:$O$3, FALSE)), FALSE), MATCH("Image", Data!$A$3:$O$3, FALSE)
),"")</f>
        <v/>
      </c>
      <c r="K12" s="83">
        <f t="array" ref="K12">IFERROR(INDEX(Data!$A$4:$O992, MATCH($L12, INDEX(Data!$A$4:$O992, 0, MATCH("Item EN", Data!$A$3:$O$3, FALSE)), FALSE), MATCH("Item ID", Data!$A$3:$O$3, FALSE)
),"")</f>
        <v>20056</v>
      </c>
      <c r="L12" s="138" t="s">
        <v>85</v>
      </c>
      <c r="M12" s="103"/>
      <c r="N12" s="83" t="str">
        <f t="array" ref="N12">IFERROR(INDEX(Data!$A$4:$O992, MATCH($L12, INDEX(Data!$A$4:$O992, 0, MATCH("Item EN", Data!$A$3:$O$3, FALSE)), FALSE), MATCH("Item Type", Data!$A$3:$O$3, FALSE)
),"")</f>
        <v>Equipment</v>
      </c>
      <c r="O12" s="102">
        <v>1.0</v>
      </c>
      <c r="P12" s="87">
        <f t="array" ref="P12">IF(O12="",,IFERROR(INDEX(Data!$A$4:$O992, MATCH($L12, INDEX(Data!$A$4:$O992, 0, MATCH("Item EN", Data!$A$3:$O$3, FALSE)), FALSE), MATCH("Price", Data!$A$3:$O$3, FALSE)
),"")*O12)</f>
        <v>1.5</v>
      </c>
      <c r="Q12" s="88" t="str">
        <f t="array" ref="Q12">IFERROR(INDEX(Data!$A$4:$O992, MATCH($L12, INDEX(Data!$A$4:$O992, 0, MATCH("Item EN", Data!$A$3:$O$3, FALSE)), FALSE), MATCH("Image URL", Data!$A$3:$O$3, FALSE)
),"")</f>
        <v>https://cdn.exe.in.th/marketing/WarzTH_LE/Item%20Dict/mtv_forest.png</v>
      </c>
    </row>
    <row r="13">
      <c r="A13" s="65">
        <v>5.0</v>
      </c>
      <c r="B13" s="151" t="s">
        <v>734</v>
      </c>
      <c r="C13" s="143" t="s">
        <v>714</v>
      </c>
      <c r="D13" s="143" t="s">
        <v>715</v>
      </c>
      <c r="E13" s="75" t="s">
        <v>68</v>
      </c>
      <c r="F13" s="117" t="s">
        <v>27</v>
      </c>
      <c r="G13" s="59"/>
      <c r="H13" s="9"/>
      <c r="I13" s="104">
        <v>1194.0</v>
      </c>
      <c r="J13" s="82" t="str">
        <f t="array" ref="J13">IFERROR(INDEX(Data!$A$4:$O992, MATCH($L13, INDEX(Data!$A$4:$O992, 0, MATCH("Item EN", Data!$A$3:$O$3, FALSE)), FALSE), MATCH("Image", Data!$A$3:$O$3, FALSE)
),"")</f>
        <v/>
      </c>
      <c r="K13" s="83">
        <f t="array" ref="K13">IFERROR(INDEX(Data!$A$4:$O992, MATCH($L13, INDEX(Data!$A$4:$O992, 0, MATCH("Item EN", Data!$A$3:$O$3, FALSE)), FALSE), MATCH("Item ID", Data!$A$3:$O$3, FALSE)
),"")</f>
        <v>20049</v>
      </c>
      <c r="L13" s="138" t="s">
        <v>101</v>
      </c>
      <c r="M13" s="103"/>
      <c r="N13" s="83" t="str">
        <f t="array" ref="N13">IFERROR(INDEX(Data!$A$4:$O992, MATCH($L13, INDEX(Data!$A$4:$O992, 0, MATCH("Item EN", Data!$A$3:$O$3, FALSE)), FALSE), MATCH("Item Type", Data!$A$3:$O$3, FALSE)
),"")</f>
        <v>Equipment</v>
      </c>
      <c r="O13" s="102">
        <v>1.0</v>
      </c>
      <c r="P13" s="87">
        <f t="array" ref="P13">IF(O13="",,IFERROR(INDEX(Data!$A$4:$O992, MATCH($L13, INDEX(Data!$A$4:$O992, 0, MATCH("Item EN", Data!$A$3:$O$3, FALSE)), FALSE), MATCH("Price", Data!$A$3:$O$3, FALSE)
),"")*O13)</f>
        <v>1</v>
      </c>
      <c r="Q13" s="88" t="str">
        <f t="array" ref="Q13">IFERROR(INDEX(Data!$A$4:$O992, MATCH($L13, INDEX(Data!$A$4:$O992, 0, MATCH("Item EN", Data!$A$3:$O$3, FALSE)), FALSE), MATCH("Image URL", Data!$A$3:$O$3, FALSE)
),"")</f>
        <v>https://cdn.exe.in.th/marketing/WarzTH_LE/Item%20Dict/m9_helmet_forest1.png</v>
      </c>
    </row>
    <row r="14">
      <c r="A14" s="65">
        <v>6.0</v>
      </c>
      <c r="B14" s="151" t="s">
        <v>734</v>
      </c>
      <c r="C14" s="143" t="s">
        <v>504</v>
      </c>
      <c r="D14" s="143" t="s">
        <v>505</v>
      </c>
      <c r="E14" s="75" t="s">
        <v>68</v>
      </c>
      <c r="F14" s="117" t="s">
        <v>27</v>
      </c>
      <c r="G14" s="59"/>
      <c r="H14" s="9"/>
      <c r="I14" s="104">
        <v>1360.0</v>
      </c>
      <c r="J14" s="82" t="str">
        <f t="array" ref="J14">IFERROR(INDEX(Data!$A$4:$O992, MATCH($L14, INDEX(Data!$A$4:$O992, 0, MATCH("Item EN", Data!$A$3:$O$3, FALSE)), FALSE), MATCH("Image", Data!$A$3:$O$3, FALSE)
),"")</f>
        <v/>
      </c>
      <c r="K14" s="83">
        <f t="array" ref="K14">IFERROR(INDEX(Data!$A$4:$O992, MATCH($L14, INDEX(Data!$A$4:$O992, 0, MATCH("Item EN", Data!$A$3:$O$3, FALSE)), FALSE), MATCH("Item ID", Data!$A$3:$O$3, FALSE)
),"")</f>
        <v>20175</v>
      </c>
      <c r="L14" s="138" t="s">
        <v>1374</v>
      </c>
      <c r="M14" s="103"/>
      <c r="N14" s="83" t="str">
        <f t="array" ref="N14">IFERROR(INDEX(Data!$A$4:$O992, MATCH($L14, INDEX(Data!$A$4:$O992, 0, MATCH("Item EN", Data!$A$3:$O$3, FALSE)), FALSE), MATCH("Item Type", Data!$A$3:$O$3, FALSE)
),"")</f>
        <v>Equipment</v>
      </c>
      <c r="O14" s="102">
        <v>1.0</v>
      </c>
      <c r="P14" s="87">
        <f t="array" ref="P14">IF(O14="",,IFERROR(INDEX(Data!$A$4:$O992, MATCH($L14, INDEX(Data!$A$4:$O992, 0, MATCH("Item EN", Data!$A$3:$O$3, FALSE)), FALSE), MATCH("Price", Data!$A$3:$O$3, FALSE)
),"")*O14)</f>
        <v>1.5</v>
      </c>
      <c r="Q14" s="88" t="str">
        <f t="array" ref="Q14">IFERROR(INDEX(Data!$A$4:$O992, MATCH($L14, INDEX(Data!$A$4:$O992, 0, MATCH("Item EN", Data!$A$3:$O$3, FALSE)), FALSE), MATCH("Image URL", Data!$A$3:$O$3, FALSE)
),"")</f>
        <v>https://cdn.exe.in.th/marketing/WarzTH_LE/Item%20Dict/medium_backpack.png</v>
      </c>
    </row>
    <row r="15">
      <c r="A15" s="65">
        <v>7.0</v>
      </c>
      <c r="B15" s="151" t="s">
        <v>734</v>
      </c>
      <c r="C15" s="143" t="s">
        <v>166</v>
      </c>
      <c r="D15" s="143" t="s">
        <v>167</v>
      </c>
      <c r="E15" s="75" t="s">
        <v>68</v>
      </c>
      <c r="F15" s="117" t="s">
        <v>27</v>
      </c>
      <c r="G15" s="59"/>
      <c r="H15" s="9"/>
    </row>
    <row r="16">
      <c r="A16" s="65">
        <v>8.0</v>
      </c>
      <c r="B16" s="151" t="s">
        <v>734</v>
      </c>
      <c r="C16" s="143" t="s">
        <v>1375</v>
      </c>
      <c r="D16" s="143" t="s">
        <v>1376</v>
      </c>
      <c r="E16" s="75" t="s">
        <v>68</v>
      </c>
      <c r="F16" s="117" t="s">
        <v>27</v>
      </c>
      <c r="G16" s="59"/>
      <c r="H16" s="9"/>
    </row>
    <row r="17">
      <c r="A17" s="65">
        <v>9.0</v>
      </c>
      <c r="B17" s="151" t="s">
        <v>734</v>
      </c>
      <c r="C17" s="143" t="s">
        <v>1377</v>
      </c>
      <c r="D17" s="143" t="s">
        <v>1378</v>
      </c>
      <c r="E17" s="75" t="s">
        <v>68</v>
      </c>
      <c r="F17" s="117" t="s">
        <v>27</v>
      </c>
      <c r="G17" s="59"/>
      <c r="H17" s="9"/>
    </row>
    <row r="18">
      <c r="A18" s="65">
        <v>10.0</v>
      </c>
      <c r="B18" s="151" t="s">
        <v>734</v>
      </c>
      <c r="C18" s="143" t="s">
        <v>213</v>
      </c>
      <c r="D18" s="143" t="s">
        <v>214</v>
      </c>
      <c r="E18" s="75" t="s">
        <v>68</v>
      </c>
      <c r="F18" s="117" t="s">
        <v>27</v>
      </c>
      <c r="G18" s="59"/>
      <c r="H18" s="9"/>
    </row>
    <row r="19">
      <c r="A19" s="65">
        <v>11.0</v>
      </c>
      <c r="B19" s="151" t="s">
        <v>734</v>
      </c>
      <c r="C19" s="143" t="s">
        <v>472</v>
      </c>
      <c r="D19" s="143" t="s">
        <v>473</v>
      </c>
      <c r="E19" s="75" t="s">
        <v>68</v>
      </c>
      <c r="F19" s="117" t="s">
        <v>27</v>
      </c>
      <c r="G19" s="59"/>
      <c r="H19" s="9"/>
    </row>
    <row r="20">
      <c r="A20" s="65">
        <v>12.0</v>
      </c>
      <c r="B20" s="151" t="s">
        <v>734</v>
      </c>
      <c r="C20" s="143" t="s">
        <v>1379</v>
      </c>
      <c r="D20" s="143" t="s">
        <v>1380</v>
      </c>
      <c r="E20" s="75" t="s">
        <v>68</v>
      </c>
      <c r="F20" s="117" t="s">
        <v>27</v>
      </c>
      <c r="G20" s="59"/>
      <c r="H20" s="9"/>
    </row>
    <row r="21">
      <c r="A21" s="65">
        <v>13.0</v>
      </c>
      <c r="B21" s="151" t="s">
        <v>734</v>
      </c>
      <c r="C21" s="143" t="s">
        <v>1381</v>
      </c>
      <c r="D21" s="143" t="s">
        <v>1382</v>
      </c>
      <c r="E21" s="75" t="s">
        <v>68</v>
      </c>
      <c r="F21" s="117" t="s">
        <v>27</v>
      </c>
      <c r="G21" s="59"/>
      <c r="H21" s="9"/>
    </row>
    <row r="22">
      <c r="A22" s="65">
        <v>14.0</v>
      </c>
      <c r="B22" s="151" t="s">
        <v>734</v>
      </c>
      <c r="C22" s="143" t="s">
        <v>1383</v>
      </c>
      <c r="D22" s="143" t="s">
        <v>1384</v>
      </c>
      <c r="E22" s="75" t="s">
        <v>68</v>
      </c>
      <c r="F22" s="117" t="s">
        <v>27</v>
      </c>
      <c r="G22" s="59"/>
      <c r="H22" s="9"/>
    </row>
    <row r="23">
      <c r="A23" s="65">
        <v>15.0</v>
      </c>
      <c r="B23" s="151" t="s">
        <v>734</v>
      </c>
      <c r="C23" s="143" t="s">
        <v>708</v>
      </c>
      <c r="D23" s="143" t="s">
        <v>709</v>
      </c>
      <c r="E23" s="75" t="s">
        <v>68</v>
      </c>
      <c r="F23" s="117" t="s">
        <v>27</v>
      </c>
      <c r="G23" s="59"/>
      <c r="H23" s="9"/>
    </row>
    <row r="24">
      <c r="A24" s="65">
        <v>16.0</v>
      </c>
      <c r="B24" s="151" t="s">
        <v>734</v>
      </c>
      <c r="C24" s="143" t="s">
        <v>1385</v>
      </c>
      <c r="D24" s="143" t="s">
        <v>1094</v>
      </c>
      <c r="E24" s="75" t="s">
        <v>68</v>
      </c>
      <c r="F24" s="117" t="s">
        <v>27</v>
      </c>
      <c r="G24" s="59"/>
      <c r="H24" s="9"/>
    </row>
    <row r="25">
      <c r="A25" s="65">
        <v>17.0</v>
      </c>
      <c r="B25" s="151" t="s">
        <v>734</v>
      </c>
      <c r="C25" s="143" t="s">
        <v>1386</v>
      </c>
      <c r="D25" s="143" t="s">
        <v>1387</v>
      </c>
      <c r="E25" s="75" t="s">
        <v>68</v>
      </c>
      <c r="F25" s="117" t="s">
        <v>27</v>
      </c>
      <c r="G25" s="59"/>
      <c r="H25" s="9"/>
    </row>
    <row r="26">
      <c r="A26" s="65">
        <v>18.0</v>
      </c>
      <c r="B26" s="151" t="s">
        <v>734</v>
      </c>
      <c r="C26" s="143" t="s">
        <v>215</v>
      </c>
      <c r="D26" s="143" t="s">
        <v>216</v>
      </c>
      <c r="E26" s="75" t="s">
        <v>68</v>
      </c>
      <c r="F26" s="117" t="s">
        <v>27</v>
      </c>
      <c r="G26" s="59"/>
      <c r="H26" s="9"/>
    </row>
    <row r="27">
      <c r="A27" s="65">
        <v>19.0</v>
      </c>
      <c r="B27" s="151" t="s">
        <v>734</v>
      </c>
      <c r="C27" s="143" t="s">
        <v>1388</v>
      </c>
      <c r="D27" s="143" t="s">
        <v>1389</v>
      </c>
      <c r="E27" s="75" t="s">
        <v>68</v>
      </c>
      <c r="F27" s="117" t="s">
        <v>27</v>
      </c>
      <c r="G27" s="59"/>
      <c r="H27" s="9"/>
    </row>
    <row r="28">
      <c r="A28" s="65">
        <v>20.0</v>
      </c>
      <c r="B28" s="151" t="s">
        <v>734</v>
      </c>
      <c r="C28" s="143" t="s">
        <v>1121</v>
      </c>
      <c r="D28" s="143" t="s">
        <v>1122</v>
      </c>
      <c r="E28" s="75" t="s">
        <v>68</v>
      </c>
      <c r="F28" s="117" t="s">
        <v>27</v>
      </c>
      <c r="G28" s="59"/>
      <c r="H28" s="9"/>
    </row>
    <row r="29">
      <c r="A29" s="65">
        <v>21.0</v>
      </c>
      <c r="B29" s="151" t="s">
        <v>734</v>
      </c>
      <c r="C29" s="143" t="s">
        <v>815</v>
      </c>
      <c r="D29" s="143" t="s">
        <v>816</v>
      </c>
      <c r="E29" s="75" t="s">
        <v>68</v>
      </c>
      <c r="F29" s="117" t="s">
        <v>27</v>
      </c>
      <c r="G29" s="59"/>
      <c r="H29" s="9"/>
    </row>
    <row r="30">
      <c r="A30" s="65">
        <v>22.0</v>
      </c>
      <c r="B30" s="151" t="s">
        <v>734</v>
      </c>
      <c r="C30" s="143" t="s">
        <v>296</v>
      </c>
      <c r="D30" s="143" t="s">
        <v>297</v>
      </c>
      <c r="E30" s="75" t="s">
        <v>68</v>
      </c>
      <c r="F30" s="117" t="s">
        <v>27</v>
      </c>
      <c r="G30" s="59"/>
      <c r="H30" s="9"/>
    </row>
    <row r="31">
      <c r="A31" s="65">
        <v>23.0</v>
      </c>
      <c r="B31" s="151" t="s">
        <v>734</v>
      </c>
      <c r="C31" s="143" t="s">
        <v>267</v>
      </c>
      <c r="D31" s="143" t="s">
        <v>268</v>
      </c>
      <c r="E31" s="75" t="s">
        <v>68</v>
      </c>
      <c r="F31" s="117" t="s">
        <v>27</v>
      </c>
      <c r="G31" s="59"/>
      <c r="H31" s="9"/>
    </row>
    <row r="32">
      <c r="A32" s="65">
        <v>24.0</v>
      </c>
      <c r="B32" s="151" t="s">
        <v>734</v>
      </c>
      <c r="C32" s="143" t="s">
        <v>160</v>
      </c>
      <c r="D32" s="143" t="s">
        <v>161</v>
      </c>
      <c r="E32" s="75" t="s">
        <v>68</v>
      </c>
      <c r="F32" s="117" t="s">
        <v>27</v>
      </c>
      <c r="G32" s="59"/>
      <c r="H32" s="9"/>
    </row>
    <row r="33">
      <c r="A33" s="65">
        <v>25.0</v>
      </c>
      <c r="B33" s="151" t="s">
        <v>734</v>
      </c>
      <c r="C33" s="143" t="s">
        <v>1390</v>
      </c>
      <c r="D33" s="143" t="s">
        <v>1391</v>
      </c>
      <c r="E33" s="75" t="s">
        <v>68</v>
      </c>
      <c r="F33" s="117" t="s">
        <v>27</v>
      </c>
      <c r="G33" s="59"/>
      <c r="H33" s="9"/>
    </row>
    <row r="34">
      <c r="A34" s="65">
        <v>26.0</v>
      </c>
      <c r="B34" s="151" t="s">
        <v>734</v>
      </c>
      <c r="C34" s="143" t="s">
        <v>873</v>
      </c>
      <c r="D34" s="143" t="s">
        <v>874</v>
      </c>
      <c r="E34" s="75" t="s">
        <v>68</v>
      </c>
      <c r="F34" s="117" t="s">
        <v>27</v>
      </c>
      <c r="G34" s="59"/>
      <c r="H34" s="9"/>
    </row>
    <row r="35">
      <c r="A35" s="65">
        <v>27.0</v>
      </c>
      <c r="B35" s="151" t="s">
        <v>734</v>
      </c>
      <c r="C35" s="143" t="s">
        <v>510</v>
      </c>
      <c r="D35" s="143" t="s">
        <v>511</v>
      </c>
      <c r="E35" s="75" t="s">
        <v>68</v>
      </c>
      <c r="F35" s="117" t="s">
        <v>27</v>
      </c>
      <c r="G35" s="59"/>
      <c r="H35" s="9"/>
    </row>
    <row r="36">
      <c r="A36" s="65">
        <v>28.0</v>
      </c>
      <c r="B36" s="151" t="s">
        <v>734</v>
      </c>
      <c r="C36" s="143" t="s">
        <v>839</v>
      </c>
      <c r="D36" s="143" t="s">
        <v>840</v>
      </c>
      <c r="E36" s="75" t="s">
        <v>68</v>
      </c>
      <c r="F36" s="117" t="s">
        <v>27</v>
      </c>
      <c r="G36" s="59"/>
      <c r="H36" s="9"/>
    </row>
    <row r="37">
      <c r="A37" s="65">
        <v>29.0</v>
      </c>
      <c r="B37" s="151" t="s">
        <v>734</v>
      </c>
      <c r="C37" s="143" t="s">
        <v>1392</v>
      </c>
      <c r="D37" s="143" t="s">
        <v>1393</v>
      </c>
      <c r="E37" s="75" t="s">
        <v>68</v>
      </c>
      <c r="F37" s="117" t="s">
        <v>27</v>
      </c>
      <c r="G37" s="59"/>
      <c r="H37" s="9"/>
    </row>
    <row r="38">
      <c r="A38" s="65">
        <v>30.0</v>
      </c>
      <c r="B38" s="151" t="s">
        <v>734</v>
      </c>
      <c r="C38" s="143" t="s">
        <v>1394</v>
      </c>
      <c r="D38" s="143" t="s">
        <v>1395</v>
      </c>
      <c r="E38" s="75" t="s">
        <v>68</v>
      </c>
      <c r="F38" s="117" t="s">
        <v>27</v>
      </c>
      <c r="G38" s="59"/>
      <c r="H38" s="9"/>
    </row>
    <row r="39">
      <c r="A39" s="65">
        <v>31.0</v>
      </c>
      <c r="B39" s="151" t="s">
        <v>734</v>
      </c>
      <c r="C39" s="143" t="s">
        <v>911</v>
      </c>
      <c r="D39" s="143" t="s">
        <v>912</v>
      </c>
      <c r="E39" s="75" t="s">
        <v>68</v>
      </c>
      <c r="F39" s="117" t="s">
        <v>27</v>
      </c>
      <c r="G39" s="59"/>
      <c r="H39" s="9"/>
    </row>
    <row r="40">
      <c r="A40" s="65">
        <v>32.0</v>
      </c>
      <c r="B40" s="151" t="s">
        <v>734</v>
      </c>
      <c r="C40" s="143" t="s">
        <v>1396</v>
      </c>
      <c r="D40" s="143" t="s">
        <v>1397</v>
      </c>
      <c r="E40" s="75" t="s">
        <v>68</v>
      </c>
      <c r="F40" s="117" t="s">
        <v>27</v>
      </c>
      <c r="G40" s="59"/>
      <c r="H40" s="9"/>
    </row>
    <row r="41">
      <c r="A41" s="65">
        <v>33.0</v>
      </c>
      <c r="B41" s="151" t="s">
        <v>734</v>
      </c>
      <c r="C41" s="143" t="s">
        <v>277</v>
      </c>
      <c r="D41" s="143" t="s">
        <v>278</v>
      </c>
      <c r="E41" s="75" t="s">
        <v>68</v>
      </c>
      <c r="F41" s="117" t="s">
        <v>27</v>
      </c>
      <c r="G41" s="59"/>
      <c r="H41" s="9"/>
    </row>
    <row r="42">
      <c r="A42" s="65">
        <v>34.0</v>
      </c>
      <c r="B42" s="151" t="s">
        <v>734</v>
      </c>
      <c r="C42" s="143" t="s">
        <v>424</v>
      </c>
      <c r="D42" s="143" t="s">
        <v>425</v>
      </c>
      <c r="E42" s="75" t="s">
        <v>68</v>
      </c>
      <c r="F42" s="117" t="s">
        <v>27</v>
      </c>
      <c r="G42" s="59"/>
      <c r="H42" s="9"/>
    </row>
    <row r="43">
      <c r="A43" s="65">
        <v>35.0</v>
      </c>
      <c r="B43" s="151" t="s">
        <v>734</v>
      </c>
      <c r="C43" s="143" t="s">
        <v>152</v>
      </c>
      <c r="D43" s="143" t="s">
        <v>153</v>
      </c>
      <c r="E43" s="75" t="s">
        <v>68</v>
      </c>
      <c r="F43" s="117" t="s">
        <v>27</v>
      </c>
      <c r="G43" s="59"/>
      <c r="H43" s="9"/>
    </row>
    <row r="44">
      <c r="A44" s="65">
        <v>36.0</v>
      </c>
      <c r="B44" s="151" t="s">
        <v>734</v>
      </c>
      <c r="C44" s="143" t="s">
        <v>1398</v>
      </c>
      <c r="D44" s="143" t="s">
        <v>1399</v>
      </c>
      <c r="E44" s="75" t="s">
        <v>68</v>
      </c>
      <c r="F44" s="117" t="s">
        <v>27</v>
      </c>
      <c r="G44" s="59"/>
      <c r="H44" s="9"/>
    </row>
    <row r="45">
      <c r="A45" s="65">
        <v>37.0</v>
      </c>
      <c r="B45" s="151" t="s">
        <v>734</v>
      </c>
      <c r="C45" s="143" t="s">
        <v>1400</v>
      </c>
      <c r="D45" s="143" t="s">
        <v>1401</v>
      </c>
      <c r="E45" s="75" t="s">
        <v>68</v>
      </c>
      <c r="F45" s="117" t="s">
        <v>27</v>
      </c>
      <c r="G45" s="59"/>
      <c r="H45" s="9"/>
    </row>
    <row r="46">
      <c r="A46" s="65">
        <v>38.0</v>
      </c>
      <c r="B46" s="151" t="s">
        <v>734</v>
      </c>
      <c r="C46" s="143" t="s">
        <v>1402</v>
      </c>
      <c r="D46" s="143" t="s">
        <v>1403</v>
      </c>
      <c r="E46" s="75" t="s">
        <v>68</v>
      </c>
      <c r="F46" s="117" t="s">
        <v>27</v>
      </c>
      <c r="G46" s="59"/>
      <c r="H46" s="9"/>
    </row>
    <row r="47">
      <c r="A47" s="65">
        <v>39.0</v>
      </c>
      <c r="B47" s="151" t="s">
        <v>734</v>
      </c>
      <c r="C47" s="143" t="s">
        <v>779</v>
      </c>
      <c r="D47" s="143" t="s">
        <v>780</v>
      </c>
      <c r="E47" s="75" t="s">
        <v>68</v>
      </c>
      <c r="F47" s="117" t="s">
        <v>27</v>
      </c>
      <c r="G47" s="59"/>
      <c r="H47" s="9"/>
    </row>
    <row r="48">
      <c r="A48" s="65">
        <v>40.0</v>
      </c>
      <c r="B48" s="151" t="s">
        <v>734</v>
      </c>
      <c r="C48" s="143" t="s">
        <v>795</v>
      </c>
      <c r="D48" s="143" t="s">
        <v>796</v>
      </c>
      <c r="E48" s="75" t="s">
        <v>68</v>
      </c>
      <c r="F48" s="117" t="s">
        <v>27</v>
      </c>
      <c r="G48" s="59"/>
      <c r="H48" s="9"/>
    </row>
    <row r="49">
      <c r="A49" s="65">
        <v>41.0</v>
      </c>
      <c r="B49" s="151" t="s">
        <v>734</v>
      </c>
      <c r="C49" s="143" t="s">
        <v>637</v>
      </c>
      <c r="D49" s="143" t="s">
        <v>638</v>
      </c>
      <c r="E49" s="75" t="s">
        <v>68</v>
      </c>
      <c r="F49" s="117" t="s">
        <v>27</v>
      </c>
      <c r="G49" s="59"/>
      <c r="H49" s="9"/>
    </row>
    <row r="50">
      <c r="A50" s="65">
        <v>42.0</v>
      </c>
      <c r="B50" s="151" t="s">
        <v>734</v>
      </c>
      <c r="C50" s="143" t="s">
        <v>1404</v>
      </c>
      <c r="D50" s="143" t="s">
        <v>1405</v>
      </c>
      <c r="E50" s="75" t="s">
        <v>68</v>
      </c>
      <c r="F50" s="117" t="s">
        <v>27</v>
      </c>
      <c r="G50" s="59"/>
      <c r="H50" s="9"/>
    </row>
    <row r="51">
      <c r="A51" s="65">
        <v>43.0</v>
      </c>
      <c r="B51" s="151" t="s">
        <v>734</v>
      </c>
      <c r="C51" s="143" t="s">
        <v>954</v>
      </c>
      <c r="D51" s="143" t="s">
        <v>955</v>
      </c>
      <c r="E51" s="75" t="s">
        <v>68</v>
      </c>
      <c r="F51" s="117" t="s">
        <v>27</v>
      </c>
      <c r="G51" s="59"/>
      <c r="H51" s="9"/>
    </row>
    <row r="52">
      <c r="A52" s="65">
        <v>44.0</v>
      </c>
      <c r="B52" s="151" t="s">
        <v>734</v>
      </c>
      <c r="C52" s="143" t="s">
        <v>1406</v>
      </c>
      <c r="D52" s="143" t="s">
        <v>1407</v>
      </c>
      <c r="E52" s="75" t="s">
        <v>68</v>
      </c>
      <c r="F52" s="117" t="s">
        <v>27</v>
      </c>
      <c r="G52" s="59"/>
      <c r="H52" s="9"/>
    </row>
    <row r="53">
      <c r="A53" s="65">
        <v>45.0</v>
      </c>
      <c r="B53" s="151" t="s">
        <v>734</v>
      </c>
      <c r="C53" s="143" t="s">
        <v>1408</v>
      </c>
      <c r="D53" s="143" t="s">
        <v>1409</v>
      </c>
      <c r="E53" s="75" t="s">
        <v>68</v>
      </c>
      <c r="F53" s="117" t="s">
        <v>27</v>
      </c>
      <c r="G53" s="59"/>
      <c r="H53" s="9"/>
    </row>
    <row r="54">
      <c r="A54" s="65">
        <v>46.0</v>
      </c>
      <c r="B54" s="151" t="s">
        <v>734</v>
      </c>
      <c r="C54" s="143" t="s">
        <v>672</v>
      </c>
      <c r="D54" s="167" t="s">
        <v>673</v>
      </c>
      <c r="E54" s="75" t="s">
        <v>68</v>
      </c>
      <c r="F54" s="117" t="s">
        <v>27</v>
      </c>
      <c r="G54" s="59"/>
      <c r="H54" s="9"/>
    </row>
    <row r="55">
      <c r="A55" s="65">
        <v>47.0</v>
      </c>
      <c r="B55" s="151" t="s">
        <v>734</v>
      </c>
      <c r="C55" s="143" t="s">
        <v>1410</v>
      </c>
      <c r="D55" s="143" t="s">
        <v>1411</v>
      </c>
      <c r="E55" s="75" t="s">
        <v>68</v>
      </c>
      <c r="F55" s="117" t="s">
        <v>27</v>
      </c>
      <c r="G55" s="59"/>
      <c r="H55" s="9"/>
    </row>
    <row r="56">
      <c r="A56" s="65">
        <v>48.0</v>
      </c>
      <c r="B56" s="151" t="s">
        <v>734</v>
      </c>
      <c r="C56" s="143" t="s">
        <v>454</v>
      </c>
      <c r="D56" s="143" t="s">
        <v>455</v>
      </c>
      <c r="E56" s="75" t="s">
        <v>68</v>
      </c>
      <c r="F56" s="117" t="s">
        <v>27</v>
      </c>
      <c r="G56" s="59"/>
      <c r="H56" s="9"/>
    </row>
    <row r="57">
      <c r="A57" s="65">
        <v>49.0</v>
      </c>
      <c r="B57" s="151" t="s">
        <v>734</v>
      </c>
      <c r="C57" s="143" t="s">
        <v>688</v>
      </c>
      <c r="D57" s="143" t="s">
        <v>689</v>
      </c>
      <c r="E57" s="75" t="s">
        <v>68</v>
      </c>
      <c r="F57" s="117" t="s">
        <v>27</v>
      </c>
      <c r="G57" s="59"/>
      <c r="H57" s="9"/>
    </row>
    <row r="58">
      <c r="A58" s="65">
        <v>50.0</v>
      </c>
      <c r="B58" s="151" t="s">
        <v>734</v>
      </c>
      <c r="C58" s="143" t="s">
        <v>1412</v>
      </c>
      <c r="D58" s="143" t="s">
        <v>1413</v>
      </c>
      <c r="E58" s="75" t="s">
        <v>68</v>
      </c>
      <c r="F58" s="117" t="s">
        <v>27</v>
      </c>
      <c r="G58" s="59"/>
      <c r="H58" s="9"/>
    </row>
    <row r="59">
      <c r="A59" s="65">
        <v>51.0</v>
      </c>
      <c r="B59" s="151" t="s">
        <v>734</v>
      </c>
      <c r="C59" s="143" t="s">
        <v>1414</v>
      </c>
      <c r="D59" s="143" t="s">
        <v>1415</v>
      </c>
      <c r="E59" s="75" t="s">
        <v>68</v>
      </c>
      <c r="F59" s="117" t="s">
        <v>27</v>
      </c>
      <c r="G59" s="59"/>
      <c r="H59" s="9"/>
    </row>
    <row r="60">
      <c r="A60" s="65">
        <v>52.0</v>
      </c>
      <c r="B60" s="151" t="s">
        <v>734</v>
      </c>
      <c r="C60" s="143" t="s">
        <v>1416</v>
      </c>
      <c r="D60" s="143" t="s">
        <v>1417</v>
      </c>
      <c r="E60" s="75" t="s">
        <v>68</v>
      </c>
      <c r="F60" s="117" t="s">
        <v>27</v>
      </c>
      <c r="G60" s="59"/>
      <c r="H60" s="9"/>
    </row>
    <row r="61">
      <c r="A61" s="65">
        <v>53.0</v>
      </c>
      <c r="B61" s="151" t="s">
        <v>734</v>
      </c>
      <c r="C61" s="143" t="s">
        <v>1418</v>
      </c>
      <c r="D61" s="143" t="s">
        <v>1419</v>
      </c>
      <c r="E61" s="75" t="s">
        <v>68</v>
      </c>
      <c r="F61" s="117" t="s">
        <v>27</v>
      </c>
      <c r="G61" s="59"/>
      <c r="H61" s="9"/>
    </row>
    <row r="62">
      <c r="A62" s="65">
        <v>54.0</v>
      </c>
      <c r="B62" s="151" t="s">
        <v>734</v>
      </c>
      <c r="C62" s="143" t="s">
        <v>1420</v>
      </c>
      <c r="D62" s="143" t="s">
        <v>1421</v>
      </c>
      <c r="E62" s="75" t="s">
        <v>68</v>
      </c>
      <c r="F62" s="117" t="s">
        <v>27</v>
      </c>
      <c r="G62" s="59"/>
      <c r="H62" s="9"/>
    </row>
    <row r="63">
      <c r="A63" s="65">
        <v>55.0</v>
      </c>
      <c r="B63" s="151" t="s">
        <v>734</v>
      </c>
      <c r="C63" s="143" t="s">
        <v>1087</v>
      </c>
      <c r="D63" s="143" t="s">
        <v>1088</v>
      </c>
      <c r="E63" s="75" t="s">
        <v>68</v>
      </c>
      <c r="F63" s="117" t="s">
        <v>27</v>
      </c>
      <c r="G63" s="59"/>
      <c r="H63" s="9"/>
    </row>
    <row r="64">
      <c r="A64" s="65">
        <v>56.0</v>
      </c>
      <c r="B64" s="151" t="s">
        <v>734</v>
      </c>
      <c r="C64" s="143" t="s">
        <v>1422</v>
      </c>
      <c r="D64" s="143" t="s">
        <v>1423</v>
      </c>
      <c r="E64" s="75" t="s">
        <v>68</v>
      </c>
      <c r="F64" s="117" t="s">
        <v>27</v>
      </c>
      <c r="G64" s="59"/>
      <c r="H64" s="9"/>
    </row>
    <row r="65">
      <c r="A65" s="65">
        <v>57.0</v>
      </c>
      <c r="B65" s="151" t="s">
        <v>734</v>
      </c>
      <c r="C65" s="143" t="s">
        <v>516</v>
      </c>
      <c r="D65" s="143" t="s">
        <v>517</v>
      </c>
      <c r="E65" s="75" t="s">
        <v>68</v>
      </c>
      <c r="F65" s="117" t="s">
        <v>27</v>
      </c>
      <c r="G65" s="59"/>
      <c r="H65" s="9"/>
    </row>
    <row r="66">
      <c r="A66" s="65">
        <v>58.0</v>
      </c>
      <c r="B66" s="151" t="s">
        <v>734</v>
      </c>
      <c r="C66" s="143" t="s">
        <v>1424</v>
      </c>
      <c r="D66" s="143" t="s">
        <v>1425</v>
      </c>
      <c r="E66" s="75" t="s">
        <v>68</v>
      </c>
      <c r="F66" s="117" t="s">
        <v>27</v>
      </c>
      <c r="G66" s="59"/>
      <c r="H66" s="9"/>
    </row>
    <row r="67">
      <c r="A67" s="65">
        <v>59.0</v>
      </c>
      <c r="B67" s="151" t="s">
        <v>734</v>
      </c>
      <c r="C67" s="143" t="s">
        <v>422</v>
      </c>
      <c r="D67" s="143" t="s">
        <v>423</v>
      </c>
      <c r="E67" s="75" t="s">
        <v>68</v>
      </c>
      <c r="F67" s="117" t="s">
        <v>27</v>
      </c>
      <c r="G67" s="59"/>
      <c r="H67" s="9"/>
    </row>
    <row r="68">
      <c r="A68" s="65">
        <v>60.0</v>
      </c>
      <c r="B68" s="151" t="s">
        <v>734</v>
      </c>
      <c r="C68" s="143" t="s">
        <v>1426</v>
      </c>
      <c r="D68" s="143" t="s">
        <v>1427</v>
      </c>
      <c r="E68" s="75" t="s">
        <v>68</v>
      </c>
      <c r="F68" s="117" t="s">
        <v>27</v>
      </c>
      <c r="G68" s="59"/>
      <c r="H68" s="9"/>
    </row>
    <row r="69">
      <c r="A69" s="65">
        <v>61.0</v>
      </c>
      <c r="B69" s="151" t="s">
        <v>734</v>
      </c>
      <c r="C69" s="143" t="s">
        <v>769</v>
      </c>
      <c r="D69" s="143" t="s">
        <v>770</v>
      </c>
      <c r="E69" s="75" t="s">
        <v>68</v>
      </c>
      <c r="F69" s="117" t="s">
        <v>27</v>
      </c>
      <c r="G69" s="59"/>
      <c r="H69" s="9"/>
    </row>
    <row r="70">
      <c r="A70" s="65">
        <v>62.0</v>
      </c>
      <c r="B70" s="151" t="s">
        <v>734</v>
      </c>
      <c r="C70" s="143" t="s">
        <v>146</v>
      </c>
      <c r="D70" s="143" t="s">
        <v>147</v>
      </c>
      <c r="E70" s="75" t="s">
        <v>68</v>
      </c>
      <c r="F70" s="117" t="s">
        <v>27</v>
      </c>
      <c r="G70" s="59"/>
      <c r="H70" s="9"/>
    </row>
    <row r="71">
      <c r="A71" s="65">
        <v>63.0</v>
      </c>
      <c r="B71" s="151" t="s">
        <v>734</v>
      </c>
      <c r="C71" s="143" t="s">
        <v>263</v>
      </c>
      <c r="D71" s="143" t="s">
        <v>264</v>
      </c>
      <c r="E71" s="75" t="s">
        <v>68</v>
      </c>
      <c r="F71" s="117" t="s">
        <v>27</v>
      </c>
      <c r="G71" s="59"/>
      <c r="H71" s="9"/>
    </row>
    <row r="72">
      <c r="A72" s="65">
        <v>64.0</v>
      </c>
      <c r="B72" s="151" t="s">
        <v>734</v>
      </c>
      <c r="C72" s="143" t="s">
        <v>1428</v>
      </c>
      <c r="D72" s="143" t="s">
        <v>1429</v>
      </c>
      <c r="E72" s="75" t="s">
        <v>68</v>
      </c>
      <c r="F72" s="117" t="s">
        <v>27</v>
      </c>
      <c r="G72" s="59"/>
      <c r="H72" s="9"/>
    </row>
    <row r="73">
      <c r="A73" s="65">
        <v>65.0</v>
      </c>
      <c r="B73" s="151" t="s">
        <v>734</v>
      </c>
      <c r="C73" s="143" t="s">
        <v>720</v>
      </c>
      <c r="D73" s="143" t="s">
        <v>721</v>
      </c>
      <c r="E73" s="75" t="s">
        <v>68</v>
      </c>
      <c r="F73" s="117" t="s">
        <v>27</v>
      </c>
      <c r="G73" s="59"/>
      <c r="H73" s="9"/>
    </row>
    <row r="74">
      <c r="A74" s="65">
        <v>66.0</v>
      </c>
      <c r="B74" s="151" t="s">
        <v>734</v>
      </c>
      <c r="C74" s="143" t="s">
        <v>1430</v>
      </c>
      <c r="D74" s="143" t="s">
        <v>1431</v>
      </c>
      <c r="E74" s="75" t="s">
        <v>68</v>
      </c>
      <c r="F74" s="117" t="s">
        <v>27</v>
      </c>
      <c r="G74" s="59"/>
      <c r="H74" s="9"/>
    </row>
    <row r="75">
      <c r="A75" s="65">
        <v>67.0</v>
      </c>
      <c r="B75" s="151" t="s">
        <v>734</v>
      </c>
      <c r="C75" s="143" t="s">
        <v>1432</v>
      </c>
      <c r="D75" s="143" t="s">
        <v>1433</v>
      </c>
      <c r="E75" s="75" t="s">
        <v>68</v>
      </c>
      <c r="F75" s="117" t="s">
        <v>27</v>
      </c>
      <c r="G75" s="59"/>
      <c r="H75" s="9"/>
    </row>
    <row r="76">
      <c r="A76" s="65">
        <v>68.0</v>
      </c>
      <c r="B76" s="151" t="s">
        <v>734</v>
      </c>
      <c r="C76" s="143" t="s">
        <v>316</v>
      </c>
      <c r="D76" s="143" t="s">
        <v>317</v>
      </c>
      <c r="E76" s="75" t="s">
        <v>68</v>
      </c>
      <c r="F76" s="117" t="s">
        <v>27</v>
      </c>
      <c r="G76" s="59"/>
      <c r="H76" s="9"/>
    </row>
    <row r="77">
      <c r="A77" s="65">
        <v>69.0</v>
      </c>
      <c r="B77" s="151" t="s">
        <v>734</v>
      </c>
      <c r="C77" s="143" t="s">
        <v>328</v>
      </c>
      <c r="D77" s="143" t="s">
        <v>329</v>
      </c>
      <c r="E77" s="75" t="s">
        <v>68</v>
      </c>
      <c r="F77" s="117" t="s">
        <v>27</v>
      </c>
      <c r="G77" s="59"/>
      <c r="H77" s="9"/>
    </row>
    <row r="78">
      <c r="A78" s="65">
        <v>70.0</v>
      </c>
      <c r="B78" s="151" t="s">
        <v>734</v>
      </c>
      <c r="C78" s="143" t="s">
        <v>203</v>
      </c>
      <c r="D78" s="143" t="s">
        <v>204</v>
      </c>
      <c r="E78" s="75" t="s">
        <v>68</v>
      </c>
      <c r="F78" s="117" t="s">
        <v>27</v>
      </c>
      <c r="G78" s="59"/>
      <c r="H78" s="9"/>
    </row>
    <row r="79">
      <c r="A79" s="65">
        <v>71.0</v>
      </c>
      <c r="B79" s="151" t="s">
        <v>734</v>
      </c>
      <c r="C79" s="143" t="s">
        <v>358</v>
      </c>
      <c r="D79" s="143" t="s">
        <v>359</v>
      </c>
      <c r="E79" s="75" t="s">
        <v>68</v>
      </c>
      <c r="F79" s="117" t="s">
        <v>27</v>
      </c>
      <c r="G79" s="59"/>
      <c r="H79" s="9"/>
    </row>
    <row r="80">
      <c r="A80" s="65">
        <v>72.0</v>
      </c>
      <c r="B80" s="151" t="s">
        <v>734</v>
      </c>
      <c r="C80" s="143" t="s">
        <v>1434</v>
      </c>
      <c r="D80" s="143" t="s">
        <v>1435</v>
      </c>
      <c r="E80" s="75" t="s">
        <v>68</v>
      </c>
      <c r="F80" s="117" t="s">
        <v>27</v>
      </c>
      <c r="G80" s="59"/>
      <c r="H80" s="9"/>
    </row>
    <row r="81">
      <c r="A81" s="65">
        <v>73.0</v>
      </c>
      <c r="B81" s="151" t="s">
        <v>734</v>
      </c>
      <c r="C81" s="143" t="s">
        <v>1436</v>
      </c>
      <c r="D81" s="143" t="s">
        <v>1437</v>
      </c>
      <c r="E81" s="75" t="s">
        <v>68</v>
      </c>
      <c r="F81" s="117" t="s">
        <v>27</v>
      </c>
      <c r="G81" s="59"/>
      <c r="H81" s="9"/>
    </row>
    <row r="82">
      <c r="A82" s="65">
        <v>74.0</v>
      </c>
      <c r="B82" s="151" t="s">
        <v>734</v>
      </c>
      <c r="C82" s="143" t="s">
        <v>294</v>
      </c>
      <c r="D82" s="143" t="s">
        <v>295</v>
      </c>
      <c r="E82" s="75" t="s">
        <v>68</v>
      </c>
      <c r="F82" s="117" t="s">
        <v>27</v>
      </c>
      <c r="G82" s="59"/>
      <c r="H82" s="9"/>
    </row>
    <row r="83">
      <c r="A83" s="65">
        <v>75.0</v>
      </c>
      <c r="B83" s="151" t="s">
        <v>734</v>
      </c>
      <c r="C83" s="143" t="s">
        <v>508</v>
      </c>
      <c r="D83" s="143" t="s">
        <v>509</v>
      </c>
      <c r="E83" s="75" t="s">
        <v>68</v>
      </c>
      <c r="F83" s="117" t="s">
        <v>27</v>
      </c>
      <c r="G83" s="59"/>
      <c r="H83" s="9"/>
    </row>
    <row r="84">
      <c r="A84" s="65">
        <v>76.0</v>
      </c>
      <c r="B84" s="151" t="s">
        <v>734</v>
      </c>
      <c r="C84" s="143" t="s">
        <v>1438</v>
      </c>
      <c r="D84" s="143" t="s">
        <v>1439</v>
      </c>
      <c r="E84" s="75" t="s">
        <v>68</v>
      </c>
      <c r="F84" s="117" t="s">
        <v>27</v>
      </c>
      <c r="G84" s="59"/>
      <c r="H84" s="9"/>
    </row>
    <row r="85">
      <c r="A85" s="65">
        <v>77.0</v>
      </c>
      <c r="B85" s="151" t="s">
        <v>734</v>
      </c>
      <c r="C85" s="143" t="s">
        <v>382</v>
      </c>
      <c r="D85" s="143" t="s">
        <v>383</v>
      </c>
      <c r="E85" s="75" t="s">
        <v>68</v>
      </c>
      <c r="F85" s="117" t="s">
        <v>27</v>
      </c>
      <c r="G85" s="59"/>
      <c r="H85" s="9"/>
    </row>
    <row r="86">
      <c r="A86" s="65">
        <v>78.0</v>
      </c>
      <c r="B86" s="151" t="s">
        <v>734</v>
      </c>
      <c r="C86" s="143" t="s">
        <v>183</v>
      </c>
      <c r="D86" s="143" t="s">
        <v>184</v>
      </c>
      <c r="E86" s="75" t="s">
        <v>68</v>
      </c>
      <c r="F86" s="117" t="s">
        <v>27</v>
      </c>
      <c r="G86" s="59"/>
      <c r="H86" s="9"/>
    </row>
    <row r="87">
      <c r="A87" s="65">
        <v>79.0</v>
      </c>
      <c r="B87" s="151" t="s">
        <v>734</v>
      </c>
      <c r="C87" s="143" t="s">
        <v>1440</v>
      </c>
      <c r="D87" s="143" t="s">
        <v>1441</v>
      </c>
      <c r="E87" s="75" t="s">
        <v>68</v>
      </c>
      <c r="F87" s="117" t="s">
        <v>27</v>
      </c>
      <c r="G87" s="59"/>
      <c r="H87" s="9"/>
    </row>
    <row r="88">
      <c r="A88" s="65">
        <v>80.0</v>
      </c>
      <c r="B88" s="151" t="s">
        <v>734</v>
      </c>
      <c r="C88" s="143" t="s">
        <v>1442</v>
      </c>
      <c r="D88" s="143" t="s">
        <v>1443</v>
      </c>
      <c r="E88" s="75" t="s">
        <v>68</v>
      </c>
      <c r="F88" s="117" t="s">
        <v>27</v>
      </c>
      <c r="G88" s="59"/>
      <c r="H88" s="9"/>
    </row>
    <row r="89">
      <c r="A89" s="65">
        <v>81.0</v>
      </c>
      <c r="B89" s="151" t="s">
        <v>734</v>
      </c>
      <c r="C89" s="143" t="s">
        <v>1444</v>
      </c>
      <c r="D89" s="143" t="s">
        <v>1445</v>
      </c>
      <c r="E89" s="75" t="s">
        <v>68</v>
      </c>
      <c r="F89" s="117" t="s">
        <v>27</v>
      </c>
      <c r="G89" s="59"/>
      <c r="H89" s="9"/>
    </row>
    <row r="90">
      <c r="A90" s="65">
        <v>82.0</v>
      </c>
      <c r="B90" s="151" t="s">
        <v>734</v>
      </c>
      <c r="C90" s="143" t="s">
        <v>492</v>
      </c>
      <c r="D90" s="143" t="s">
        <v>493</v>
      </c>
      <c r="E90" s="75" t="s">
        <v>68</v>
      </c>
      <c r="F90" s="117" t="s">
        <v>27</v>
      </c>
      <c r="G90" s="59"/>
      <c r="H90" s="9"/>
    </row>
    <row r="91">
      <c r="A91" s="65">
        <v>83.0</v>
      </c>
      <c r="B91" s="151" t="s">
        <v>734</v>
      </c>
      <c r="C91" s="143" t="s">
        <v>1288</v>
      </c>
      <c r="D91" s="143" t="s">
        <v>1289</v>
      </c>
      <c r="E91" s="75" t="s">
        <v>68</v>
      </c>
      <c r="F91" s="117" t="s">
        <v>27</v>
      </c>
      <c r="G91" s="59"/>
      <c r="H91" s="9"/>
    </row>
    <row r="92">
      <c r="A92" s="65">
        <v>84.0</v>
      </c>
      <c r="B92" s="151" t="s">
        <v>734</v>
      </c>
      <c r="C92" s="143" t="s">
        <v>1446</v>
      </c>
      <c r="D92" s="143" t="s">
        <v>1447</v>
      </c>
      <c r="E92" s="75" t="s">
        <v>68</v>
      </c>
      <c r="F92" s="117" t="s">
        <v>27</v>
      </c>
      <c r="G92" s="59"/>
      <c r="H92" s="9"/>
    </row>
    <row r="93">
      <c r="A93" s="65">
        <v>85.0</v>
      </c>
      <c r="B93" s="151" t="s">
        <v>734</v>
      </c>
      <c r="C93" s="143" t="s">
        <v>404</v>
      </c>
      <c r="D93" s="143" t="s">
        <v>405</v>
      </c>
      <c r="E93" s="75" t="s">
        <v>68</v>
      </c>
      <c r="F93" s="117" t="s">
        <v>27</v>
      </c>
      <c r="G93" s="59"/>
      <c r="H93" s="9"/>
    </row>
    <row r="94">
      <c r="A94" s="65">
        <v>86.0</v>
      </c>
      <c r="B94" s="151" t="s">
        <v>734</v>
      </c>
      <c r="C94" s="143" t="s">
        <v>541</v>
      </c>
      <c r="D94" s="143" t="s">
        <v>542</v>
      </c>
      <c r="E94" s="75" t="s">
        <v>68</v>
      </c>
      <c r="F94" s="117" t="s">
        <v>27</v>
      </c>
      <c r="G94" s="59"/>
      <c r="H94" s="9"/>
    </row>
    <row r="95">
      <c r="A95" s="65">
        <v>87.0</v>
      </c>
      <c r="B95" s="151" t="s">
        <v>734</v>
      </c>
      <c r="C95" s="143" t="s">
        <v>1448</v>
      </c>
      <c r="D95" s="143" t="s">
        <v>1449</v>
      </c>
      <c r="E95" s="75" t="s">
        <v>68</v>
      </c>
      <c r="F95" s="117" t="s">
        <v>27</v>
      </c>
      <c r="G95" s="59"/>
      <c r="H95" s="9"/>
    </row>
    <row r="96">
      <c r="A96" s="65">
        <v>88.0</v>
      </c>
      <c r="B96" s="151" t="s">
        <v>734</v>
      </c>
      <c r="C96" s="143" t="s">
        <v>179</v>
      </c>
      <c r="D96" s="143" t="s">
        <v>180</v>
      </c>
      <c r="E96" s="75" t="s">
        <v>68</v>
      </c>
      <c r="F96" s="117" t="s">
        <v>27</v>
      </c>
      <c r="G96" s="59"/>
      <c r="H96" s="9"/>
    </row>
    <row r="97">
      <c r="A97" s="65">
        <v>89.0</v>
      </c>
      <c r="B97" s="151" t="s">
        <v>734</v>
      </c>
      <c r="C97" s="143" t="s">
        <v>197</v>
      </c>
      <c r="D97" s="143" t="s">
        <v>198</v>
      </c>
      <c r="E97" s="75" t="s">
        <v>68</v>
      </c>
      <c r="F97" s="117" t="s">
        <v>27</v>
      </c>
      <c r="G97" s="59"/>
      <c r="H97" s="9"/>
    </row>
    <row r="98">
      <c r="A98" s="65">
        <v>90.0</v>
      </c>
      <c r="B98" s="151" t="s">
        <v>734</v>
      </c>
      <c r="C98" s="143" t="s">
        <v>1450</v>
      </c>
      <c r="D98" s="143" t="s">
        <v>1451</v>
      </c>
      <c r="E98" s="75" t="s">
        <v>68</v>
      </c>
      <c r="F98" s="117" t="s">
        <v>27</v>
      </c>
      <c r="G98" s="59"/>
      <c r="H98" s="9"/>
    </row>
    <row r="99">
      <c r="A99" s="65">
        <v>91.0</v>
      </c>
      <c r="B99" s="151" t="s">
        <v>734</v>
      </c>
      <c r="C99" s="143" t="s">
        <v>1452</v>
      </c>
      <c r="D99" s="143" t="s">
        <v>1453</v>
      </c>
      <c r="E99" s="75" t="s">
        <v>68</v>
      </c>
      <c r="F99" s="117" t="s">
        <v>27</v>
      </c>
      <c r="G99" s="59"/>
      <c r="H99" s="9"/>
    </row>
    <row r="100">
      <c r="A100" s="65">
        <v>92.0</v>
      </c>
      <c r="B100" s="151" t="s">
        <v>734</v>
      </c>
      <c r="C100" s="143" t="s">
        <v>735</v>
      </c>
      <c r="D100" s="143" t="s">
        <v>736</v>
      </c>
      <c r="E100" s="75" t="s">
        <v>68</v>
      </c>
      <c r="F100" s="117" t="s">
        <v>27</v>
      </c>
      <c r="G100" s="59"/>
      <c r="H100" s="9"/>
    </row>
    <row r="101">
      <c r="A101" s="65">
        <v>93.0</v>
      </c>
      <c r="B101" s="151" t="s">
        <v>734</v>
      </c>
      <c r="C101" s="143" t="s">
        <v>1454</v>
      </c>
      <c r="D101" s="143" t="s">
        <v>1455</v>
      </c>
      <c r="E101" s="75" t="s">
        <v>68</v>
      </c>
      <c r="F101" s="117" t="s">
        <v>27</v>
      </c>
      <c r="G101" s="59"/>
      <c r="H101" s="9"/>
    </row>
    <row r="102">
      <c r="A102" s="65">
        <v>94.0</v>
      </c>
      <c r="B102" s="151" t="s">
        <v>734</v>
      </c>
      <c r="C102" s="143" t="s">
        <v>442</v>
      </c>
      <c r="D102" s="143" t="s">
        <v>443</v>
      </c>
      <c r="E102" s="75" t="s">
        <v>68</v>
      </c>
      <c r="F102" s="117" t="s">
        <v>27</v>
      </c>
      <c r="G102" s="59"/>
      <c r="H102" s="9"/>
    </row>
    <row r="103">
      <c r="A103" s="65">
        <v>95.0</v>
      </c>
      <c r="B103" s="151" t="s">
        <v>734</v>
      </c>
      <c r="C103" s="143" t="s">
        <v>1456</v>
      </c>
      <c r="D103" s="143" t="s">
        <v>1457</v>
      </c>
      <c r="E103" s="75" t="s">
        <v>68</v>
      </c>
      <c r="F103" s="117" t="s">
        <v>27</v>
      </c>
      <c r="G103" s="59"/>
      <c r="H103" s="9"/>
    </row>
    <row r="104">
      <c r="A104" s="65">
        <v>96.0</v>
      </c>
      <c r="B104" s="151" t="s">
        <v>734</v>
      </c>
      <c r="C104" s="143" t="s">
        <v>1458</v>
      </c>
      <c r="D104" s="143" t="s">
        <v>1459</v>
      </c>
      <c r="E104" s="75" t="s">
        <v>68</v>
      </c>
      <c r="F104" s="117" t="s">
        <v>27</v>
      </c>
      <c r="G104" s="59"/>
      <c r="H104" s="9"/>
    </row>
    <row r="105">
      <c r="A105" s="65">
        <v>97.0</v>
      </c>
      <c r="B105" s="151" t="s">
        <v>734</v>
      </c>
      <c r="C105" s="143" t="s">
        <v>1460</v>
      </c>
      <c r="D105" s="143" t="s">
        <v>1461</v>
      </c>
      <c r="E105" s="75" t="s">
        <v>68</v>
      </c>
      <c r="F105" s="117" t="s">
        <v>27</v>
      </c>
      <c r="G105" s="59"/>
      <c r="H105" s="9"/>
    </row>
    <row r="106">
      <c r="A106" s="65">
        <v>98.0</v>
      </c>
      <c r="B106" s="151" t="s">
        <v>734</v>
      </c>
      <c r="C106" s="143" t="s">
        <v>1462</v>
      </c>
      <c r="D106" s="143" t="s">
        <v>1463</v>
      </c>
      <c r="E106" s="75" t="s">
        <v>68</v>
      </c>
      <c r="F106" s="117" t="s">
        <v>27</v>
      </c>
      <c r="G106" s="59"/>
      <c r="H106" s="9"/>
    </row>
    <row r="107">
      <c r="A107" s="65">
        <v>99.0</v>
      </c>
      <c r="B107" s="151" t="s">
        <v>734</v>
      </c>
      <c r="C107" s="143" t="s">
        <v>1464</v>
      </c>
      <c r="D107" s="143" t="s">
        <v>1465</v>
      </c>
      <c r="E107" s="75" t="s">
        <v>68</v>
      </c>
      <c r="F107" s="117" t="s">
        <v>27</v>
      </c>
      <c r="G107" s="59"/>
      <c r="H107" s="9"/>
    </row>
    <row r="108">
      <c r="A108" s="65">
        <v>100.0</v>
      </c>
      <c r="B108" s="151" t="s">
        <v>734</v>
      </c>
      <c r="C108" s="143" t="s">
        <v>1466</v>
      </c>
      <c r="D108" s="143" t="s">
        <v>1467</v>
      </c>
      <c r="E108" s="75" t="s">
        <v>68</v>
      </c>
      <c r="F108" s="117" t="s">
        <v>27</v>
      </c>
      <c r="G108" s="59"/>
      <c r="H108" s="9"/>
    </row>
    <row r="109">
      <c r="A109" s="65">
        <v>101.0</v>
      </c>
      <c r="B109" s="151" t="s">
        <v>734</v>
      </c>
      <c r="C109" s="143" t="s">
        <v>1468</v>
      </c>
      <c r="D109" s="143" t="s">
        <v>1469</v>
      </c>
      <c r="E109" s="75" t="s">
        <v>68</v>
      </c>
      <c r="F109" s="117" t="s">
        <v>27</v>
      </c>
      <c r="G109" s="59"/>
      <c r="H109" s="9"/>
    </row>
    <row r="110">
      <c r="A110" s="65">
        <v>102.0</v>
      </c>
      <c r="B110" s="151" t="s">
        <v>734</v>
      </c>
      <c r="C110" s="143" t="s">
        <v>1470</v>
      </c>
      <c r="D110" s="143" t="s">
        <v>1471</v>
      </c>
      <c r="E110" s="75" t="s">
        <v>68</v>
      </c>
      <c r="F110" s="117" t="s">
        <v>27</v>
      </c>
      <c r="G110" s="59"/>
      <c r="H110" s="9"/>
    </row>
    <row r="111">
      <c r="A111" s="65">
        <v>103.0</v>
      </c>
      <c r="B111" s="151" t="s">
        <v>734</v>
      </c>
      <c r="C111" s="143" t="s">
        <v>919</v>
      </c>
      <c r="D111" s="143" t="s">
        <v>920</v>
      </c>
      <c r="E111" s="75" t="s">
        <v>68</v>
      </c>
      <c r="F111" s="117" t="s">
        <v>27</v>
      </c>
      <c r="G111" s="59"/>
      <c r="H111" s="9"/>
    </row>
    <row r="112">
      <c r="A112" s="65">
        <v>104.0</v>
      </c>
      <c r="B112" s="151" t="s">
        <v>734</v>
      </c>
      <c r="C112" s="143" t="s">
        <v>584</v>
      </c>
      <c r="D112" s="143" t="s">
        <v>585</v>
      </c>
      <c r="E112" s="75" t="s">
        <v>68</v>
      </c>
      <c r="F112" s="117" t="s">
        <v>27</v>
      </c>
      <c r="G112" s="59"/>
      <c r="H112" s="9"/>
    </row>
    <row r="113">
      <c r="A113" s="65">
        <v>105.0</v>
      </c>
      <c r="B113" s="151" t="s">
        <v>734</v>
      </c>
      <c r="C113" s="143" t="s">
        <v>1472</v>
      </c>
      <c r="D113" s="143" t="s">
        <v>1473</v>
      </c>
      <c r="E113" s="75" t="s">
        <v>68</v>
      </c>
      <c r="F113" s="117" t="s">
        <v>27</v>
      </c>
      <c r="G113" s="59"/>
      <c r="H113" s="9"/>
    </row>
    <row r="114">
      <c r="A114" s="65">
        <v>106.0</v>
      </c>
      <c r="B114" s="151" t="s">
        <v>734</v>
      </c>
      <c r="C114" s="143" t="s">
        <v>185</v>
      </c>
      <c r="D114" s="143" t="s">
        <v>186</v>
      </c>
      <c r="E114" s="75" t="s">
        <v>68</v>
      </c>
      <c r="F114" s="117" t="s">
        <v>27</v>
      </c>
      <c r="G114" s="59"/>
      <c r="H114" s="9"/>
    </row>
    <row r="115">
      <c r="A115" s="65">
        <v>107.0</v>
      </c>
      <c r="B115" s="151" t="s">
        <v>734</v>
      </c>
      <c r="C115" s="143" t="s">
        <v>1474</v>
      </c>
      <c r="D115" s="143" t="s">
        <v>1475</v>
      </c>
      <c r="E115" s="75" t="s">
        <v>68</v>
      </c>
      <c r="F115" s="117" t="s">
        <v>27</v>
      </c>
      <c r="G115" s="59"/>
      <c r="H115" s="9"/>
    </row>
    <row r="116">
      <c r="A116" s="65">
        <v>108.0</v>
      </c>
      <c r="B116" s="151" t="s">
        <v>734</v>
      </c>
      <c r="C116" s="143" t="s">
        <v>605</v>
      </c>
      <c r="D116" s="143" t="s">
        <v>606</v>
      </c>
      <c r="E116" s="75" t="s">
        <v>68</v>
      </c>
      <c r="F116" s="117" t="s">
        <v>27</v>
      </c>
      <c r="G116" s="59"/>
      <c r="H116" s="9"/>
    </row>
    <row r="117">
      <c r="A117" s="65">
        <v>109.0</v>
      </c>
      <c r="B117" s="151" t="s">
        <v>734</v>
      </c>
      <c r="C117" s="143" t="s">
        <v>344</v>
      </c>
      <c r="D117" s="143" t="s">
        <v>345</v>
      </c>
      <c r="E117" s="75" t="s">
        <v>68</v>
      </c>
      <c r="F117" s="117" t="s">
        <v>27</v>
      </c>
      <c r="G117" s="59"/>
      <c r="H117" s="9"/>
    </row>
    <row r="118">
      <c r="A118" s="65">
        <v>110.0</v>
      </c>
      <c r="B118" s="151" t="s">
        <v>734</v>
      </c>
      <c r="C118" s="143" t="s">
        <v>1476</v>
      </c>
      <c r="D118" s="143" t="s">
        <v>1477</v>
      </c>
      <c r="E118" s="75" t="s">
        <v>68</v>
      </c>
      <c r="F118" s="117" t="s">
        <v>27</v>
      </c>
      <c r="G118" s="59"/>
      <c r="H118" s="9"/>
    </row>
    <row r="119">
      <c r="A119" s="65">
        <v>111.0</v>
      </c>
      <c r="B119" s="151" t="s">
        <v>734</v>
      </c>
      <c r="C119" s="143" t="s">
        <v>1478</v>
      </c>
      <c r="D119" s="143" t="s">
        <v>1479</v>
      </c>
      <c r="E119" s="75" t="s">
        <v>68</v>
      </c>
      <c r="F119" s="117" t="s">
        <v>27</v>
      </c>
      <c r="G119" s="59"/>
      <c r="H119" s="9"/>
    </row>
    <row r="120">
      <c r="A120" s="65">
        <v>112.0</v>
      </c>
      <c r="B120" s="151" t="s">
        <v>734</v>
      </c>
      <c r="C120" s="143" t="s">
        <v>1145</v>
      </c>
      <c r="D120" s="143" t="s">
        <v>1146</v>
      </c>
      <c r="E120" s="75" t="s">
        <v>68</v>
      </c>
      <c r="F120" s="117" t="s">
        <v>27</v>
      </c>
      <c r="G120" s="59"/>
      <c r="H120" s="9"/>
    </row>
    <row r="121">
      <c r="A121" s="65">
        <v>113.0</v>
      </c>
      <c r="B121" s="151" t="s">
        <v>734</v>
      </c>
      <c r="C121" s="143" t="s">
        <v>348</v>
      </c>
      <c r="D121" s="143" t="s">
        <v>349</v>
      </c>
      <c r="E121" s="75" t="s">
        <v>68</v>
      </c>
      <c r="F121" s="117" t="s">
        <v>27</v>
      </c>
      <c r="G121" s="59"/>
      <c r="H121" s="9"/>
    </row>
    <row r="122">
      <c r="A122" s="65">
        <v>114.0</v>
      </c>
      <c r="B122" s="151" t="s">
        <v>734</v>
      </c>
      <c r="C122" s="143" t="s">
        <v>205</v>
      </c>
      <c r="D122" s="143" t="s">
        <v>206</v>
      </c>
      <c r="E122" s="75" t="s">
        <v>68</v>
      </c>
      <c r="F122" s="117" t="s">
        <v>27</v>
      </c>
      <c r="G122" s="59"/>
      <c r="H122" s="9"/>
    </row>
    <row r="123">
      <c r="A123" s="65">
        <v>115.0</v>
      </c>
      <c r="B123" s="151" t="s">
        <v>734</v>
      </c>
      <c r="C123" s="143" t="s">
        <v>1480</v>
      </c>
      <c r="D123" s="143" t="s">
        <v>1481</v>
      </c>
      <c r="E123" s="75" t="s">
        <v>68</v>
      </c>
      <c r="F123" s="117" t="s">
        <v>27</v>
      </c>
      <c r="G123" s="59"/>
      <c r="H123" s="9"/>
    </row>
    <row r="124">
      <c r="A124" s="65">
        <v>116.0</v>
      </c>
      <c r="B124" s="151" t="s">
        <v>734</v>
      </c>
      <c r="C124" s="143" t="s">
        <v>261</v>
      </c>
      <c r="D124" s="143" t="s">
        <v>262</v>
      </c>
      <c r="E124" s="75" t="s">
        <v>68</v>
      </c>
      <c r="F124" s="117" t="s">
        <v>27</v>
      </c>
      <c r="G124" s="59"/>
      <c r="H124" s="9"/>
    </row>
    <row r="125">
      <c r="A125" s="65">
        <v>117.0</v>
      </c>
      <c r="B125" s="151" t="s">
        <v>734</v>
      </c>
      <c r="C125" s="143" t="s">
        <v>1482</v>
      </c>
      <c r="D125" s="143" t="s">
        <v>1483</v>
      </c>
      <c r="E125" s="75" t="s">
        <v>68</v>
      </c>
      <c r="F125" s="117" t="s">
        <v>27</v>
      </c>
      <c r="G125" s="59"/>
      <c r="H125" s="9"/>
    </row>
    <row r="126">
      <c r="A126" s="65">
        <v>118.0</v>
      </c>
      <c r="B126" s="151" t="s">
        <v>734</v>
      </c>
      <c r="C126" s="143" t="s">
        <v>1484</v>
      </c>
      <c r="D126" s="143" t="s">
        <v>1485</v>
      </c>
      <c r="E126" s="75" t="s">
        <v>68</v>
      </c>
      <c r="F126" s="117" t="s">
        <v>27</v>
      </c>
      <c r="G126" s="59"/>
      <c r="H126" s="9"/>
    </row>
    <row r="127">
      <c r="A127" s="65">
        <v>119.0</v>
      </c>
      <c r="B127" s="151" t="s">
        <v>734</v>
      </c>
      <c r="C127" s="143" t="s">
        <v>1486</v>
      </c>
      <c r="D127" s="143" t="s">
        <v>1487</v>
      </c>
      <c r="E127" s="75" t="s">
        <v>68</v>
      </c>
      <c r="F127" s="117" t="s">
        <v>27</v>
      </c>
      <c r="G127" s="59"/>
      <c r="H127" s="9"/>
    </row>
    <row r="128">
      <c r="A128" s="65">
        <v>120.0</v>
      </c>
      <c r="B128" s="151" t="s">
        <v>734</v>
      </c>
      <c r="C128" s="143" t="s">
        <v>726</v>
      </c>
      <c r="D128" s="143" t="s">
        <v>727</v>
      </c>
      <c r="E128" s="75" t="s">
        <v>68</v>
      </c>
      <c r="F128" s="117" t="s">
        <v>27</v>
      </c>
      <c r="G128" s="59"/>
      <c r="H128" s="9"/>
    </row>
    <row r="129">
      <c r="A129" s="65">
        <v>121.0</v>
      </c>
      <c r="B129" s="151" t="s">
        <v>734</v>
      </c>
      <c r="C129" s="143" t="s">
        <v>1488</v>
      </c>
      <c r="D129" s="143" t="s">
        <v>1489</v>
      </c>
      <c r="E129" s="75" t="s">
        <v>68</v>
      </c>
      <c r="F129" s="117" t="s">
        <v>27</v>
      </c>
      <c r="G129" s="59"/>
      <c r="H129" s="9"/>
    </row>
    <row r="130">
      <c r="A130" s="65">
        <v>122.0</v>
      </c>
      <c r="B130" s="151" t="s">
        <v>734</v>
      </c>
      <c r="C130" s="143" t="s">
        <v>1490</v>
      </c>
      <c r="D130" s="143" t="s">
        <v>1491</v>
      </c>
      <c r="E130" s="75" t="s">
        <v>68</v>
      </c>
      <c r="F130" s="117" t="s">
        <v>27</v>
      </c>
      <c r="G130" s="59"/>
      <c r="H130" s="9"/>
    </row>
    <row r="131">
      <c r="A131" s="65">
        <v>123.0</v>
      </c>
      <c r="B131" s="151" t="s">
        <v>734</v>
      </c>
      <c r="C131" s="143" t="s">
        <v>1492</v>
      </c>
      <c r="D131" s="143" t="s">
        <v>1493</v>
      </c>
      <c r="E131" s="75" t="s">
        <v>68</v>
      </c>
      <c r="F131" s="117" t="s">
        <v>27</v>
      </c>
      <c r="G131" s="59"/>
      <c r="H131" s="9"/>
    </row>
    <row r="132">
      <c r="A132" s="65">
        <v>124.0</v>
      </c>
      <c r="B132" s="151" t="s">
        <v>734</v>
      </c>
      <c r="C132" s="143" t="s">
        <v>835</v>
      </c>
      <c r="D132" s="143" t="s">
        <v>836</v>
      </c>
      <c r="E132" s="75" t="s">
        <v>68</v>
      </c>
      <c r="F132" s="117" t="s">
        <v>27</v>
      </c>
      <c r="G132" s="59"/>
      <c r="H132" s="9"/>
    </row>
    <row r="133">
      <c r="A133" s="65">
        <v>125.0</v>
      </c>
      <c r="B133" s="151" t="s">
        <v>734</v>
      </c>
      <c r="C133" s="143" t="s">
        <v>1494</v>
      </c>
      <c r="D133" s="143" t="s">
        <v>1495</v>
      </c>
      <c r="E133" s="75" t="s">
        <v>68</v>
      </c>
      <c r="F133" s="117" t="s">
        <v>27</v>
      </c>
      <c r="G133" s="59"/>
      <c r="H133" s="9"/>
    </row>
    <row r="134">
      <c r="A134" s="65">
        <v>126.0</v>
      </c>
      <c r="B134" s="151" t="s">
        <v>734</v>
      </c>
      <c r="C134" s="143" t="s">
        <v>229</v>
      </c>
      <c r="D134" s="143" t="s">
        <v>230</v>
      </c>
      <c r="E134" s="75" t="s">
        <v>68</v>
      </c>
      <c r="F134" s="117" t="s">
        <v>27</v>
      </c>
      <c r="G134" s="59"/>
      <c r="H134" s="9"/>
    </row>
    <row r="135">
      <c r="A135" s="65">
        <v>127.0</v>
      </c>
      <c r="B135" s="151" t="s">
        <v>734</v>
      </c>
      <c r="C135" s="143" t="s">
        <v>1496</v>
      </c>
      <c r="D135" s="143" t="s">
        <v>1497</v>
      </c>
      <c r="E135" s="75" t="s">
        <v>68</v>
      </c>
      <c r="F135" s="117" t="s">
        <v>27</v>
      </c>
      <c r="G135" s="59"/>
      <c r="H135" s="9"/>
    </row>
    <row r="136">
      <c r="A136" s="65">
        <v>128.0</v>
      </c>
      <c r="B136" s="151" t="s">
        <v>734</v>
      </c>
      <c r="C136" s="143" t="s">
        <v>1498</v>
      </c>
      <c r="D136" s="143" t="s">
        <v>1499</v>
      </c>
      <c r="E136" s="75" t="s">
        <v>68</v>
      </c>
      <c r="F136" s="117" t="s">
        <v>27</v>
      </c>
      <c r="G136" s="59"/>
      <c r="H136" s="9"/>
    </row>
    <row r="137">
      <c r="A137" s="65">
        <v>129.0</v>
      </c>
      <c r="B137" s="151" t="s">
        <v>734</v>
      </c>
      <c r="C137" s="143" t="s">
        <v>759</v>
      </c>
      <c r="D137" s="143" t="s">
        <v>760</v>
      </c>
      <c r="E137" s="75" t="s">
        <v>68</v>
      </c>
      <c r="F137" s="117" t="s">
        <v>27</v>
      </c>
      <c r="G137" s="59"/>
      <c r="H137" s="9"/>
    </row>
    <row r="138">
      <c r="A138" s="65">
        <v>130.0</v>
      </c>
      <c r="B138" s="151" t="s">
        <v>734</v>
      </c>
      <c r="C138" s="143" t="s">
        <v>1500</v>
      </c>
      <c r="D138" s="143" t="s">
        <v>1501</v>
      </c>
      <c r="E138" s="75" t="s">
        <v>68</v>
      </c>
      <c r="F138" s="117" t="s">
        <v>27</v>
      </c>
      <c r="G138" s="59"/>
      <c r="H138" s="9"/>
    </row>
    <row r="139">
      <c r="A139" s="65">
        <v>131.0</v>
      </c>
      <c r="B139" s="151" t="s">
        <v>734</v>
      </c>
      <c r="C139" s="143" t="s">
        <v>330</v>
      </c>
      <c r="D139" s="143" t="s">
        <v>331</v>
      </c>
      <c r="E139" s="75" t="s">
        <v>68</v>
      </c>
      <c r="F139" s="117" t="s">
        <v>27</v>
      </c>
      <c r="G139" s="59"/>
      <c r="H139" s="9"/>
    </row>
    <row r="140">
      <c r="A140" s="65">
        <v>132.0</v>
      </c>
      <c r="B140" s="151" t="s">
        <v>734</v>
      </c>
      <c r="C140" s="143" t="s">
        <v>444</v>
      </c>
      <c r="D140" s="143" t="s">
        <v>445</v>
      </c>
      <c r="E140" s="75" t="s">
        <v>68</v>
      </c>
      <c r="F140" s="117" t="s">
        <v>27</v>
      </c>
      <c r="G140" s="59"/>
      <c r="H140" s="9"/>
    </row>
    <row r="141">
      <c r="A141" s="65">
        <v>133.0</v>
      </c>
      <c r="B141" s="151" t="s">
        <v>734</v>
      </c>
      <c r="C141" s="143" t="s">
        <v>1502</v>
      </c>
      <c r="D141" s="168" t="s">
        <v>198</v>
      </c>
      <c r="E141" s="75" t="s">
        <v>68</v>
      </c>
      <c r="F141" s="117" t="s">
        <v>27</v>
      </c>
      <c r="G141" s="59"/>
      <c r="H141" s="9"/>
    </row>
    <row r="142">
      <c r="A142" s="65">
        <v>134.0</v>
      </c>
      <c r="B142" s="151" t="s">
        <v>734</v>
      </c>
      <c r="C142" s="143" t="s">
        <v>1014</v>
      </c>
      <c r="D142" s="143" t="s">
        <v>1015</v>
      </c>
      <c r="E142" s="75" t="s">
        <v>68</v>
      </c>
      <c r="F142" s="117" t="s">
        <v>27</v>
      </c>
      <c r="G142" s="59"/>
      <c r="H142" s="9"/>
    </row>
    <row r="143">
      <c r="A143" s="65">
        <v>135.0</v>
      </c>
      <c r="B143" s="151" t="s">
        <v>734</v>
      </c>
      <c r="C143" s="143" t="s">
        <v>1345</v>
      </c>
      <c r="D143" s="143" t="s">
        <v>1346</v>
      </c>
      <c r="E143" s="75" t="s">
        <v>68</v>
      </c>
      <c r="F143" s="117" t="s">
        <v>27</v>
      </c>
      <c r="G143" s="59"/>
      <c r="H143" s="9"/>
    </row>
    <row r="144">
      <c r="A144" s="65">
        <v>136.0</v>
      </c>
      <c r="B144" s="151" t="s">
        <v>734</v>
      </c>
      <c r="C144" s="143" t="s">
        <v>1503</v>
      </c>
      <c r="D144" s="143" t="s">
        <v>1504</v>
      </c>
      <c r="E144" s="75" t="s">
        <v>68</v>
      </c>
      <c r="F144" s="117" t="s">
        <v>27</v>
      </c>
      <c r="G144" s="59"/>
      <c r="H144" s="9"/>
    </row>
    <row r="145">
      <c r="A145" s="65">
        <v>137.0</v>
      </c>
      <c r="B145" s="151" t="s">
        <v>734</v>
      </c>
      <c r="C145" s="143" t="s">
        <v>318</v>
      </c>
      <c r="D145" s="143" t="s">
        <v>319</v>
      </c>
      <c r="E145" s="75" t="s">
        <v>68</v>
      </c>
      <c r="F145" s="117" t="s">
        <v>27</v>
      </c>
      <c r="G145" s="59"/>
      <c r="H145" s="9"/>
    </row>
    <row r="146">
      <c r="A146" s="65">
        <v>138.0</v>
      </c>
      <c r="B146" s="151" t="s">
        <v>734</v>
      </c>
      <c r="C146" s="143" t="s">
        <v>1505</v>
      </c>
      <c r="D146" s="143" t="s">
        <v>1506</v>
      </c>
      <c r="E146" s="75" t="s">
        <v>68</v>
      </c>
      <c r="F146" s="117" t="s">
        <v>27</v>
      </c>
      <c r="G146" s="59"/>
      <c r="H146" s="9"/>
    </row>
    <row r="147">
      <c r="A147" s="65">
        <v>139.0</v>
      </c>
      <c r="B147" s="151" t="s">
        <v>734</v>
      </c>
      <c r="C147" s="143" t="s">
        <v>745</v>
      </c>
      <c r="D147" s="143" t="s">
        <v>746</v>
      </c>
      <c r="E147" s="75" t="s">
        <v>68</v>
      </c>
      <c r="F147" s="117" t="s">
        <v>27</v>
      </c>
      <c r="G147" s="59"/>
      <c r="H147" s="9"/>
    </row>
    <row r="148">
      <c r="A148" s="65">
        <v>140.0</v>
      </c>
      <c r="B148" s="151" t="s">
        <v>734</v>
      </c>
      <c r="C148" s="143" t="s">
        <v>300</v>
      </c>
      <c r="D148" s="143" t="s">
        <v>301</v>
      </c>
      <c r="E148" s="75" t="s">
        <v>68</v>
      </c>
      <c r="F148" s="117" t="s">
        <v>27</v>
      </c>
      <c r="G148" s="59"/>
      <c r="H148" s="9"/>
    </row>
    <row r="149">
      <c r="A149" s="65">
        <v>141.0</v>
      </c>
      <c r="B149" s="151" t="s">
        <v>734</v>
      </c>
      <c r="C149" s="143" t="s">
        <v>1507</v>
      </c>
      <c r="D149" s="143" t="s">
        <v>463</v>
      </c>
      <c r="E149" s="75" t="s">
        <v>68</v>
      </c>
      <c r="F149" s="117" t="s">
        <v>27</v>
      </c>
      <c r="G149" s="59"/>
      <c r="H149" s="9"/>
    </row>
    <row r="150">
      <c r="A150" s="65">
        <v>142.0</v>
      </c>
      <c r="B150" s="151" t="s">
        <v>734</v>
      </c>
      <c r="C150" s="143" t="s">
        <v>1508</v>
      </c>
      <c r="D150" s="143" t="s">
        <v>1509</v>
      </c>
      <c r="E150" s="75" t="s">
        <v>68</v>
      </c>
      <c r="F150" s="117" t="s">
        <v>27</v>
      </c>
      <c r="G150" s="59"/>
      <c r="H150" s="9"/>
    </row>
    <row r="151">
      <c r="A151" s="65">
        <v>143.0</v>
      </c>
      <c r="B151" s="151" t="s">
        <v>734</v>
      </c>
      <c r="C151" s="143" t="s">
        <v>1510</v>
      </c>
      <c r="D151" s="143" t="s">
        <v>1511</v>
      </c>
      <c r="E151" s="75" t="s">
        <v>68</v>
      </c>
      <c r="F151" s="117" t="s">
        <v>27</v>
      </c>
      <c r="G151" s="59"/>
      <c r="H151" s="9"/>
    </row>
    <row r="152">
      <c r="A152" s="65">
        <v>144.0</v>
      </c>
      <c r="B152" s="151" t="s">
        <v>734</v>
      </c>
      <c r="C152" s="143" t="s">
        <v>682</v>
      </c>
      <c r="D152" s="143" t="s">
        <v>683</v>
      </c>
      <c r="E152" s="75" t="s">
        <v>68</v>
      </c>
      <c r="F152" s="117" t="s">
        <v>27</v>
      </c>
      <c r="G152" s="59"/>
      <c r="H152" s="9"/>
    </row>
    <row r="153">
      <c r="A153" s="65">
        <v>145.0</v>
      </c>
      <c r="B153" s="151" t="s">
        <v>734</v>
      </c>
      <c r="C153" s="143" t="s">
        <v>1512</v>
      </c>
      <c r="D153" s="143" t="s">
        <v>1513</v>
      </c>
      <c r="E153" s="75" t="s">
        <v>68</v>
      </c>
      <c r="F153" s="117" t="s">
        <v>27</v>
      </c>
      <c r="G153" s="59"/>
      <c r="H153" s="9"/>
    </row>
    <row r="154">
      <c r="A154" s="65">
        <v>146.0</v>
      </c>
      <c r="B154" s="151" t="s">
        <v>734</v>
      </c>
      <c r="C154" s="143" t="s">
        <v>1514</v>
      </c>
      <c r="D154" s="143" t="s">
        <v>1515</v>
      </c>
      <c r="E154" s="75" t="s">
        <v>68</v>
      </c>
      <c r="F154" s="117" t="s">
        <v>27</v>
      </c>
      <c r="G154" s="59"/>
      <c r="H154" s="9"/>
    </row>
    <row r="155">
      <c r="A155" s="65">
        <v>147.0</v>
      </c>
      <c r="B155" s="151" t="s">
        <v>734</v>
      </c>
      <c r="C155" s="143" t="s">
        <v>1516</v>
      </c>
      <c r="D155" s="143" t="s">
        <v>1517</v>
      </c>
      <c r="E155" s="75" t="s">
        <v>68</v>
      </c>
      <c r="F155" s="117" t="s">
        <v>27</v>
      </c>
      <c r="G155" s="59"/>
      <c r="H155" s="9"/>
    </row>
    <row r="156">
      <c r="A156" s="65">
        <v>148.0</v>
      </c>
      <c r="B156" s="151" t="s">
        <v>734</v>
      </c>
      <c r="C156" s="143" t="s">
        <v>1518</v>
      </c>
      <c r="D156" s="143" t="s">
        <v>1519</v>
      </c>
      <c r="E156" s="75" t="s">
        <v>68</v>
      </c>
      <c r="F156" s="117" t="s">
        <v>27</v>
      </c>
      <c r="G156" s="59"/>
      <c r="H156" s="9"/>
    </row>
    <row r="157">
      <c r="A157" s="65">
        <v>149.0</v>
      </c>
      <c r="B157" s="151" t="s">
        <v>734</v>
      </c>
      <c r="C157" s="143" t="s">
        <v>1520</v>
      </c>
      <c r="D157" s="143" t="s">
        <v>1521</v>
      </c>
      <c r="E157" s="75" t="s">
        <v>68</v>
      </c>
      <c r="F157" s="117" t="s">
        <v>27</v>
      </c>
      <c r="G157" s="59"/>
      <c r="H157" s="9"/>
    </row>
    <row r="158">
      <c r="A158" s="65">
        <v>150.0</v>
      </c>
      <c r="B158" s="151" t="s">
        <v>734</v>
      </c>
      <c r="C158" s="143" t="s">
        <v>1330</v>
      </c>
      <c r="D158" s="143" t="s">
        <v>1331</v>
      </c>
      <c r="E158" s="75" t="s">
        <v>68</v>
      </c>
      <c r="F158" s="117" t="s">
        <v>27</v>
      </c>
      <c r="G158" s="59"/>
      <c r="H158" s="9"/>
    </row>
    <row r="159">
      <c r="A159" s="65">
        <v>151.0</v>
      </c>
      <c r="B159" s="151" t="s">
        <v>734</v>
      </c>
      <c r="C159" s="143" t="s">
        <v>823</v>
      </c>
      <c r="D159" s="143" t="s">
        <v>824</v>
      </c>
      <c r="E159" s="75" t="s">
        <v>68</v>
      </c>
      <c r="F159" s="117" t="s">
        <v>27</v>
      </c>
      <c r="G159" s="59"/>
      <c r="H159" s="9"/>
    </row>
    <row r="160">
      <c r="A160" s="65">
        <v>152.0</v>
      </c>
      <c r="B160" s="151" t="s">
        <v>734</v>
      </c>
      <c r="C160" s="143" t="s">
        <v>913</v>
      </c>
      <c r="D160" s="143" t="s">
        <v>914</v>
      </c>
      <c r="E160" s="75" t="s">
        <v>68</v>
      </c>
      <c r="F160" s="117" t="s">
        <v>27</v>
      </c>
      <c r="G160" s="59"/>
      <c r="H160" s="9"/>
    </row>
    <row r="161">
      <c r="A161" s="65">
        <v>153.0</v>
      </c>
      <c r="B161" s="151" t="s">
        <v>734</v>
      </c>
      <c r="C161" s="143" t="s">
        <v>1522</v>
      </c>
      <c r="D161" s="143" t="s">
        <v>1523</v>
      </c>
      <c r="E161" s="75" t="s">
        <v>68</v>
      </c>
      <c r="F161" s="117" t="s">
        <v>27</v>
      </c>
      <c r="G161" s="59"/>
      <c r="H161" s="9"/>
    </row>
    <row r="162">
      <c r="A162" s="65">
        <v>154.0</v>
      </c>
      <c r="B162" s="151" t="s">
        <v>734</v>
      </c>
      <c r="C162" s="143" t="s">
        <v>935</v>
      </c>
      <c r="D162" s="143" t="s">
        <v>936</v>
      </c>
      <c r="E162" s="75" t="s">
        <v>68</v>
      </c>
      <c r="F162" s="117" t="s">
        <v>27</v>
      </c>
      <c r="G162" s="59"/>
      <c r="H162" s="9"/>
    </row>
    <row r="163">
      <c r="A163" s="65">
        <v>155.0</v>
      </c>
      <c r="B163" s="151" t="s">
        <v>734</v>
      </c>
      <c r="C163" s="143" t="s">
        <v>1524</v>
      </c>
      <c r="D163" s="143" t="s">
        <v>1525</v>
      </c>
      <c r="E163" s="75" t="s">
        <v>68</v>
      </c>
      <c r="F163" s="117" t="s">
        <v>27</v>
      </c>
      <c r="G163" s="59"/>
      <c r="H163" s="9"/>
    </row>
    <row r="164">
      <c r="A164" s="65">
        <v>156.0</v>
      </c>
      <c r="B164" s="151" t="s">
        <v>734</v>
      </c>
      <c r="C164" s="143" t="s">
        <v>1526</v>
      </c>
      <c r="D164" s="143" t="s">
        <v>1527</v>
      </c>
      <c r="E164" s="75" t="s">
        <v>68</v>
      </c>
      <c r="F164" s="117" t="s">
        <v>27</v>
      </c>
      <c r="G164" s="59"/>
      <c r="H164" s="9"/>
    </row>
    <row r="165">
      <c r="A165" s="65">
        <v>157.0</v>
      </c>
      <c r="B165" s="151" t="s">
        <v>734</v>
      </c>
      <c r="C165" s="143" t="s">
        <v>698</v>
      </c>
      <c r="D165" s="143" t="s">
        <v>699</v>
      </c>
      <c r="E165" s="75" t="s">
        <v>68</v>
      </c>
      <c r="F165" s="117" t="s">
        <v>27</v>
      </c>
      <c r="G165" s="59"/>
      <c r="H165" s="9"/>
    </row>
    <row r="166">
      <c r="A166" s="65">
        <v>158.0</v>
      </c>
      <c r="B166" s="151" t="s">
        <v>734</v>
      </c>
      <c r="C166" s="143" t="s">
        <v>1528</v>
      </c>
      <c r="D166" s="143" t="s">
        <v>1529</v>
      </c>
      <c r="E166" s="75" t="s">
        <v>68</v>
      </c>
      <c r="F166" s="117" t="s">
        <v>27</v>
      </c>
      <c r="G166" s="59"/>
      <c r="H166" s="9"/>
    </row>
    <row r="167">
      <c r="A167" s="65">
        <v>159.0</v>
      </c>
      <c r="B167" s="151" t="s">
        <v>734</v>
      </c>
      <c r="C167" s="143" t="s">
        <v>428</v>
      </c>
      <c r="D167" s="143" t="s">
        <v>429</v>
      </c>
      <c r="E167" s="75" t="s">
        <v>68</v>
      </c>
      <c r="F167" s="117" t="s">
        <v>27</v>
      </c>
      <c r="G167" s="59"/>
      <c r="H167" s="9"/>
    </row>
    <row r="168">
      <c r="A168" s="65">
        <v>160.0</v>
      </c>
      <c r="B168" s="151" t="s">
        <v>734</v>
      </c>
      <c r="C168" s="143" t="s">
        <v>1530</v>
      </c>
      <c r="D168" s="143" t="s">
        <v>1531</v>
      </c>
      <c r="E168" s="75" t="s">
        <v>68</v>
      </c>
      <c r="F168" s="117" t="s">
        <v>27</v>
      </c>
      <c r="G168" s="59"/>
      <c r="H168" s="9"/>
    </row>
    <row r="169">
      <c r="A169" s="65">
        <v>161.0</v>
      </c>
      <c r="B169" s="151" t="s">
        <v>734</v>
      </c>
      <c r="C169" s="143" t="s">
        <v>1532</v>
      </c>
      <c r="D169" s="143" t="s">
        <v>1533</v>
      </c>
      <c r="E169" s="75" t="s">
        <v>68</v>
      </c>
      <c r="F169" s="117" t="s">
        <v>27</v>
      </c>
      <c r="G169" s="59"/>
      <c r="H169" s="9"/>
    </row>
    <row r="170">
      <c r="A170" s="65">
        <v>162.0</v>
      </c>
      <c r="B170" s="151" t="s">
        <v>734</v>
      </c>
      <c r="C170" s="143" t="s">
        <v>1534</v>
      </c>
      <c r="D170" s="143" t="s">
        <v>1535</v>
      </c>
      <c r="E170" s="75" t="s">
        <v>68</v>
      </c>
      <c r="F170" s="117" t="s">
        <v>27</v>
      </c>
      <c r="G170" s="59"/>
      <c r="H170" s="9"/>
    </row>
    <row r="171">
      <c r="A171" s="65">
        <v>163.0</v>
      </c>
      <c r="B171" s="151" t="s">
        <v>734</v>
      </c>
      <c r="C171" s="143" t="s">
        <v>1536</v>
      </c>
      <c r="D171" s="143" t="s">
        <v>1537</v>
      </c>
      <c r="E171" s="75" t="s">
        <v>68</v>
      </c>
      <c r="F171" s="117" t="s">
        <v>27</v>
      </c>
      <c r="G171" s="59"/>
      <c r="H171" s="9"/>
    </row>
    <row r="172">
      <c r="A172" s="65">
        <v>164.0</v>
      </c>
      <c r="B172" s="151" t="s">
        <v>734</v>
      </c>
      <c r="C172" s="143" t="s">
        <v>1538</v>
      </c>
      <c r="D172" s="143" t="s">
        <v>1539</v>
      </c>
      <c r="E172" s="75" t="s">
        <v>68</v>
      </c>
      <c r="F172" s="117" t="s">
        <v>27</v>
      </c>
      <c r="G172" s="59"/>
      <c r="H172" s="9"/>
    </row>
    <row r="173">
      <c r="A173" s="65">
        <v>165.0</v>
      </c>
      <c r="B173" s="151" t="s">
        <v>734</v>
      </c>
      <c r="C173" s="143" t="s">
        <v>1171</v>
      </c>
      <c r="D173" s="143" t="s">
        <v>1172</v>
      </c>
      <c r="E173" s="75" t="s">
        <v>68</v>
      </c>
      <c r="F173" s="117" t="s">
        <v>27</v>
      </c>
      <c r="G173" s="59"/>
      <c r="H173" s="9"/>
    </row>
    <row r="174">
      <c r="A174" s="65">
        <v>166.0</v>
      </c>
      <c r="B174" s="151" t="s">
        <v>734</v>
      </c>
      <c r="C174" s="143" t="s">
        <v>1540</v>
      </c>
      <c r="D174" s="143" t="s">
        <v>1541</v>
      </c>
      <c r="E174" s="75" t="s">
        <v>68</v>
      </c>
      <c r="F174" s="117" t="s">
        <v>27</v>
      </c>
      <c r="G174" s="59"/>
      <c r="H174" s="9"/>
    </row>
    <row r="175">
      <c r="A175" s="65">
        <v>167.0</v>
      </c>
      <c r="B175" s="151" t="s">
        <v>734</v>
      </c>
      <c r="C175" s="143" t="s">
        <v>1542</v>
      </c>
      <c r="D175" s="143" t="s">
        <v>1543</v>
      </c>
      <c r="E175" s="75" t="s">
        <v>68</v>
      </c>
      <c r="F175" s="117" t="s">
        <v>27</v>
      </c>
      <c r="G175" s="59"/>
      <c r="H175" s="9"/>
    </row>
    <row r="176">
      <c r="A176" s="65">
        <v>168.0</v>
      </c>
      <c r="B176" s="151" t="s">
        <v>734</v>
      </c>
      <c r="C176" s="143" t="s">
        <v>1544</v>
      </c>
      <c r="D176" s="143" t="s">
        <v>1545</v>
      </c>
      <c r="E176" s="75" t="s">
        <v>68</v>
      </c>
      <c r="F176" s="117" t="s">
        <v>27</v>
      </c>
      <c r="G176" s="59"/>
      <c r="H176" s="9"/>
    </row>
    <row r="177">
      <c r="A177" s="65">
        <v>169.0</v>
      </c>
      <c r="B177" s="151" t="s">
        <v>734</v>
      </c>
      <c r="C177" s="143" t="s">
        <v>1546</v>
      </c>
      <c r="D177" s="143" t="s">
        <v>1547</v>
      </c>
      <c r="E177" s="75" t="s">
        <v>68</v>
      </c>
      <c r="F177" s="117" t="s">
        <v>27</v>
      </c>
      <c r="G177" s="59"/>
      <c r="H177" s="9"/>
    </row>
    <row r="178">
      <c r="A178" s="65">
        <v>170.0</v>
      </c>
      <c r="B178" s="151" t="s">
        <v>734</v>
      </c>
      <c r="C178" s="143" t="s">
        <v>1548</v>
      </c>
      <c r="D178" s="143" t="s">
        <v>1549</v>
      </c>
      <c r="E178" s="75" t="s">
        <v>68</v>
      </c>
      <c r="F178" s="117" t="s">
        <v>27</v>
      </c>
      <c r="G178" s="59"/>
      <c r="H178" s="9"/>
    </row>
    <row r="179">
      <c r="A179" s="65">
        <v>171.0</v>
      </c>
      <c r="B179" s="151" t="s">
        <v>734</v>
      </c>
      <c r="C179" s="143" t="s">
        <v>488</v>
      </c>
      <c r="D179" s="143" t="s">
        <v>489</v>
      </c>
      <c r="E179" s="75" t="s">
        <v>68</v>
      </c>
      <c r="F179" s="117" t="s">
        <v>27</v>
      </c>
      <c r="G179" s="59"/>
      <c r="H179" s="9"/>
    </row>
    <row r="180">
      <c r="A180" s="65">
        <v>172.0</v>
      </c>
      <c r="B180" s="151" t="s">
        <v>734</v>
      </c>
      <c r="C180" s="143" t="s">
        <v>1093</v>
      </c>
      <c r="D180" s="168" t="s">
        <v>1094</v>
      </c>
      <c r="E180" s="75" t="s">
        <v>68</v>
      </c>
      <c r="F180" s="117" t="s">
        <v>27</v>
      </c>
      <c r="G180" s="59"/>
      <c r="H180" s="9"/>
    </row>
    <row r="181">
      <c r="A181" s="65">
        <v>173.0</v>
      </c>
      <c r="B181" s="151" t="s">
        <v>734</v>
      </c>
      <c r="C181" s="143" t="s">
        <v>929</v>
      </c>
      <c r="D181" s="143" t="s">
        <v>930</v>
      </c>
      <c r="E181" s="75" t="s">
        <v>68</v>
      </c>
      <c r="F181" s="117" t="s">
        <v>27</v>
      </c>
      <c r="G181" s="59"/>
      <c r="H181" s="9"/>
    </row>
    <row r="182">
      <c r="A182" s="65">
        <v>174.0</v>
      </c>
      <c r="B182" s="151" t="s">
        <v>734</v>
      </c>
      <c r="C182" s="143" t="s">
        <v>1550</v>
      </c>
      <c r="D182" s="143" t="s">
        <v>1551</v>
      </c>
      <c r="E182" s="75" t="s">
        <v>68</v>
      </c>
      <c r="F182" s="117" t="s">
        <v>27</v>
      </c>
      <c r="G182" s="59"/>
      <c r="H182" s="9"/>
    </row>
    <row r="183">
      <c r="A183" s="65">
        <v>175.0</v>
      </c>
      <c r="B183" s="151" t="s">
        <v>734</v>
      </c>
      <c r="C183" s="143" t="s">
        <v>1552</v>
      </c>
      <c r="D183" s="143" t="s">
        <v>1553</v>
      </c>
      <c r="E183" s="75" t="s">
        <v>68</v>
      </c>
      <c r="F183" s="117" t="s">
        <v>27</v>
      </c>
      <c r="G183" s="59"/>
      <c r="H183" s="9"/>
    </row>
    <row r="184">
      <c r="A184" s="65">
        <v>176.0</v>
      </c>
      <c r="B184" s="151" t="s">
        <v>734</v>
      </c>
      <c r="C184" s="143" t="s">
        <v>1554</v>
      </c>
      <c r="D184" s="143" t="s">
        <v>1555</v>
      </c>
      <c r="E184" s="75" t="s">
        <v>68</v>
      </c>
      <c r="F184" s="117" t="s">
        <v>27</v>
      </c>
      <c r="G184" s="59"/>
      <c r="H184" s="9"/>
    </row>
    <row r="185">
      <c r="A185" s="65">
        <v>177.0</v>
      </c>
      <c r="B185" s="151" t="s">
        <v>734</v>
      </c>
      <c r="C185" s="143" t="s">
        <v>1556</v>
      </c>
      <c r="D185" s="143" t="s">
        <v>1557</v>
      </c>
      <c r="E185" s="75" t="s">
        <v>68</v>
      </c>
      <c r="F185" s="117" t="s">
        <v>27</v>
      </c>
      <c r="G185" s="59"/>
      <c r="H185" s="9"/>
    </row>
    <row r="186">
      <c r="A186" s="65">
        <v>178.0</v>
      </c>
      <c r="B186" s="151" t="s">
        <v>734</v>
      </c>
      <c r="C186" s="143" t="s">
        <v>144</v>
      </c>
      <c r="D186" s="143" t="s">
        <v>145</v>
      </c>
      <c r="E186" s="75" t="s">
        <v>68</v>
      </c>
      <c r="F186" s="117" t="s">
        <v>27</v>
      </c>
      <c r="G186" s="59"/>
      <c r="H186" s="9"/>
    </row>
    <row r="187">
      <c r="A187" s="65">
        <v>179.0</v>
      </c>
      <c r="B187" s="151" t="s">
        <v>734</v>
      </c>
      <c r="C187" s="143" t="s">
        <v>1558</v>
      </c>
      <c r="D187" s="143" t="s">
        <v>1559</v>
      </c>
      <c r="E187" s="75" t="s">
        <v>68</v>
      </c>
      <c r="F187" s="117" t="s">
        <v>27</v>
      </c>
      <c r="G187" s="59"/>
      <c r="H187" s="9"/>
    </row>
    <row r="188">
      <c r="A188" s="65">
        <v>180.0</v>
      </c>
      <c r="B188" s="151" t="s">
        <v>734</v>
      </c>
      <c r="C188" s="143" t="s">
        <v>1560</v>
      </c>
      <c r="D188" s="143" t="s">
        <v>1561</v>
      </c>
      <c r="E188" s="75" t="s">
        <v>68</v>
      </c>
      <c r="F188" s="117" t="s">
        <v>27</v>
      </c>
      <c r="G188" s="59"/>
      <c r="H188" s="9"/>
    </row>
    <row r="189">
      <c r="A189" s="65">
        <v>181.0</v>
      </c>
      <c r="B189" s="151" t="s">
        <v>734</v>
      </c>
      <c r="C189" s="143" t="s">
        <v>1562</v>
      </c>
      <c r="D189" s="143" t="s">
        <v>1563</v>
      </c>
      <c r="E189" s="75" t="s">
        <v>68</v>
      </c>
      <c r="F189" s="117" t="s">
        <v>27</v>
      </c>
      <c r="G189" s="59"/>
      <c r="H189" s="9"/>
    </row>
    <row r="190">
      <c r="A190" s="65">
        <v>182.0</v>
      </c>
      <c r="B190" s="151" t="s">
        <v>734</v>
      </c>
      <c r="C190" s="143" t="s">
        <v>895</v>
      </c>
      <c r="D190" s="143" t="s">
        <v>896</v>
      </c>
      <c r="E190" s="75" t="s">
        <v>68</v>
      </c>
      <c r="F190" s="117" t="s">
        <v>27</v>
      </c>
      <c r="G190" s="59"/>
      <c r="H190" s="9"/>
    </row>
    <row r="191">
      <c r="A191" s="65">
        <v>183.0</v>
      </c>
      <c r="B191" s="151" t="s">
        <v>734</v>
      </c>
      <c r="C191" s="143" t="s">
        <v>1564</v>
      </c>
      <c r="D191" s="143" t="s">
        <v>1565</v>
      </c>
      <c r="E191" s="75" t="s">
        <v>68</v>
      </c>
      <c r="F191" s="117" t="s">
        <v>27</v>
      </c>
      <c r="G191" s="59"/>
      <c r="H191" s="9"/>
    </row>
    <row r="192">
      <c r="A192" s="65">
        <v>184.0</v>
      </c>
      <c r="B192" s="151" t="s">
        <v>734</v>
      </c>
      <c r="C192" s="143" t="s">
        <v>466</v>
      </c>
      <c r="D192" s="143" t="s">
        <v>467</v>
      </c>
      <c r="E192" s="75" t="s">
        <v>68</v>
      </c>
      <c r="F192" s="117" t="s">
        <v>27</v>
      </c>
      <c r="G192" s="59"/>
      <c r="H192" s="9"/>
    </row>
    <row r="193">
      <c r="A193" s="65">
        <v>185.0</v>
      </c>
      <c r="B193" s="151" t="s">
        <v>734</v>
      </c>
      <c r="C193" s="143" t="s">
        <v>1566</v>
      </c>
      <c r="D193" s="143" t="s">
        <v>1567</v>
      </c>
      <c r="E193" s="75" t="s">
        <v>68</v>
      </c>
      <c r="F193" s="117" t="s">
        <v>27</v>
      </c>
      <c r="G193" s="59"/>
      <c r="H193" s="9"/>
    </row>
    <row r="194">
      <c r="A194" s="65">
        <v>186.0</v>
      </c>
      <c r="B194" s="151" t="s">
        <v>734</v>
      </c>
      <c r="C194" s="143" t="s">
        <v>1568</v>
      </c>
      <c r="D194" s="143" t="s">
        <v>1569</v>
      </c>
      <c r="E194" s="75" t="s">
        <v>68</v>
      </c>
      <c r="F194" s="117" t="s">
        <v>27</v>
      </c>
      <c r="G194" s="59"/>
      <c r="H194" s="9"/>
    </row>
    <row r="195">
      <c r="A195" s="65">
        <v>187.0</v>
      </c>
      <c r="B195" s="151" t="s">
        <v>734</v>
      </c>
      <c r="C195" s="143" t="s">
        <v>1570</v>
      </c>
      <c r="D195" s="143" t="s">
        <v>1571</v>
      </c>
      <c r="E195" s="75" t="s">
        <v>68</v>
      </c>
      <c r="F195" s="117" t="s">
        <v>27</v>
      </c>
      <c r="G195" s="59"/>
      <c r="H195" s="9"/>
    </row>
    <row r="196">
      <c r="A196" s="65">
        <v>188.0</v>
      </c>
      <c r="B196" s="151" t="s">
        <v>734</v>
      </c>
      <c r="C196" s="143" t="s">
        <v>1572</v>
      </c>
      <c r="D196" s="143" t="s">
        <v>1573</v>
      </c>
      <c r="E196" s="75" t="s">
        <v>68</v>
      </c>
      <c r="F196" s="117" t="s">
        <v>27</v>
      </c>
      <c r="G196" s="59"/>
      <c r="H196" s="9"/>
    </row>
    <row r="197">
      <c r="A197" s="65">
        <v>189.0</v>
      </c>
      <c r="B197" s="151" t="s">
        <v>734</v>
      </c>
      <c r="C197" s="143" t="s">
        <v>1574</v>
      </c>
      <c r="D197" s="143" t="s">
        <v>1575</v>
      </c>
      <c r="E197" s="75" t="s">
        <v>68</v>
      </c>
      <c r="F197" s="117" t="s">
        <v>27</v>
      </c>
      <c r="G197" s="59"/>
      <c r="H197" s="9"/>
    </row>
    <row r="198">
      <c r="A198" s="65">
        <v>190.0</v>
      </c>
      <c r="B198" s="151" t="s">
        <v>734</v>
      </c>
      <c r="C198" s="143" t="s">
        <v>1576</v>
      </c>
      <c r="D198" s="143" t="s">
        <v>1577</v>
      </c>
      <c r="E198" s="75" t="s">
        <v>68</v>
      </c>
      <c r="F198" s="117" t="s">
        <v>27</v>
      </c>
      <c r="G198" s="59"/>
      <c r="H198" s="9"/>
    </row>
    <row r="199">
      <c r="A199" s="65">
        <v>191.0</v>
      </c>
      <c r="B199" s="151" t="s">
        <v>734</v>
      </c>
      <c r="C199" s="143" t="s">
        <v>1578</v>
      </c>
      <c r="D199" s="143" t="s">
        <v>1579</v>
      </c>
      <c r="E199" s="75" t="s">
        <v>68</v>
      </c>
      <c r="F199" s="117" t="s">
        <v>27</v>
      </c>
      <c r="G199" s="59"/>
      <c r="H199" s="9"/>
    </row>
    <row r="200">
      <c r="A200" s="65">
        <v>192.0</v>
      </c>
      <c r="B200" s="151" t="s">
        <v>734</v>
      </c>
      <c r="C200" s="143" t="s">
        <v>1580</v>
      </c>
      <c r="D200" s="143" t="s">
        <v>1581</v>
      </c>
      <c r="E200" s="75" t="s">
        <v>68</v>
      </c>
      <c r="F200" s="117" t="s">
        <v>27</v>
      </c>
      <c r="G200" s="59"/>
      <c r="H200" s="9"/>
    </row>
    <row r="201">
      <c r="A201" s="65">
        <v>193.0</v>
      </c>
      <c r="B201" s="151" t="s">
        <v>734</v>
      </c>
      <c r="C201" s="143" t="s">
        <v>1582</v>
      </c>
      <c r="D201" s="143" t="s">
        <v>1583</v>
      </c>
      <c r="E201" s="75" t="s">
        <v>68</v>
      </c>
      <c r="F201" s="117" t="s">
        <v>27</v>
      </c>
      <c r="G201" s="59"/>
      <c r="H201" s="9"/>
    </row>
    <row r="202">
      <c r="A202" s="65">
        <v>194.0</v>
      </c>
      <c r="B202" s="151" t="s">
        <v>734</v>
      </c>
      <c r="C202" s="143" t="s">
        <v>1584</v>
      </c>
      <c r="D202" s="143" t="s">
        <v>1585</v>
      </c>
      <c r="E202" s="75" t="s">
        <v>68</v>
      </c>
      <c r="F202" s="117" t="s">
        <v>27</v>
      </c>
      <c r="G202" s="59"/>
      <c r="H202" s="9"/>
    </row>
    <row r="203">
      <c r="A203" s="65">
        <v>195.0</v>
      </c>
      <c r="B203" s="151" t="s">
        <v>734</v>
      </c>
      <c r="C203" s="143" t="s">
        <v>1002</v>
      </c>
      <c r="D203" s="143" t="s">
        <v>1003</v>
      </c>
      <c r="E203" s="75" t="s">
        <v>68</v>
      </c>
      <c r="F203" s="117" t="s">
        <v>27</v>
      </c>
      <c r="G203" s="59"/>
      <c r="H203" s="9"/>
    </row>
    <row r="204">
      <c r="A204" s="65">
        <v>196.0</v>
      </c>
      <c r="B204" s="151" t="s">
        <v>734</v>
      </c>
      <c r="C204" s="143" t="s">
        <v>292</v>
      </c>
      <c r="D204" s="143" t="s">
        <v>293</v>
      </c>
      <c r="E204" s="75" t="s">
        <v>68</v>
      </c>
      <c r="F204" s="117" t="s">
        <v>27</v>
      </c>
      <c r="G204" s="59"/>
      <c r="H204" s="9"/>
    </row>
    <row r="205">
      <c r="A205" s="65">
        <v>197.0</v>
      </c>
      <c r="B205" s="151" t="s">
        <v>734</v>
      </c>
      <c r="C205" s="143" t="s">
        <v>1586</v>
      </c>
      <c r="D205" s="143" t="s">
        <v>1587</v>
      </c>
      <c r="E205" s="75" t="s">
        <v>68</v>
      </c>
      <c r="F205" s="117" t="s">
        <v>27</v>
      </c>
      <c r="G205" s="59"/>
      <c r="H205" s="9"/>
    </row>
    <row r="206">
      <c r="A206" s="65">
        <v>198.0</v>
      </c>
      <c r="B206" s="151" t="s">
        <v>734</v>
      </c>
      <c r="C206" s="143" t="s">
        <v>966</v>
      </c>
      <c r="D206" s="143" t="s">
        <v>967</v>
      </c>
      <c r="E206" s="75" t="s">
        <v>68</v>
      </c>
      <c r="F206" s="117" t="s">
        <v>27</v>
      </c>
      <c r="G206" s="59"/>
      <c r="H206" s="9"/>
    </row>
    <row r="207">
      <c r="A207" s="65">
        <v>199.0</v>
      </c>
      <c r="B207" s="151" t="s">
        <v>734</v>
      </c>
      <c r="C207" s="143" t="s">
        <v>1278</v>
      </c>
      <c r="D207" s="143" t="s">
        <v>1279</v>
      </c>
      <c r="E207" s="75" t="s">
        <v>68</v>
      </c>
      <c r="F207" s="117" t="s">
        <v>27</v>
      </c>
      <c r="G207" s="59"/>
      <c r="H207" s="9"/>
    </row>
    <row r="208">
      <c r="A208" s="65">
        <v>200.0</v>
      </c>
      <c r="B208" s="151" t="s">
        <v>734</v>
      </c>
      <c r="C208" s="143" t="s">
        <v>650</v>
      </c>
      <c r="D208" s="143" t="s">
        <v>651</v>
      </c>
      <c r="E208" s="75" t="s">
        <v>68</v>
      </c>
      <c r="F208" s="117" t="s">
        <v>27</v>
      </c>
      <c r="G208" s="59"/>
      <c r="H208" s="9"/>
    </row>
    <row r="209">
      <c r="A209" s="65">
        <v>201.0</v>
      </c>
      <c r="B209" s="151" t="s">
        <v>734</v>
      </c>
      <c r="C209" s="143" t="s">
        <v>1588</v>
      </c>
      <c r="D209" s="143" t="s">
        <v>1589</v>
      </c>
      <c r="E209" s="75" t="s">
        <v>68</v>
      </c>
      <c r="F209" s="117" t="s">
        <v>27</v>
      </c>
      <c r="G209" s="59"/>
      <c r="H209" s="9"/>
    </row>
    <row r="210">
      <c r="A210" s="65">
        <v>202.0</v>
      </c>
      <c r="B210" s="151" t="s">
        <v>734</v>
      </c>
      <c r="C210" s="143" t="s">
        <v>464</v>
      </c>
      <c r="D210" s="143" t="s">
        <v>465</v>
      </c>
      <c r="E210" s="75" t="s">
        <v>68</v>
      </c>
      <c r="F210" s="117" t="s">
        <v>27</v>
      </c>
      <c r="G210" s="59"/>
      <c r="H210" s="9"/>
    </row>
    <row r="211">
      <c r="A211" s="65">
        <v>203.0</v>
      </c>
      <c r="B211" s="151" t="s">
        <v>734</v>
      </c>
      <c r="C211" s="143" t="s">
        <v>1590</v>
      </c>
      <c r="D211" s="143" t="s">
        <v>1591</v>
      </c>
      <c r="E211" s="75" t="s">
        <v>68</v>
      </c>
      <c r="F211" s="117" t="s">
        <v>27</v>
      </c>
      <c r="G211" s="59"/>
      <c r="H211" s="9"/>
    </row>
    <row r="212">
      <c r="A212" s="65">
        <v>204.0</v>
      </c>
      <c r="B212" s="151" t="s">
        <v>734</v>
      </c>
      <c r="C212" s="143" t="s">
        <v>1592</v>
      </c>
      <c r="D212" s="143" t="s">
        <v>1593</v>
      </c>
      <c r="E212" s="75" t="s">
        <v>68</v>
      </c>
      <c r="F212" s="117" t="s">
        <v>27</v>
      </c>
      <c r="G212" s="59"/>
      <c r="H212" s="9"/>
    </row>
    <row r="213">
      <c r="A213" s="65">
        <v>205.0</v>
      </c>
      <c r="B213" s="151" t="s">
        <v>734</v>
      </c>
      <c r="C213" s="143" t="s">
        <v>1594</v>
      </c>
      <c r="D213" s="143" t="s">
        <v>1595</v>
      </c>
      <c r="E213" s="75" t="s">
        <v>68</v>
      </c>
      <c r="F213" s="117" t="s">
        <v>27</v>
      </c>
      <c r="G213" s="59"/>
      <c r="H213" s="9"/>
    </row>
    <row r="214">
      <c r="A214" s="65">
        <v>206.0</v>
      </c>
      <c r="B214" s="151" t="s">
        <v>734</v>
      </c>
      <c r="C214" s="143" t="s">
        <v>462</v>
      </c>
      <c r="D214" s="168" t="s">
        <v>463</v>
      </c>
      <c r="E214" s="75" t="s">
        <v>68</v>
      </c>
      <c r="F214" s="117" t="s">
        <v>27</v>
      </c>
      <c r="G214" s="59"/>
      <c r="H214" s="9"/>
    </row>
    <row r="215">
      <c r="A215" s="65">
        <v>207.0</v>
      </c>
      <c r="B215" s="151" t="s">
        <v>734</v>
      </c>
      <c r="C215" s="143" t="s">
        <v>1596</v>
      </c>
      <c r="D215" s="143" t="s">
        <v>1597</v>
      </c>
      <c r="E215" s="75" t="s">
        <v>68</v>
      </c>
      <c r="F215" s="117" t="s">
        <v>27</v>
      </c>
      <c r="G215" s="59"/>
      <c r="H215" s="9"/>
    </row>
    <row r="216">
      <c r="A216" s="65">
        <v>208.0</v>
      </c>
      <c r="B216" s="151" t="s">
        <v>734</v>
      </c>
      <c r="C216" s="143" t="s">
        <v>173</v>
      </c>
      <c r="D216" s="143" t="s">
        <v>174</v>
      </c>
      <c r="E216" s="75" t="s">
        <v>68</v>
      </c>
      <c r="F216" s="117" t="s">
        <v>27</v>
      </c>
      <c r="G216" s="59"/>
      <c r="H216" s="9"/>
    </row>
    <row r="217">
      <c r="A217" s="65">
        <v>209.0</v>
      </c>
      <c r="B217" s="151" t="s">
        <v>734</v>
      </c>
      <c r="C217" s="143" t="s">
        <v>1598</v>
      </c>
      <c r="D217" s="143" t="s">
        <v>1599</v>
      </c>
      <c r="E217" s="75" t="s">
        <v>68</v>
      </c>
      <c r="F217" s="117" t="s">
        <v>27</v>
      </c>
      <c r="G217" s="59"/>
      <c r="H217" s="9"/>
    </row>
    <row r="218">
      <c r="A218" s="65">
        <v>210.0</v>
      </c>
      <c r="B218" s="151" t="s">
        <v>734</v>
      </c>
      <c r="C218" s="143" t="s">
        <v>1600</v>
      </c>
      <c r="D218" s="167" t="s">
        <v>1601</v>
      </c>
      <c r="E218" s="75" t="s">
        <v>68</v>
      </c>
      <c r="F218" s="117" t="s">
        <v>27</v>
      </c>
      <c r="G218" s="59"/>
      <c r="H218" s="9"/>
    </row>
    <row r="219">
      <c r="A219" s="65">
        <v>211.0</v>
      </c>
      <c r="B219" s="151" t="s">
        <v>734</v>
      </c>
      <c r="C219" s="143" t="s">
        <v>1602</v>
      </c>
      <c r="D219" s="143" t="s">
        <v>1603</v>
      </c>
      <c r="E219" s="75" t="s">
        <v>68</v>
      </c>
      <c r="F219" s="117" t="s">
        <v>27</v>
      </c>
      <c r="G219" s="59"/>
      <c r="H219" s="9"/>
    </row>
    <row r="220">
      <c r="A220" s="65">
        <v>212.0</v>
      </c>
      <c r="B220" s="151" t="s">
        <v>734</v>
      </c>
      <c r="C220" s="143" t="s">
        <v>1604</v>
      </c>
      <c r="D220" s="143" t="s">
        <v>1605</v>
      </c>
      <c r="E220" s="75" t="s">
        <v>68</v>
      </c>
      <c r="F220" s="117" t="s">
        <v>27</v>
      </c>
      <c r="G220" s="59"/>
      <c r="H220" s="9"/>
    </row>
    <row r="221">
      <c r="A221" s="65">
        <v>213.0</v>
      </c>
      <c r="B221" s="151" t="s">
        <v>734</v>
      </c>
      <c r="C221" s="143" t="s">
        <v>1606</v>
      </c>
      <c r="D221" s="143" t="s">
        <v>1607</v>
      </c>
      <c r="E221" s="75" t="s">
        <v>68</v>
      </c>
      <c r="F221" s="117" t="s">
        <v>27</v>
      </c>
      <c r="G221" s="59"/>
      <c r="H221" s="9"/>
    </row>
    <row r="222">
      <c r="A222" s="65">
        <v>214.0</v>
      </c>
      <c r="B222" s="151" t="s">
        <v>734</v>
      </c>
      <c r="C222" s="143" t="s">
        <v>1608</v>
      </c>
      <c r="D222" s="143" t="s">
        <v>1609</v>
      </c>
      <c r="E222" s="75" t="s">
        <v>68</v>
      </c>
      <c r="F222" s="117" t="s">
        <v>27</v>
      </c>
      <c r="G222" s="59"/>
      <c r="H222" s="9"/>
    </row>
    <row r="223">
      <c r="A223" s="65">
        <v>215.0</v>
      </c>
      <c r="B223" s="151" t="s">
        <v>734</v>
      </c>
      <c r="C223" s="143" t="s">
        <v>1610</v>
      </c>
      <c r="D223" s="143" t="s">
        <v>1611</v>
      </c>
      <c r="E223" s="75" t="s">
        <v>68</v>
      </c>
      <c r="F223" s="117" t="s">
        <v>27</v>
      </c>
      <c r="G223" s="59"/>
      <c r="H223" s="9"/>
    </row>
    <row r="224">
      <c r="A224" s="65">
        <v>216.0</v>
      </c>
      <c r="B224" s="151" t="s">
        <v>734</v>
      </c>
      <c r="C224" s="143" t="s">
        <v>1612</v>
      </c>
      <c r="D224" s="143" t="s">
        <v>1613</v>
      </c>
      <c r="E224" s="75" t="s">
        <v>68</v>
      </c>
      <c r="F224" s="117" t="s">
        <v>27</v>
      </c>
      <c r="G224" s="59"/>
      <c r="H224" s="9"/>
    </row>
    <row r="225">
      <c r="A225" s="65">
        <v>217.0</v>
      </c>
      <c r="B225" s="151" t="s">
        <v>734</v>
      </c>
      <c r="C225" s="143" t="s">
        <v>1614</v>
      </c>
      <c r="D225" s="143" t="s">
        <v>1615</v>
      </c>
      <c r="E225" s="75" t="s">
        <v>68</v>
      </c>
      <c r="F225" s="117" t="s">
        <v>27</v>
      </c>
      <c r="G225" s="59"/>
      <c r="H225" s="9"/>
    </row>
    <row r="226">
      <c r="A226" s="65">
        <v>218.0</v>
      </c>
      <c r="B226" s="151" t="s">
        <v>734</v>
      </c>
      <c r="C226" s="143" t="s">
        <v>209</v>
      </c>
      <c r="D226" s="143" t="s">
        <v>210</v>
      </c>
      <c r="E226" s="75" t="s">
        <v>68</v>
      </c>
      <c r="F226" s="117" t="s">
        <v>27</v>
      </c>
      <c r="G226" s="59"/>
      <c r="H226" s="9"/>
    </row>
    <row r="227">
      <c r="A227" s="65">
        <v>219.0</v>
      </c>
      <c r="B227" s="151" t="s">
        <v>734</v>
      </c>
      <c r="C227" s="143" t="s">
        <v>1616</v>
      </c>
      <c r="D227" s="143" t="s">
        <v>1617</v>
      </c>
      <c r="E227" s="75" t="s">
        <v>68</v>
      </c>
      <c r="F227" s="117" t="s">
        <v>27</v>
      </c>
      <c r="G227" s="59"/>
      <c r="H227" s="9"/>
    </row>
    <row r="228">
      <c r="A228" s="65">
        <v>220.0</v>
      </c>
      <c r="B228" s="151" t="s">
        <v>734</v>
      </c>
      <c r="C228" s="143" t="s">
        <v>1083</v>
      </c>
      <c r="D228" s="143" t="s">
        <v>1084</v>
      </c>
      <c r="E228" s="75" t="s">
        <v>68</v>
      </c>
      <c r="F228" s="117" t="s">
        <v>27</v>
      </c>
      <c r="G228" s="59"/>
      <c r="H228" s="9"/>
    </row>
    <row r="229">
      <c r="A229" s="65">
        <v>221.0</v>
      </c>
      <c r="B229" s="151" t="s">
        <v>734</v>
      </c>
      <c r="C229" s="143" t="s">
        <v>1618</v>
      </c>
      <c r="D229" s="143" t="s">
        <v>1619</v>
      </c>
      <c r="E229" s="75" t="s">
        <v>68</v>
      </c>
      <c r="F229" s="117" t="s">
        <v>27</v>
      </c>
      <c r="G229" s="59"/>
      <c r="H229" s="9"/>
    </row>
    <row r="230">
      <c r="A230" s="65">
        <v>222.0</v>
      </c>
      <c r="B230" s="151" t="s">
        <v>734</v>
      </c>
      <c r="C230" s="143" t="s">
        <v>1620</v>
      </c>
      <c r="D230" s="143" t="s">
        <v>1621</v>
      </c>
      <c r="E230" s="75" t="s">
        <v>68</v>
      </c>
      <c r="F230" s="117" t="s">
        <v>27</v>
      </c>
      <c r="G230" s="59"/>
      <c r="H230" s="9"/>
    </row>
    <row r="231">
      <c r="A231" s="65">
        <v>223.0</v>
      </c>
      <c r="B231" s="151" t="s">
        <v>734</v>
      </c>
      <c r="C231" s="143" t="s">
        <v>1622</v>
      </c>
      <c r="D231" s="143" t="s">
        <v>1623</v>
      </c>
      <c r="E231" s="75" t="s">
        <v>68</v>
      </c>
      <c r="F231" s="117" t="s">
        <v>27</v>
      </c>
      <c r="G231" s="59"/>
      <c r="H231" s="9"/>
    </row>
    <row r="232">
      <c r="A232" s="65">
        <v>224.0</v>
      </c>
      <c r="B232" s="151" t="s">
        <v>734</v>
      </c>
      <c r="C232" s="143" t="s">
        <v>1624</v>
      </c>
      <c r="D232" s="143" t="s">
        <v>1625</v>
      </c>
      <c r="E232" s="75" t="s">
        <v>68</v>
      </c>
      <c r="F232" s="117" t="s">
        <v>27</v>
      </c>
      <c r="G232" s="59"/>
      <c r="H232" s="9"/>
    </row>
    <row r="233">
      <c r="A233" s="65">
        <v>225.0</v>
      </c>
      <c r="B233" s="151" t="s">
        <v>734</v>
      </c>
      <c r="C233" s="143" t="s">
        <v>1626</v>
      </c>
      <c r="D233" s="143" t="s">
        <v>1627</v>
      </c>
      <c r="E233" s="75" t="s">
        <v>68</v>
      </c>
      <c r="F233" s="117" t="s">
        <v>27</v>
      </c>
      <c r="G233" s="59"/>
      <c r="H233" s="9"/>
    </row>
    <row r="234">
      <c r="A234" s="65">
        <v>226.0</v>
      </c>
      <c r="B234" s="151" t="s">
        <v>734</v>
      </c>
      <c r="C234" s="143" t="s">
        <v>863</v>
      </c>
      <c r="D234" s="143" t="s">
        <v>864</v>
      </c>
      <c r="E234" s="75" t="s">
        <v>68</v>
      </c>
      <c r="F234" s="117" t="s">
        <v>27</v>
      </c>
      <c r="G234" s="59"/>
      <c r="H234" s="9"/>
    </row>
    <row r="235">
      <c r="A235" s="65">
        <v>227.0</v>
      </c>
      <c r="B235" s="151" t="s">
        <v>734</v>
      </c>
      <c r="C235" s="143" t="s">
        <v>1628</v>
      </c>
      <c r="D235" s="143" t="s">
        <v>1629</v>
      </c>
      <c r="E235" s="75" t="s">
        <v>68</v>
      </c>
      <c r="F235" s="117" t="s">
        <v>27</v>
      </c>
      <c r="G235" s="59"/>
      <c r="H235" s="9"/>
    </row>
    <row r="236">
      <c r="A236" s="65">
        <v>228.0</v>
      </c>
      <c r="B236" s="151" t="s">
        <v>734</v>
      </c>
      <c r="C236" s="143" t="s">
        <v>1630</v>
      </c>
      <c r="D236" s="143" t="s">
        <v>1631</v>
      </c>
      <c r="E236" s="75" t="s">
        <v>68</v>
      </c>
      <c r="F236" s="117" t="s">
        <v>27</v>
      </c>
      <c r="G236" s="59"/>
      <c r="H236" s="9"/>
    </row>
    <row r="237">
      <c r="A237" s="65">
        <v>229.0</v>
      </c>
      <c r="B237" s="151" t="s">
        <v>734</v>
      </c>
      <c r="C237" s="143" t="s">
        <v>1632</v>
      </c>
      <c r="D237" s="143" t="s">
        <v>1633</v>
      </c>
      <c r="E237" s="75" t="s">
        <v>68</v>
      </c>
      <c r="F237" s="117" t="s">
        <v>27</v>
      </c>
      <c r="G237" s="59"/>
      <c r="H237" s="9"/>
    </row>
    <row r="238">
      <c r="A238" s="65">
        <v>230.0</v>
      </c>
      <c r="B238" s="151" t="s">
        <v>734</v>
      </c>
      <c r="C238" s="143" t="s">
        <v>1634</v>
      </c>
      <c r="D238" s="143" t="s">
        <v>1635</v>
      </c>
      <c r="E238" s="75" t="s">
        <v>68</v>
      </c>
      <c r="F238" s="117" t="s">
        <v>27</v>
      </c>
      <c r="G238" s="59"/>
      <c r="H238" s="9"/>
    </row>
    <row r="239">
      <c r="A239" s="65">
        <v>231.0</v>
      </c>
      <c r="B239" s="151" t="s">
        <v>734</v>
      </c>
      <c r="C239" s="143" t="s">
        <v>298</v>
      </c>
      <c r="D239" s="143" t="s">
        <v>299</v>
      </c>
      <c r="E239" s="75" t="s">
        <v>68</v>
      </c>
      <c r="F239" s="117" t="s">
        <v>27</v>
      </c>
      <c r="G239" s="59"/>
      <c r="H239" s="9"/>
    </row>
    <row r="240">
      <c r="A240" s="65">
        <v>232.0</v>
      </c>
      <c r="B240" s="151" t="s">
        <v>734</v>
      </c>
      <c r="C240" s="143" t="s">
        <v>1636</v>
      </c>
      <c r="D240" s="143" t="s">
        <v>1637</v>
      </c>
      <c r="E240" s="75" t="s">
        <v>68</v>
      </c>
      <c r="F240" s="117" t="s">
        <v>27</v>
      </c>
      <c r="G240" s="59"/>
      <c r="H240" s="9"/>
    </row>
    <row r="241">
      <c r="A241" s="65">
        <v>233.0</v>
      </c>
      <c r="B241" s="151" t="s">
        <v>734</v>
      </c>
      <c r="C241" s="143" t="s">
        <v>1638</v>
      </c>
      <c r="D241" s="143" t="s">
        <v>1639</v>
      </c>
      <c r="E241" s="75" t="s">
        <v>68</v>
      </c>
      <c r="F241" s="117" t="s">
        <v>27</v>
      </c>
      <c r="G241" s="59"/>
      <c r="H241" s="9"/>
    </row>
    <row r="242">
      <c r="A242" s="65">
        <v>234.0</v>
      </c>
      <c r="B242" s="151" t="s">
        <v>734</v>
      </c>
      <c r="C242" s="143" t="s">
        <v>1640</v>
      </c>
      <c r="D242" s="143" t="s">
        <v>1641</v>
      </c>
      <c r="E242" s="75" t="s">
        <v>68</v>
      </c>
      <c r="F242" s="117" t="s">
        <v>27</v>
      </c>
      <c r="G242" s="59"/>
      <c r="H242" s="9"/>
    </row>
    <row r="243">
      <c r="A243" s="65">
        <v>235.0</v>
      </c>
      <c r="B243" s="151" t="s">
        <v>734</v>
      </c>
      <c r="C243" s="143" t="s">
        <v>1642</v>
      </c>
      <c r="D243" s="143" t="s">
        <v>1643</v>
      </c>
      <c r="E243" s="75" t="s">
        <v>68</v>
      </c>
      <c r="F243" s="117" t="s">
        <v>27</v>
      </c>
      <c r="G243" s="59"/>
      <c r="H243" s="9"/>
    </row>
    <row r="244">
      <c r="A244" s="65">
        <v>236.0</v>
      </c>
      <c r="B244" s="151" t="s">
        <v>734</v>
      </c>
      <c r="C244" s="143" t="s">
        <v>1644</v>
      </c>
      <c r="D244" s="143" t="s">
        <v>1645</v>
      </c>
      <c r="E244" s="75" t="s">
        <v>68</v>
      </c>
      <c r="F244" s="117" t="s">
        <v>27</v>
      </c>
      <c r="G244" s="59"/>
      <c r="H244" s="9"/>
    </row>
    <row r="245">
      <c r="A245" s="65">
        <v>237.0</v>
      </c>
      <c r="B245" s="151" t="s">
        <v>734</v>
      </c>
      <c r="C245" s="143" t="s">
        <v>885</v>
      </c>
      <c r="D245" s="143" t="s">
        <v>886</v>
      </c>
      <c r="E245" s="75" t="s">
        <v>68</v>
      </c>
      <c r="F245" s="117" t="s">
        <v>27</v>
      </c>
      <c r="G245" s="59"/>
      <c r="H245" s="9"/>
    </row>
    <row r="246">
      <c r="A246" s="65">
        <v>238.0</v>
      </c>
      <c r="B246" s="151" t="s">
        <v>734</v>
      </c>
      <c r="C246" s="143" t="s">
        <v>1646</v>
      </c>
      <c r="D246" s="143" t="s">
        <v>1647</v>
      </c>
      <c r="E246" s="75" t="s">
        <v>68</v>
      </c>
      <c r="F246" s="117" t="s">
        <v>27</v>
      </c>
      <c r="G246" s="59"/>
      <c r="H246" s="9"/>
    </row>
    <row r="247">
      <c r="A247" s="65">
        <v>239.0</v>
      </c>
      <c r="B247" s="151" t="s">
        <v>734</v>
      </c>
      <c r="C247" s="143" t="s">
        <v>603</v>
      </c>
      <c r="D247" s="143" t="s">
        <v>604</v>
      </c>
      <c r="E247" s="75" t="s">
        <v>68</v>
      </c>
      <c r="F247" s="117" t="s">
        <v>27</v>
      </c>
      <c r="G247" s="59"/>
      <c r="H247" s="9"/>
    </row>
    <row r="248">
      <c r="A248" s="65">
        <v>240.0</v>
      </c>
      <c r="B248" s="151" t="s">
        <v>734</v>
      </c>
      <c r="C248" s="143" t="s">
        <v>1648</v>
      </c>
      <c r="D248" s="143" t="s">
        <v>1649</v>
      </c>
      <c r="E248" s="75" t="s">
        <v>68</v>
      </c>
      <c r="F248" s="117" t="s">
        <v>27</v>
      </c>
      <c r="G248" s="59"/>
      <c r="H248" s="9"/>
    </row>
    <row r="249">
      <c r="A249" s="65">
        <v>241.0</v>
      </c>
      <c r="B249" s="151" t="s">
        <v>734</v>
      </c>
      <c r="C249" s="143" t="s">
        <v>1650</v>
      </c>
      <c r="D249" s="143" t="s">
        <v>1651</v>
      </c>
      <c r="E249" s="75" t="s">
        <v>68</v>
      </c>
      <c r="F249" s="117" t="s">
        <v>27</v>
      </c>
      <c r="G249" s="59"/>
      <c r="H249" s="9"/>
    </row>
    <row r="250">
      <c r="A250" s="65">
        <v>242.0</v>
      </c>
      <c r="B250" s="151" t="s">
        <v>734</v>
      </c>
      <c r="C250" s="143" t="s">
        <v>1652</v>
      </c>
      <c r="D250" s="143" t="s">
        <v>1653</v>
      </c>
      <c r="E250" s="75" t="s">
        <v>68</v>
      </c>
      <c r="F250" s="117" t="s">
        <v>27</v>
      </c>
      <c r="G250" s="59"/>
      <c r="H250" s="9"/>
    </row>
    <row r="251">
      <c r="A251" s="65">
        <v>243.0</v>
      </c>
      <c r="B251" s="151" t="s">
        <v>734</v>
      </c>
      <c r="C251" s="143" t="s">
        <v>414</v>
      </c>
      <c r="D251" s="143" t="s">
        <v>415</v>
      </c>
      <c r="E251" s="75" t="s">
        <v>68</v>
      </c>
      <c r="F251" s="117" t="s">
        <v>27</v>
      </c>
      <c r="G251" s="59"/>
      <c r="H251" s="9"/>
    </row>
    <row r="252">
      <c r="A252" s="65">
        <v>244.0</v>
      </c>
      <c r="B252" s="151" t="s">
        <v>734</v>
      </c>
      <c r="C252" s="143" t="s">
        <v>1654</v>
      </c>
      <c r="D252" s="143" t="s">
        <v>1655</v>
      </c>
      <c r="E252" s="75" t="s">
        <v>68</v>
      </c>
      <c r="F252" s="117" t="s">
        <v>27</v>
      </c>
      <c r="G252" s="59"/>
      <c r="H252" s="9"/>
    </row>
    <row r="253">
      <c r="A253" s="65">
        <v>245.0</v>
      </c>
      <c r="B253" s="151" t="s">
        <v>734</v>
      </c>
      <c r="C253" s="143" t="s">
        <v>1020</v>
      </c>
      <c r="D253" s="143" t="s">
        <v>1021</v>
      </c>
      <c r="E253" s="75" t="s">
        <v>68</v>
      </c>
      <c r="F253" s="117" t="s">
        <v>27</v>
      </c>
      <c r="G253" s="59"/>
      <c r="H253" s="9"/>
    </row>
    <row r="254">
      <c r="A254" s="65">
        <v>246.0</v>
      </c>
      <c r="B254" s="151" t="s">
        <v>734</v>
      </c>
      <c r="C254" s="143" t="s">
        <v>1656</v>
      </c>
      <c r="D254" s="143" t="s">
        <v>1657</v>
      </c>
      <c r="E254" s="75" t="s">
        <v>68</v>
      </c>
      <c r="F254" s="117" t="s">
        <v>27</v>
      </c>
      <c r="G254" s="59"/>
      <c r="H254" s="9"/>
    </row>
    <row r="255">
      <c r="A255" s="65">
        <v>247.0</v>
      </c>
      <c r="B255" s="151" t="s">
        <v>734</v>
      </c>
      <c r="C255" s="143" t="s">
        <v>1658</v>
      </c>
      <c r="D255" s="143" t="s">
        <v>1659</v>
      </c>
      <c r="E255" s="75" t="s">
        <v>68</v>
      </c>
      <c r="F255" s="117" t="s">
        <v>27</v>
      </c>
      <c r="G255" s="59"/>
      <c r="H255" s="9"/>
    </row>
    <row r="256">
      <c r="A256" s="65">
        <v>248.0</v>
      </c>
      <c r="B256" s="151" t="s">
        <v>734</v>
      </c>
      <c r="C256" s="143" t="s">
        <v>562</v>
      </c>
      <c r="D256" s="143" t="s">
        <v>563</v>
      </c>
      <c r="E256" s="75" t="s">
        <v>68</v>
      </c>
      <c r="F256" s="117" t="s">
        <v>27</v>
      </c>
      <c r="G256" s="59"/>
      <c r="H256" s="9"/>
    </row>
    <row r="257">
      <c r="A257" s="65">
        <v>249.0</v>
      </c>
      <c r="B257" s="151" t="s">
        <v>734</v>
      </c>
      <c r="C257" s="143" t="s">
        <v>1660</v>
      </c>
      <c r="D257" s="143" t="s">
        <v>1661</v>
      </c>
      <c r="E257" s="75" t="s">
        <v>68</v>
      </c>
      <c r="F257" s="117" t="s">
        <v>27</v>
      </c>
      <c r="G257" s="59"/>
      <c r="H257" s="9"/>
    </row>
    <row r="258">
      <c r="A258" s="65">
        <v>250.0</v>
      </c>
      <c r="B258" s="151" t="s">
        <v>734</v>
      </c>
      <c r="C258" s="143" t="s">
        <v>1662</v>
      </c>
      <c r="D258" s="143" t="s">
        <v>1663</v>
      </c>
      <c r="E258" s="75" t="s">
        <v>68</v>
      </c>
      <c r="F258" s="117" t="s">
        <v>27</v>
      </c>
      <c r="G258" s="59"/>
      <c r="H258" s="9"/>
    </row>
    <row r="259">
      <c r="A259" s="65">
        <v>251.0</v>
      </c>
      <c r="B259" s="151" t="s">
        <v>734</v>
      </c>
      <c r="C259" s="143" t="s">
        <v>1664</v>
      </c>
      <c r="D259" s="143" t="s">
        <v>1665</v>
      </c>
      <c r="E259" s="75" t="s">
        <v>68</v>
      </c>
      <c r="F259" s="117" t="s">
        <v>27</v>
      </c>
      <c r="G259" s="59"/>
      <c r="H259" s="9"/>
    </row>
    <row r="260">
      <c r="A260" s="65">
        <v>252.0</v>
      </c>
      <c r="B260" s="151" t="s">
        <v>734</v>
      </c>
      <c r="C260" s="143" t="s">
        <v>1666</v>
      </c>
      <c r="D260" s="143" t="s">
        <v>1667</v>
      </c>
      <c r="E260" s="75" t="s">
        <v>68</v>
      </c>
      <c r="F260" s="117" t="s">
        <v>27</v>
      </c>
      <c r="G260" s="59"/>
      <c r="H260" s="9"/>
    </row>
    <row r="261">
      <c r="A261" s="65">
        <v>253.0</v>
      </c>
      <c r="B261" s="151" t="s">
        <v>734</v>
      </c>
      <c r="C261" s="143" t="s">
        <v>1668</v>
      </c>
      <c r="D261" s="143" t="s">
        <v>1669</v>
      </c>
      <c r="E261" s="75" t="s">
        <v>68</v>
      </c>
      <c r="F261" s="117" t="s">
        <v>27</v>
      </c>
      <c r="G261" s="59"/>
      <c r="H261" s="9"/>
    </row>
    <row r="262">
      <c r="A262" s="65">
        <v>254.0</v>
      </c>
      <c r="B262" s="151" t="s">
        <v>734</v>
      </c>
      <c r="C262" s="143" t="s">
        <v>805</v>
      </c>
      <c r="D262" s="143" t="s">
        <v>806</v>
      </c>
      <c r="E262" s="75" t="s">
        <v>68</v>
      </c>
      <c r="F262" s="117" t="s">
        <v>27</v>
      </c>
      <c r="G262" s="59"/>
      <c r="H262" s="9"/>
    </row>
    <row r="263">
      <c r="A263" s="65">
        <v>255.0</v>
      </c>
      <c r="B263" s="151" t="s">
        <v>734</v>
      </c>
      <c r="C263" s="143" t="s">
        <v>1670</v>
      </c>
      <c r="D263" s="143" t="s">
        <v>1671</v>
      </c>
      <c r="E263" s="75" t="s">
        <v>68</v>
      </c>
      <c r="F263" s="117" t="s">
        <v>27</v>
      </c>
      <c r="G263" s="59"/>
      <c r="H263" s="9"/>
    </row>
    <row r="264">
      <c r="A264" s="65">
        <v>256.0</v>
      </c>
      <c r="B264" s="151" t="s">
        <v>734</v>
      </c>
      <c r="C264" s="143" t="s">
        <v>1672</v>
      </c>
      <c r="D264" s="143" t="s">
        <v>1673</v>
      </c>
      <c r="E264" s="75" t="s">
        <v>68</v>
      </c>
      <c r="F264" s="117" t="s">
        <v>27</v>
      </c>
      <c r="G264" s="59"/>
      <c r="H264" s="9"/>
    </row>
    <row r="265">
      <c r="A265" s="65">
        <v>257.0</v>
      </c>
      <c r="B265" s="151" t="s">
        <v>734</v>
      </c>
      <c r="C265" s="143" t="s">
        <v>275</v>
      </c>
      <c r="D265" s="143" t="s">
        <v>276</v>
      </c>
      <c r="E265" s="75" t="s">
        <v>68</v>
      </c>
      <c r="F265" s="117" t="s">
        <v>27</v>
      </c>
      <c r="G265" s="59"/>
      <c r="H265" s="9"/>
    </row>
    <row r="266">
      <c r="A266" s="65">
        <v>258.0</v>
      </c>
      <c r="B266" s="151" t="s">
        <v>734</v>
      </c>
      <c r="C266" s="143" t="s">
        <v>1674</v>
      </c>
      <c r="D266" s="143" t="s">
        <v>1675</v>
      </c>
      <c r="E266" s="75" t="s">
        <v>68</v>
      </c>
      <c r="F266" s="117" t="s">
        <v>27</v>
      </c>
      <c r="G266" s="59"/>
      <c r="H266" s="9"/>
    </row>
    <row r="267">
      <c r="A267" s="65">
        <v>259.0</v>
      </c>
      <c r="B267" s="151" t="s">
        <v>734</v>
      </c>
      <c r="C267" s="143" t="s">
        <v>1676</v>
      </c>
      <c r="D267" s="143" t="s">
        <v>1677</v>
      </c>
      <c r="E267" s="75" t="s">
        <v>68</v>
      </c>
      <c r="F267" s="117" t="s">
        <v>27</v>
      </c>
      <c r="G267" s="59"/>
      <c r="H267" s="9"/>
    </row>
    <row r="268">
      <c r="A268" s="65">
        <v>260.0</v>
      </c>
      <c r="B268" s="151" t="s">
        <v>734</v>
      </c>
      <c r="C268" s="143" t="s">
        <v>1678</v>
      </c>
      <c r="D268" s="143" t="s">
        <v>1679</v>
      </c>
      <c r="E268" s="75" t="s">
        <v>68</v>
      </c>
      <c r="F268" s="117" t="s">
        <v>27</v>
      </c>
      <c r="G268" s="59"/>
      <c r="H268" s="9"/>
    </row>
    <row r="269">
      <c r="A269" s="65">
        <v>261.0</v>
      </c>
      <c r="B269" s="151" t="s">
        <v>734</v>
      </c>
      <c r="C269" s="143" t="s">
        <v>615</v>
      </c>
      <c r="D269" s="143" t="s">
        <v>616</v>
      </c>
      <c r="E269" s="75" t="s">
        <v>68</v>
      </c>
      <c r="F269" s="117" t="s">
        <v>27</v>
      </c>
      <c r="G269" s="59"/>
      <c r="H269" s="9"/>
    </row>
    <row r="270">
      <c r="A270" s="65">
        <v>262.0</v>
      </c>
      <c r="B270" s="151" t="s">
        <v>734</v>
      </c>
      <c r="C270" s="143" t="s">
        <v>771</v>
      </c>
      <c r="D270" s="143" t="s">
        <v>772</v>
      </c>
      <c r="E270" s="75" t="s">
        <v>68</v>
      </c>
      <c r="F270" s="117" t="s">
        <v>27</v>
      </c>
      <c r="G270" s="59"/>
      <c r="H270" s="9"/>
    </row>
    <row r="271">
      <c r="A271" s="65">
        <v>263.0</v>
      </c>
      <c r="B271" s="151" t="s">
        <v>734</v>
      </c>
      <c r="C271" s="143" t="s">
        <v>1006</v>
      </c>
      <c r="D271" s="143" t="s">
        <v>1007</v>
      </c>
      <c r="E271" s="75" t="s">
        <v>68</v>
      </c>
      <c r="F271" s="117" t="s">
        <v>27</v>
      </c>
      <c r="G271" s="59"/>
      <c r="H271" s="9"/>
    </row>
    <row r="272">
      <c r="A272" s="65">
        <v>264.0</v>
      </c>
      <c r="B272" s="151" t="s">
        <v>734</v>
      </c>
      <c r="C272" s="143" t="s">
        <v>741</v>
      </c>
      <c r="D272" s="143" t="s">
        <v>742</v>
      </c>
      <c r="E272" s="75" t="s">
        <v>68</v>
      </c>
      <c r="F272" s="117" t="s">
        <v>27</v>
      </c>
      <c r="G272" s="59"/>
      <c r="H272" s="9"/>
    </row>
    <row r="273">
      <c r="A273" s="65">
        <v>265.0</v>
      </c>
      <c r="B273" s="151" t="s">
        <v>734</v>
      </c>
      <c r="C273" s="143" t="s">
        <v>1680</v>
      </c>
      <c r="D273" s="143" t="s">
        <v>1681</v>
      </c>
      <c r="E273" s="75" t="s">
        <v>68</v>
      </c>
      <c r="F273" s="117" t="s">
        <v>27</v>
      </c>
      <c r="G273" s="59"/>
      <c r="H273" s="9"/>
    </row>
    <row r="274">
      <c r="A274" s="65">
        <v>266.0</v>
      </c>
      <c r="B274" s="151" t="s">
        <v>734</v>
      </c>
      <c r="C274" s="143" t="s">
        <v>1682</v>
      </c>
      <c r="D274" s="143" t="s">
        <v>1683</v>
      </c>
      <c r="E274" s="75" t="s">
        <v>68</v>
      </c>
      <c r="F274" s="117" t="s">
        <v>27</v>
      </c>
      <c r="G274" s="59"/>
      <c r="H274" s="9"/>
    </row>
    <row r="275">
      <c r="A275" s="65">
        <v>267.0</v>
      </c>
      <c r="B275" s="151" t="s">
        <v>734</v>
      </c>
      <c r="C275" s="143" t="s">
        <v>1684</v>
      </c>
      <c r="D275" s="143" t="s">
        <v>1685</v>
      </c>
      <c r="E275" s="75" t="s">
        <v>68</v>
      </c>
      <c r="F275" s="117" t="s">
        <v>27</v>
      </c>
      <c r="G275" s="59"/>
      <c r="H275" s="9"/>
    </row>
    <row r="276">
      <c r="A276" s="65">
        <v>268.0</v>
      </c>
      <c r="B276" s="151" t="s">
        <v>734</v>
      </c>
      <c r="C276" s="143" t="s">
        <v>1686</v>
      </c>
      <c r="D276" s="143" t="s">
        <v>1687</v>
      </c>
      <c r="E276" s="75" t="s">
        <v>68</v>
      </c>
      <c r="F276" s="117" t="s">
        <v>27</v>
      </c>
      <c r="G276" s="59"/>
      <c r="H276" s="9"/>
    </row>
    <row r="277">
      <c r="A277" s="65">
        <v>269.0</v>
      </c>
      <c r="B277" s="151" t="s">
        <v>734</v>
      </c>
      <c r="C277" s="143" t="s">
        <v>1688</v>
      </c>
      <c r="D277" s="143" t="s">
        <v>985</v>
      </c>
      <c r="E277" s="75" t="s">
        <v>68</v>
      </c>
      <c r="F277" s="117" t="s">
        <v>27</v>
      </c>
      <c r="G277" s="59"/>
      <c r="H277" s="9"/>
    </row>
    <row r="278">
      <c r="A278" s="65">
        <v>270.0</v>
      </c>
      <c r="B278" s="151" t="s">
        <v>734</v>
      </c>
      <c r="C278" s="143" t="s">
        <v>861</v>
      </c>
      <c r="D278" s="143" t="s">
        <v>862</v>
      </c>
      <c r="E278" s="75" t="s">
        <v>68</v>
      </c>
      <c r="F278" s="117" t="s">
        <v>27</v>
      </c>
      <c r="G278" s="59"/>
      <c r="H278" s="9"/>
    </row>
    <row r="279">
      <c r="A279" s="65">
        <v>271.0</v>
      </c>
      <c r="B279" s="151" t="s">
        <v>734</v>
      </c>
      <c r="C279" s="143" t="s">
        <v>809</v>
      </c>
      <c r="D279" s="143" t="s">
        <v>810</v>
      </c>
      <c r="E279" s="75" t="s">
        <v>68</v>
      </c>
      <c r="F279" s="117" t="s">
        <v>27</v>
      </c>
      <c r="G279" s="59"/>
      <c r="H279" s="9"/>
    </row>
    <row r="280">
      <c r="A280" s="65">
        <v>272.0</v>
      </c>
      <c r="B280" s="151" t="s">
        <v>734</v>
      </c>
      <c r="C280" s="143" t="s">
        <v>994</v>
      </c>
      <c r="D280" s="143" t="s">
        <v>995</v>
      </c>
      <c r="E280" s="75" t="s">
        <v>68</v>
      </c>
      <c r="F280" s="117" t="s">
        <v>27</v>
      </c>
      <c r="G280" s="59"/>
      <c r="H280" s="9"/>
    </row>
    <row r="281">
      <c r="A281" s="65">
        <v>273.0</v>
      </c>
      <c r="B281" s="151" t="s">
        <v>734</v>
      </c>
      <c r="C281" s="143" t="s">
        <v>1689</v>
      </c>
      <c r="D281" s="143" t="s">
        <v>1690</v>
      </c>
      <c r="E281" s="75" t="s">
        <v>68</v>
      </c>
      <c r="F281" s="117" t="s">
        <v>27</v>
      </c>
      <c r="G281" s="59"/>
      <c r="H281" s="9"/>
    </row>
    <row r="282">
      <c r="A282" s="65">
        <v>274.0</v>
      </c>
      <c r="B282" s="151" t="s">
        <v>734</v>
      </c>
      <c r="C282" s="143" t="s">
        <v>1071</v>
      </c>
      <c r="D282" s="143" t="s">
        <v>1072</v>
      </c>
      <c r="E282" s="75" t="s">
        <v>68</v>
      </c>
      <c r="F282" s="117" t="s">
        <v>27</v>
      </c>
      <c r="G282" s="59"/>
      <c r="H282" s="9"/>
    </row>
    <row r="283">
      <c r="A283" s="65">
        <v>275.0</v>
      </c>
      <c r="B283" s="151" t="s">
        <v>734</v>
      </c>
      <c r="C283" s="143" t="s">
        <v>1691</v>
      </c>
      <c r="D283" s="143" t="s">
        <v>1692</v>
      </c>
      <c r="E283" s="75" t="s">
        <v>68</v>
      </c>
      <c r="F283" s="117" t="s">
        <v>27</v>
      </c>
      <c r="G283" s="59"/>
      <c r="H283" s="9"/>
    </row>
    <row r="284">
      <c r="A284" s="65">
        <v>276.0</v>
      </c>
      <c r="B284" s="151" t="s">
        <v>734</v>
      </c>
      <c r="C284" s="143" t="s">
        <v>1693</v>
      </c>
      <c r="D284" s="143" t="s">
        <v>1694</v>
      </c>
      <c r="E284" s="75" t="s">
        <v>68</v>
      </c>
      <c r="F284" s="117" t="s">
        <v>27</v>
      </c>
      <c r="G284" s="59"/>
      <c r="H284" s="9"/>
    </row>
    <row r="285">
      <c r="A285" s="65">
        <v>277.0</v>
      </c>
      <c r="B285" s="151" t="s">
        <v>734</v>
      </c>
      <c r="C285" s="143" t="s">
        <v>1695</v>
      </c>
      <c r="D285" s="143" t="s">
        <v>1696</v>
      </c>
      <c r="E285" s="75" t="s">
        <v>68</v>
      </c>
      <c r="F285" s="117" t="s">
        <v>27</v>
      </c>
      <c r="G285" s="59"/>
      <c r="H285" s="9"/>
    </row>
    <row r="286">
      <c r="A286" s="65">
        <v>278.0</v>
      </c>
      <c r="B286" s="151" t="s">
        <v>734</v>
      </c>
      <c r="C286" s="143" t="s">
        <v>1697</v>
      </c>
      <c r="D286" s="143" t="s">
        <v>1698</v>
      </c>
      <c r="E286" s="75" t="s">
        <v>68</v>
      </c>
      <c r="F286" s="117" t="s">
        <v>27</v>
      </c>
      <c r="G286" s="59"/>
      <c r="H286" s="9"/>
    </row>
    <row r="287">
      <c r="A287" s="65">
        <v>279.0</v>
      </c>
      <c r="B287" s="151" t="s">
        <v>734</v>
      </c>
      <c r="C287" s="143" t="s">
        <v>1129</v>
      </c>
      <c r="D287" s="143" t="s">
        <v>1130</v>
      </c>
      <c r="E287" s="75" t="s">
        <v>68</v>
      </c>
      <c r="F287" s="117" t="s">
        <v>27</v>
      </c>
      <c r="G287" s="59"/>
      <c r="H287" s="9"/>
    </row>
    <row r="288">
      <c r="A288" s="65">
        <v>280.0</v>
      </c>
      <c r="B288" s="151" t="s">
        <v>734</v>
      </c>
      <c r="C288" s="143" t="s">
        <v>1699</v>
      </c>
      <c r="D288" s="143" t="s">
        <v>1700</v>
      </c>
      <c r="E288" s="75" t="s">
        <v>68</v>
      </c>
      <c r="F288" s="117" t="s">
        <v>27</v>
      </c>
      <c r="G288" s="59"/>
      <c r="H288" s="9"/>
    </row>
    <row r="289">
      <c r="A289" s="65">
        <v>281.0</v>
      </c>
      <c r="B289" s="151" t="s">
        <v>734</v>
      </c>
      <c r="C289" s="143" t="s">
        <v>1701</v>
      </c>
      <c r="D289" s="143" t="s">
        <v>1702</v>
      </c>
      <c r="E289" s="75" t="s">
        <v>68</v>
      </c>
      <c r="F289" s="117" t="s">
        <v>27</v>
      </c>
      <c r="G289" s="59"/>
      <c r="H289" s="9"/>
    </row>
    <row r="290">
      <c r="A290" s="65">
        <v>282.0</v>
      </c>
      <c r="B290" s="151" t="s">
        <v>734</v>
      </c>
      <c r="C290" s="143" t="s">
        <v>1703</v>
      </c>
      <c r="D290" s="143" t="s">
        <v>1704</v>
      </c>
      <c r="E290" s="75" t="s">
        <v>68</v>
      </c>
      <c r="F290" s="117" t="s">
        <v>27</v>
      </c>
      <c r="G290" s="59"/>
      <c r="H290" s="9"/>
    </row>
    <row r="291">
      <c r="A291" s="65">
        <v>283.0</v>
      </c>
      <c r="B291" s="151" t="s">
        <v>734</v>
      </c>
      <c r="C291" s="143" t="s">
        <v>1705</v>
      </c>
      <c r="D291" s="143" t="s">
        <v>1706</v>
      </c>
      <c r="E291" s="75" t="s">
        <v>68</v>
      </c>
      <c r="F291" s="117" t="s">
        <v>27</v>
      </c>
      <c r="G291" s="59"/>
      <c r="H291" s="9"/>
    </row>
    <row r="292">
      <c r="A292" s="65">
        <v>284.0</v>
      </c>
      <c r="B292" s="151" t="s">
        <v>734</v>
      </c>
      <c r="C292" s="143" t="s">
        <v>1707</v>
      </c>
      <c r="D292" s="143" t="s">
        <v>1708</v>
      </c>
      <c r="E292" s="75" t="s">
        <v>68</v>
      </c>
      <c r="F292" s="117" t="s">
        <v>27</v>
      </c>
      <c r="G292" s="59"/>
      <c r="H292" s="9"/>
    </row>
    <row r="293">
      <c r="A293" s="65">
        <v>285.0</v>
      </c>
      <c r="B293" s="151" t="s">
        <v>734</v>
      </c>
      <c r="C293" s="143" t="s">
        <v>1177</v>
      </c>
      <c r="D293" s="154" t="s">
        <v>1709</v>
      </c>
      <c r="E293" s="75" t="s">
        <v>68</v>
      </c>
      <c r="F293" s="117" t="s">
        <v>27</v>
      </c>
      <c r="G293" s="59"/>
      <c r="H293" s="9"/>
    </row>
    <row r="294">
      <c r="A294" s="65">
        <v>286.0</v>
      </c>
      <c r="B294" s="151" t="s">
        <v>734</v>
      </c>
      <c r="C294" s="143" t="s">
        <v>1710</v>
      </c>
      <c r="D294" s="154" t="s">
        <v>1711</v>
      </c>
      <c r="E294" s="75" t="s">
        <v>68</v>
      </c>
      <c r="F294" s="117" t="s">
        <v>27</v>
      </c>
      <c r="G294" s="59"/>
      <c r="H294" s="9"/>
    </row>
    <row r="295">
      <c r="A295" s="65">
        <v>287.0</v>
      </c>
      <c r="B295" s="151" t="s">
        <v>734</v>
      </c>
      <c r="C295" s="143" t="s">
        <v>1712</v>
      </c>
      <c r="D295" s="154" t="s">
        <v>1713</v>
      </c>
      <c r="E295" s="75" t="s">
        <v>68</v>
      </c>
      <c r="F295" s="117" t="s">
        <v>27</v>
      </c>
      <c r="G295" s="59"/>
      <c r="H295" s="9"/>
    </row>
    <row r="296" ht="17.25" customHeight="1">
      <c r="A296" s="65">
        <v>288.0</v>
      </c>
      <c r="B296" s="151" t="s">
        <v>734</v>
      </c>
      <c r="C296" s="143" t="s">
        <v>781</v>
      </c>
      <c r="D296" s="154" t="s">
        <v>1714</v>
      </c>
      <c r="E296" s="75" t="s">
        <v>68</v>
      </c>
      <c r="F296" s="117" t="s">
        <v>27</v>
      </c>
      <c r="G296" s="59"/>
      <c r="H296" s="9"/>
    </row>
    <row r="297">
      <c r="A297" s="65">
        <v>289.0</v>
      </c>
      <c r="B297" s="151" t="s">
        <v>734</v>
      </c>
      <c r="C297" s="143" t="s">
        <v>662</v>
      </c>
      <c r="D297" s="154" t="s">
        <v>663</v>
      </c>
      <c r="E297" s="75" t="s">
        <v>68</v>
      </c>
      <c r="F297" s="117" t="s">
        <v>27</v>
      </c>
      <c r="G297" s="59"/>
      <c r="H297" s="9"/>
    </row>
    <row r="298">
      <c r="A298" s="65">
        <v>290.0</v>
      </c>
      <c r="B298" s="151" t="s">
        <v>734</v>
      </c>
      <c r="C298" s="143" t="s">
        <v>1715</v>
      </c>
      <c r="D298" s="154" t="s">
        <v>1716</v>
      </c>
      <c r="E298" s="75" t="s">
        <v>68</v>
      </c>
      <c r="F298" s="117" t="s">
        <v>27</v>
      </c>
      <c r="G298" s="59"/>
      <c r="H298" s="9"/>
    </row>
    <row r="299">
      <c r="A299" s="65">
        <v>291.0</v>
      </c>
      <c r="B299" s="151" t="s">
        <v>734</v>
      </c>
      <c r="C299" s="143" t="s">
        <v>1161</v>
      </c>
      <c r="D299" s="154" t="s">
        <v>1162</v>
      </c>
      <c r="E299" s="75" t="s">
        <v>68</v>
      </c>
      <c r="F299" s="117" t="s">
        <v>27</v>
      </c>
      <c r="G299" s="59"/>
      <c r="H299" s="9"/>
    </row>
    <row r="300" ht="16.5" customHeight="1">
      <c r="A300" s="65">
        <v>292.0</v>
      </c>
      <c r="B300" s="151" t="s">
        <v>734</v>
      </c>
      <c r="C300" s="143" t="s">
        <v>1717</v>
      </c>
      <c r="D300" s="154" t="s">
        <v>1718</v>
      </c>
      <c r="E300" s="75" t="s">
        <v>68</v>
      </c>
      <c r="F300" s="117" t="s">
        <v>27</v>
      </c>
      <c r="G300" s="59"/>
      <c r="H300" s="9"/>
    </row>
    <row r="301">
      <c r="A301" s="65">
        <v>293.0</v>
      </c>
      <c r="B301" s="151" t="s">
        <v>734</v>
      </c>
      <c r="C301" s="143" t="s">
        <v>1719</v>
      </c>
      <c r="D301" s="154" t="s">
        <v>1720</v>
      </c>
      <c r="E301" s="75" t="s">
        <v>68</v>
      </c>
      <c r="F301" s="117" t="s">
        <v>27</v>
      </c>
      <c r="G301" s="59"/>
      <c r="H301" s="9"/>
    </row>
    <row r="302">
      <c r="A302" s="65">
        <v>294.0</v>
      </c>
      <c r="B302" s="151" t="s">
        <v>734</v>
      </c>
      <c r="C302" s="143" t="s">
        <v>1721</v>
      </c>
      <c r="D302" s="154" t="s">
        <v>1722</v>
      </c>
      <c r="E302" s="75" t="s">
        <v>68</v>
      </c>
      <c r="F302" s="117" t="s">
        <v>27</v>
      </c>
      <c r="G302" s="59"/>
      <c r="H302" s="9"/>
    </row>
    <row r="303">
      <c r="A303" s="65">
        <v>295.0</v>
      </c>
      <c r="B303" s="151" t="s">
        <v>734</v>
      </c>
      <c r="C303" s="143" t="s">
        <v>1723</v>
      </c>
      <c r="D303" s="154" t="s">
        <v>1724</v>
      </c>
      <c r="E303" s="75" t="s">
        <v>68</v>
      </c>
      <c r="F303" s="117" t="s">
        <v>27</v>
      </c>
      <c r="G303" s="59"/>
      <c r="H303" s="9"/>
    </row>
    <row r="304">
      <c r="A304" s="65">
        <v>296.0</v>
      </c>
      <c r="B304" s="151" t="s">
        <v>734</v>
      </c>
      <c r="C304" s="143" t="s">
        <v>1725</v>
      </c>
      <c r="D304" s="154" t="s">
        <v>1726</v>
      </c>
      <c r="E304" s="75" t="s">
        <v>68</v>
      </c>
      <c r="F304" s="117" t="s">
        <v>27</v>
      </c>
      <c r="G304" s="59"/>
      <c r="H304" s="9"/>
    </row>
    <row r="305">
      <c r="A305" s="65">
        <v>297.0</v>
      </c>
      <c r="B305" s="151" t="s">
        <v>734</v>
      </c>
      <c r="C305" s="143" t="s">
        <v>1727</v>
      </c>
      <c r="D305" s="154" t="s">
        <v>1728</v>
      </c>
      <c r="E305" s="75" t="s">
        <v>68</v>
      </c>
      <c r="F305" s="117" t="s">
        <v>27</v>
      </c>
      <c r="G305" s="59"/>
      <c r="H305" s="9"/>
    </row>
    <row r="306">
      <c r="A306" s="65">
        <v>298.0</v>
      </c>
      <c r="B306" s="151" t="s">
        <v>734</v>
      </c>
      <c r="C306" s="143" t="s">
        <v>1729</v>
      </c>
      <c r="D306" s="154" t="s">
        <v>1730</v>
      </c>
      <c r="E306" s="75" t="s">
        <v>68</v>
      </c>
      <c r="F306" s="117" t="s">
        <v>27</v>
      </c>
      <c r="G306" s="59"/>
      <c r="H306" s="9"/>
    </row>
    <row r="307">
      <c r="A307" s="65">
        <v>299.0</v>
      </c>
      <c r="B307" s="151" t="s">
        <v>734</v>
      </c>
      <c r="C307" s="143" t="s">
        <v>1731</v>
      </c>
      <c r="D307" s="154" t="s">
        <v>1732</v>
      </c>
      <c r="E307" s="75" t="s">
        <v>68</v>
      </c>
      <c r="F307" s="117" t="s">
        <v>27</v>
      </c>
      <c r="G307" s="59"/>
      <c r="H307" s="9"/>
    </row>
    <row r="308">
      <c r="A308" s="65">
        <v>300.0</v>
      </c>
      <c r="B308" s="151" t="s">
        <v>734</v>
      </c>
      <c r="C308" s="143" t="s">
        <v>1733</v>
      </c>
      <c r="D308" s="154" t="s">
        <v>1734</v>
      </c>
      <c r="E308" s="75" t="s">
        <v>68</v>
      </c>
      <c r="F308" s="117" t="s">
        <v>27</v>
      </c>
      <c r="G308" s="59"/>
      <c r="H308" s="9"/>
    </row>
    <row r="309">
      <c r="A309" s="65">
        <v>301.0</v>
      </c>
      <c r="B309" s="151" t="s">
        <v>734</v>
      </c>
      <c r="C309" s="143" t="s">
        <v>1735</v>
      </c>
      <c r="D309" s="154" t="s">
        <v>1736</v>
      </c>
      <c r="E309" s="75" t="s">
        <v>68</v>
      </c>
      <c r="F309" s="117" t="s">
        <v>27</v>
      </c>
      <c r="G309" s="59"/>
      <c r="H309" s="9"/>
    </row>
    <row r="310">
      <c r="A310" s="65">
        <v>302.0</v>
      </c>
      <c r="B310" s="151" t="s">
        <v>734</v>
      </c>
      <c r="C310" s="143" t="s">
        <v>1163</v>
      </c>
      <c r="D310" s="154" t="s">
        <v>1164</v>
      </c>
      <c r="E310" s="75" t="s">
        <v>68</v>
      </c>
      <c r="F310" s="117" t="s">
        <v>27</v>
      </c>
      <c r="G310" s="59"/>
      <c r="H310" s="9"/>
    </row>
    <row r="311">
      <c r="A311" s="169">
        <v>303.0</v>
      </c>
      <c r="B311" s="155" t="s">
        <v>1365</v>
      </c>
      <c r="C311" s="156" t="s">
        <v>1737</v>
      </c>
      <c r="D311" s="158" t="s">
        <v>1738</v>
      </c>
      <c r="E311" s="170"/>
      <c r="F311" s="165" t="s">
        <v>1193</v>
      </c>
      <c r="G311" s="59"/>
      <c r="H311" s="9"/>
    </row>
    <row r="312">
      <c r="A312" s="169">
        <v>304.0</v>
      </c>
      <c r="B312" s="155" t="s">
        <v>1365</v>
      </c>
      <c r="C312" s="156" t="s">
        <v>664</v>
      </c>
      <c r="D312" s="158" t="s">
        <v>1739</v>
      </c>
      <c r="E312" s="170"/>
      <c r="F312" s="165" t="s">
        <v>1193</v>
      </c>
      <c r="G312" s="59"/>
      <c r="H312" s="9"/>
    </row>
    <row r="313">
      <c r="A313" s="169">
        <v>305.0</v>
      </c>
      <c r="B313" s="155" t="s">
        <v>1365</v>
      </c>
      <c r="C313" s="156" t="s">
        <v>765</v>
      </c>
      <c r="D313" s="158" t="s">
        <v>1740</v>
      </c>
      <c r="E313" s="170"/>
      <c r="F313" s="165" t="s">
        <v>1193</v>
      </c>
      <c r="G313" s="59"/>
      <c r="H313" s="9"/>
    </row>
    <row r="314">
      <c r="A314" s="169">
        <v>306.0</v>
      </c>
      <c r="B314" s="155" t="s">
        <v>1365</v>
      </c>
      <c r="C314" s="156" t="s">
        <v>1741</v>
      </c>
      <c r="D314" s="158" t="s">
        <v>1742</v>
      </c>
      <c r="E314" s="170"/>
      <c r="F314" s="165" t="s">
        <v>1193</v>
      </c>
      <c r="G314" s="59"/>
      <c r="H314" s="9"/>
    </row>
    <row r="315">
      <c r="A315" s="169">
        <v>307.0</v>
      </c>
      <c r="B315" s="155" t="s">
        <v>1365</v>
      </c>
      <c r="C315" s="156" t="s">
        <v>1743</v>
      </c>
      <c r="D315" s="158" t="s">
        <v>1744</v>
      </c>
      <c r="E315" s="170"/>
      <c r="F315" s="165" t="s">
        <v>1193</v>
      </c>
      <c r="G315" s="59"/>
      <c r="H315" s="9"/>
    </row>
    <row r="316">
      <c r="A316" s="169">
        <v>308.0</v>
      </c>
      <c r="B316" s="155" t="s">
        <v>1365</v>
      </c>
      <c r="C316" s="156" t="s">
        <v>1227</v>
      </c>
      <c r="D316" s="158" t="s">
        <v>1745</v>
      </c>
      <c r="E316" s="170"/>
      <c r="F316" s="165" t="s">
        <v>1193</v>
      </c>
      <c r="G316" s="59"/>
      <c r="H316" s="9"/>
    </row>
    <row r="317">
      <c r="A317" s="169">
        <v>309.0</v>
      </c>
      <c r="B317" s="155" t="s">
        <v>1365</v>
      </c>
      <c r="C317" s="156" t="s">
        <v>1746</v>
      </c>
      <c r="D317" s="158" t="s">
        <v>1747</v>
      </c>
      <c r="E317" s="170"/>
      <c r="F317" s="165" t="s">
        <v>1193</v>
      </c>
      <c r="G317" s="59"/>
      <c r="H317" s="9"/>
    </row>
    <row r="318">
      <c r="A318" s="169">
        <v>310.0</v>
      </c>
      <c r="B318" s="155" t="s">
        <v>1365</v>
      </c>
      <c r="C318" s="156" t="s">
        <v>1748</v>
      </c>
      <c r="D318" s="158" t="s">
        <v>1749</v>
      </c>
      <c r="E318" s="170"/>
      <c r="F318" s="165" t="s">
        <v>1193</v>
      </c>
      <c r="G318" s="59"/>
      <c r="H318" s="9"/>
    </row>
    <row r="319">
      <c r="A319" s="169">
        <v>311.0</v>
      </c>
      <c r="B319" s="155" t="s">
        <v>1365</v>
      </c>
      <c r="C319" s="156" t="s">
        <v>1201</v>
      </c>
      <c r="D319" s="158" t="s">
        <v>1750</v>
      </c>
      <c r="E319" s="170"/>
      <c r="F319" s="165" t="s">
        <v>1193</v>
      </c>
      <c r="G319" s="59"/>
      <c r="H319" s="9"/>
    </row>
    <row r="320">
      <c r="A320" s="169">
        <v>312.0</v>
      </c>
      <c r="B320" s="155" t="s">
        <v>1365</v>
      </c>
      <c r="C320" s="156" t="s">
        <v>1751</v>
      </c>
      <c r="D320" s="158" t="s">
        <v>1752</v>
      </c>
      <c r="E320" s="170"/>
      <c r="F320" s="165" t="s">
        <v>1193</v>
      </c>
      <c r="G320" s="59"/>
      <c r="H320" s="9"/>
    </row>
    <row r="321">
      <c r="A321" s="169">
        <v>313.0</v>
      </c>
      <c r="B321" s="155" t="s">
        <v>1365</v>
      </c>
      <c r="C321" s="156" t="s">
        <v>1753</v>
      </c>
      <c r="D321" s="158" t="s">
        <v>1754</v>
      </c>
      <c r="E321" s="170"/>
      <c r="F321" s="165" t="s">
        <v>1193</v>
      </c>
      <c r="G321" s="59"/>
      <c r="H321" s="9"/>
    </row>
    <row r="322">
      <c r="A322" s="169">
        <v>314.0</v>
      </c>
      <c r="B322" s="155" t="s">
        <v>1365</v>
      </c>
      <c r="C322" s="156" t="s">
        <v>1203</v>
      </c>
      <c r="D322" s="158" t="s">
        <v>1755</v>
      </c>
      <c r="E322" s="170"/>
      <c r="F322" s="165" t="s">
        <v>1193</v>
      </c>
      <c r="G322" s="59"/>
      <c r="H322" s="9"/>
    </row>
    <row r="323">
      <c r="A323" s="169">
        <v>315.0</v>
      </c>
      <c r="B323" s="155" t="s">
        <v>1365</v>
      </c>
      <c r="C323" s="171" t="s">
        <v>859</v>
      </c>
      <c r="D323" s="158" t="s">
        <v>1756</v>
      </c>
      <c r="E323" s="170"/>
      <c r="F323" s="165" t="s">
        <v>1193</v>
      </c>
      <c r="G323" s="59"/>
      <c r="H323" s="9"/>
    </row>
    <row r="324">
      <c r="A324" s="9"/>
      <c r="B324" s="9"/>
      <c r="C324" s="9"/>
      <c r="D324" s="9"/>
      <c r="E324" s="9"/>
      <c r="F324" s="9"/>
      <c r="G324" s="59"/>
      <c r="H324" s="9"/>
    </row>
    <row r="325">
      <c r="A325" s="9"/>
      <c r="B325" s="9"/>
      <c r="C325" s="9"/>
      <c r="D325" s="9"/>
      <c r="E325" s="9"/>
      <c r="F325" s="9"/>
      <c r="G325" s="59"/>
      <c r="H325" s="9"/>
    </row>
    <row r="326">
      <c r="A326" s="9"/>
      <c r="B326" s="9"/>
      <c r="C326" s="9"/>
      <c r="D326" s="9"/>
      <c r="E326" s="9"/>
      <c r="F326" s="9"/>
      <c r="G326" s="59"/>
      <c r="H326" s="9"/>
    </row>
    <row r="327">
      <c r="A327" s="9"/>
      <c r="B327" s="9"/>
      <c r="C327" s="9"/>
      <c r="D327" s="9"/>
      <c r="E327" s="9"/>
      <c r="F327" s="9"/>
      <c r="G327" s="59"/>
      <c r="H327" s="9"/>
    </row>
    <row r="328">
      <c r="A328" s="9"/>
      <c r="B328" s="9"/>
      <c r="C328" s="9"/>
      <c r="D328" s="9"/>
      <c r="E328" s="9"/>
      <c r="F328" s="9"/>
      <c r="G328" s="59"/>
      <c r="H328" s="9"/>
    </row>
    <row r="329">
      <c r="A329" s="9"/>
      <c r="B329" s="9"/>
      <c r="C329" s="9"/>
      <c r="D329" s="9"/>
      <c r="E329" s="9"/>
      <c r="F329" s="9"/>
      <c r="G329" s="59"/>
      <c r="H329" s="9"/>
    </row>
    <row r="330">
      <c r="A330" s="9"/>
      <c r="B330" s="9"/>
      <c r="C330" s="9"/>
      <c r="D330" s="9"/>
      <c r="E330" s="9"/>
      <c r="F330" s="9"/>
      <c r="G330" s="59"/>
      <c r="H330" s="9"/>
    </row>
    <row r="331">
      <c r="A331" s="9"/>
      <c r="B331" s="9"/>
      <c r="C331" s="9"/>
      <c r="D331" s="9"/>
      <c r="E331" s="9"/>
      <c r="F331" s="9"/>
      <c r="G331" s="59"/>
      <c r="H331" s="9"/>
    </row>
    <row r="332">
      <c r="A332" s="9"/>
      <c r="B332" s="9"/>
      <c r="C332" s="9"/>
      <c r="D332" s="9"/>
      <c r="E332" s="9"/>
      <c r="F332" s="9"/>
      <c r="G332" s="59"/>
      <c r="H332" s="9"/>
    </row>
    <row r="333">
      <c r="A333" s="9"/>
      <c r="B333" s="9"/>
      <c r="C333" s="9"/>
      <c r="D333" s="9"/>
      <c r="E333" s="9"/>
      <c r="F333" s="9"/>
      <c r="G333" s="59"/>
      <c r="H333" s="9"/>
    </row>
    <row r="334">
      <c r="A334" s="9"/>
      <c r="B334" s="9"/>
      <c r="C334" s="9"/>
      <c r="D334" s="9"/>
      <c r="E334" s="9"/>
      <c r="F334" s="9"/>
      <c r="G334" s="59"/>
      <c r="H334" s="9"/>
    </row>
    <row r="335">
      <c r="A335" s="9"/>
      <c r="B335" s="9"/>
      <c r="C335" s="9"/>
      <c r="D335" s="9"/>
      <c r="E335" s="9"/>
      <c r="F335" s="9"/>
      <c r="G335" s="59"/>
      <c r="H335" s="9"/>
    </row>
    <row r="336">
      <c r="A336" s="9"/>
      <c r="B336" s="9"/>
      <c r="C336" s="9"/>
      <c r="D336" s="9"/>
      <c r="E336" s="9"/>
      <c r="F336" s="9"/>
      <c r="G336" s="59"/>
      <c r="H336" s="9"/>
    </row>
    <row r="337">
      <c r="A337" s="9"/>
      <c r="B337" s="9"/>
      <c r="C337" s="9"/>
      <c r="D337" s="9"/>
      <c r="E337" s="9"/>
      <c r="F337" s="9"/>
      <c r="G337" s="59"/>
      <c r="H337" s="9"/>
    </row>
    <row r="338">
      <c r="A338" s="9"/>
      <c r="B338" s="9"/>
      <c r="C338" s="9"/>
      <c r="D338" s="9"/>
      <c r="E338" s="9"/>
      <c r="F338" s="9"/>
      <c r="G338" s="59"/>
      <c r="H338" s="9"/>
    </row>
    <row r="339">
      <c r="A339" s="9"/>
      <c r="B339" s="9"/>
      <c r="C339" s="9"/>
      <c r="D339" s="9"/>
      <c r="E339" s="9"/>
      <c r="F339" s="9"/>
      <c r="G339" s="59"/>
      <c r="H339" s="9"/>
    </row>
    <row r="340">
      <c r="A340" s="9"/>
      <c r="B340" s="9"/>
      <c r="C340" s="9"/>
      <c r="D340" s="9"/>
      <c r="E340" s="9"/>
      <c r="F340" s="9"/>
      <c r="G340" s="59"/>
      <c r="H340" s="9"/>
    </row>
    <row r="341">
      <c r="A341" s="9"/>
      <c r="B341" s="9"/>
      <c r="C341" s="9"/>
      <c r="D341" s="9"/>
      <c r="E341" s="9"/>
      <c r="F341" s="9"/>
      <c r="G341" s="59"/>
      <c r="H341" s="9"/>
    </row>
    <row r="342">
      <c r="A342" s="9"/>
      <c r="B342" s="9"/>
      <c r="C342" s="9"/>
      <c r="D342" s="9"/>
      <c r="E342" s="9"/>
      <c r="F342" s="9"/>
      <c r="G342" s="59"/>
      <c r="H342" s="9"/>
    </row>
    <row r="343">
      <c r="A343" s="9"/>
      <c r="B343" s="9"/>
      <c r="C343" s="9"/>
      <c r="D343" s="9"/>
      <c r="E343" s="9"/>
      <c r="F343" s="9"/>
      <c r="G343" s="59"/>
      <c r="H343" s="9"/>
    </row>
    <row r="344">
      <c r="A344" s="9"/>
      <c r="B344" s="9"/>
      <c r="C344" s="9"/>
      <c r="D344" s="9"/>
      <c r="E344" s="9"/>
      <c r="F344" s="9"/>
      <c r="G344" s="59"/>
      <c r="H344" s="9"/>
    </row>
    <row r="345">
      <c r="A345" s="9"/>
      <c r="B345" s="9"/>
      <c r="C345" s="9"/>
      <c r="D345" s="9"/>
      <c r="E345" s="9"/>
      <c r="F345" s="9"/>
      <c r="G345" s="59"/>
      <c r="H345" s="9"/>
    </row>
    <row r="346">
      <c r="A346" s="9"/>
      <c r="B346" s="9"/>
      <c r="C346" s="9"/>
      <c r="D346" s="9"/>
      <c r="E346" s="9"/>
      <c r="F346" s="9"/>
      <c r="G346" s="59"/>
      <c r="H346" s="9"/>
    </row>
    <row r="347">
      <c r="A347" s="9"/>
      <c r="B347" s="9"/>
      <c r="C347" s="9"/>
      <c r="D347" s="9"/>
      <c r="E347" s="9"/>
      <c r="F347" s="9"/>
      <c r="G347" s="59"/>
      <c r="H347" s="9"/>
    </row>
    <row r="348">
      <c r="A348" s="9"/>
      <c r="B348" s="9"/>
      <c r="C348" s="9"/>
      <c r="D348" s="9"/>
      <c r="E348" s="9"/>
      <c r="F348" s="9"/>
      <c r="G348" s="59"/>
      <c r="H348" s="9"/>
    </row>
    <row r="349">
      <c r="A349" s="9"/>
      <c r="B349" s="9"/>
      <c r="C349" s="9"/>
      <c r="D349" s="9"/>
      <c r="E349" s="9"/>
      <c r="F349" s="9"/>
      <c r="G349" s="59"/>
      <c r="H349" s="9"/>
    </row>
    <row r="350">
      <c r="A350" s="9"/>
      <c r="B350" s="9"/>
      <c r="C350" s="9"/>
      <c r="D350" s="9"/>
      <c r="E350" s="9"/>
      <c r="F350" s="9"/>
      <c r="G350" s="59"/>
      <c r="H350" s="9"/>
    </row>
    <row r="351">
      <c r="A351" s="9"/>
      <c r="B351" s="9"/>
      <c r="C351" s="9"/>
      <c r="D351" s="9"/>
      <c r="E351" s="9"/>
      <c r="F351" s="9"/>
      <c r="G351" s="59"/>
      <c r="H351" s="9"/>
    </row>
    <row r="352">
      <c r="A352" s="9"/>
      <c r="B352" s="9"/>
      <c r="C352" s="9"/>
      <c r="D352" s="9"/>
      <c r="E352" s="9"/>
      <c r="F352" s="9"/>
      <c r="G352" s="59"/>
      <c r="H352" s="9"/>
    </row>
    <row r="353">
      <c r="A353" s="9"/>
      <c r="B353" s="9"/>
      <c r="C353" s="9"/>
      <c r="D353" s="9"/>
      <c r="E353" s="9"/>
      <c r="F353" s="9"/>
      <c r="G353" s="59"/>
      <c r="H353" s="9"/>
    </row>
    <row r="354">
      <c r="A354" s="9"/>
      <c r="B354" s="9"/>
      <c r="C354" s="9"/>
      <c r="D354" s="9"/>
      <c r="E354" s="9"/>
      <c r="F354" s="9"/>
      <c r="G354" s="59"/>
      <c r="H354" s="9"/>
    </row>
    <row r="355">
      <c r="A355" s="9"/>
      <c r="B355" s="9"/>
      <c r="C355" s="9"/>
      <c r="D355" s="9"/>
      <c r="E355" s="9"/>
      <c r="F355" s="9"/>
      <c r="G355" s="59"/>
      <c r="H355" s="9"/>
    </row>
    <row r="356">
      <c r="A356" s="9"/>
      <c r="B356" s="9"/>
      <c r="C356" s="9"/>
      <c r="D356" s="9"/>
      <c r="E356" s="9"/>
      <c r="F356" s="9"/>
      <c r="G356" s="59"/>
      <c r="H356" s="9"/>
    </row>
    <row r="357">
      <c r="A357" s="9"/>
      <c r="B357" s="9"/>
      <c r="C357" s="9"/>
      <c r="D357" s="9"/>
      <c r="E357" s="9"/>
      <c r="F357" s="9"/>
      <c r="G357" s="59"/>
      <c r="H357" s="9"/>
    </row>
    <row r="358">
      <c r="A358" s="9"/>
      <c r="B358" s="9"/>
      <c r="C358" s="9"/>
      <c r="D358" s="9"/>
      <c r="E358" s="9"/>
      <c r="F358" s="9"/>
      <c r="G358" s="59"/>
      <c r="H358" s="9"/>
    </row>
    <row r="359">
      <c r="A359" s="9"/>
      <c r="B359" s="9"/>
      <c r="C359" s="9"/>
      <c r="D359" s="9"/>
      <c r="E359" s="9"/>
      <c r="F359" s="9"/>
      <c r="G359" s="59"/>
      <c r="H359" s="9"/>
    </row>
    <row r="360">
      <c r="A360" s="9"/>
      <c r="B360" s="9"/>
      <c r="C360" s="9"/>
      <c r="D360" s="9"/>
      <c r="E360" s="9"/>
      <c r="F360" s="9"/>
      <c r="G360" s="59"/>
      <c r="H360" s="9"/>
    </row>
    <row r="361">
      <c r="A361" s="9"/>
      <c r="B361" s="9"/>
      <c r="C361" s="9"/>
      <c r="D361" s="9"/>
      <c r="E361" s="9"/>
      <c r="F361" s="9"/>
      <c r="G361" s="59"/>
      <c r="H361" s="9"/>
    </row>
    <row r="362">
      <c r="A362" s="9"/>
      <c r="B362" s="9"/>
      <c r="C362" s="9"/>
      <c r="D362" s="9"/>
      <c r="E362" s="9"/>
      <c r="F362" s="9"/>
      <c r="G362" s="59"/>
      <c r="H362" s="9"/>
    </row>
    <row r="363">
      <c r="A363" s="9"/>
      <c r="B363" s="9"/>
      <c r="C363" s="9"/>
      <c r="D363" s="9"/>
      <c r="E363" s="9"/>
      <c r="F363" s="9"/>
      <c r="G363" s="59"/>
      <c r="H363" s="9"/>
    </row>
    <row r="364">
      <c r="A364" s="9"/>
      <c r="B364" s="9"/>
      <c r="C364" s="9"/>
      <c r="D364" s="9"/>
      <c r="E364" s="9"/>
      <c r="F364" s="9"/>
      <c r="G364" s="59"/>
      <c r="H364" s="9"/>
    </row>
    <row r="365">
      <c r="A365" s="9"/>
      <c r="B365" s="9"/>
      <c r="C365" s="9"/>
      <c r="D365" s="9"/>
      <c r="E365" s="9"/>
      <c r="F365" s="9"/>
      <c r="G365" s="59"/>
      <c r="H365" s="9"/>
    </row>
    <row r="366">
      <c r="A366" s="9"/>
      <c r="B366" s="9"/>
      <c r="C366" s="9"/>
      <c r="D366" s="9"/>
      <c r="E366" s="9"/>
      <c r="F366" s="9"/>
      <c r="G366" s="59"/>
      <c r="H366" s="9"/>
    </row>
    <row r="367">
      <c r="A367" s="9"/>
      <c r="B367" s="9"/>
      <c r="C367" s="9"/>
      <c r="D367" s="9"/>
      <c r="E367" s="9"/>
      <c r="F367" s="9"/>
      <c r="G367" s="59"/>
      <c r="H367" s="9"/>
    </row>
    <row r="368">
      <c r="A368" s="9"/>
      <c r="B368" s="9"/>
      <c r="C368" s="9"/>
      <c r="D368" s="9"/>
      <c r="E368" s="9"/>
      <c r="F368" s="9"/>
      <c r="G368" s="59"/>
      <c r="H368" s="9"/>
    </row>
    <row r="369">
      <c r="A369" s="9"/>
      <c r="B369" s="9"/>
      <c r="C369" s="9"/>
      <c r="D369" s="9"/>
      <c r="E369" s="9"/>
      <c r="F369" s="9"/>
      <c r="G369" s="59"/>
      <c r="H369" s="9"/>
    </row>
    <row r="370">
      <c r="A370" s="9"/>
      <c r="B370" s="9"/>
      <c r="C370" s="9"/>
      <c r="D370" s="9"/>
      <c r="E370" s="9"/>
      <c r="F370" s="9"/>
      <c r="G370" s="59"/>
      <c r="H370" s="9"/>
    </row>
    <row r="371">
      <c r="A371" s="9"/>
      <c r="B371" s="9"/>
      <c r="C371" s="9"/>
      <c r="D371" s="9"/>
      <c r="E371" s="9"/>
      <c r="F371" s="9"/>
      <c r="G371" s="59"/>
      <c r="H371" s="9"/>
    </row>
    <row r="372">
      <c r="A372" s="9"/>
      <c r="B372" s="9"/>
      <c r="C372" s="9"/>
      <c r="D372" s="9"/>
      <c r="E372" s="9"/>
      <c r="F372" s="9"/>
      <c r="G372" s="59"/>
      <c r="H372" s="9"/>
    </row>
    <row r="373">
      <c r="A373" s="9"/>
      <c r="B373" s="9"/>
      <c r="C373" s="9"/>
      <c r="D373" s="9"/>
      <c r="E373" s="9"/>
      <c r="F373" s="9"/>
      <c r="G373" s="59"/>
      <c r="H373" s="9"/>
    </row>
    <row r="374">
      <c r="A374" s="9"/>
      <c r="B374" s="9"/>
      <c r="C374" s="9"/>
      <c r="D374" s="9"/>
      <c r="E374" s="9"/>
      <c r="F374" s="9"/>
      <c r="G374" s="59"/>
      <c r="H374" s="9"/>
    </row>
    <row r="375">
      <c r="A375" s="9"/>
      <c r="B375" s="9"/>
      <c r="C375" s="9"/>
      <c r="D375" s="9"/>
      <c r="E375" s="9"/>
      <c r="F375" s="9"/>
      <c r="G375" s="59"/>
      <c r="H375" s="9"/>
    </row>
    <row r="376">
      <c r="A376" s="9"/>
      <c r="B376" s="9"/>
      <c r="C376" s="9"/>
      <c r="D376" s="9"/>
      <c r="E376" s="9"/>
      <c r="F376" s="9"/>
      <c r="G376" s="59"/>
      <c r="H376" s="9"/>
    </row>
    <row r="377">
      <c r="A377" s="9"/>
      <c r="B377" s="9"/>
      <c r="C377" s="9"/>
      <c r="D377" s="9"/>
      <c r="E377" s="9"/>
      <c r="F377" s="9"/>
      <c r="G377" s="59"/>
      <c r="H377" s="9"/>
    </row>
    <row r="378">
      <c r="A378" s="9"/>
      <c r="B378" s="9"/>
      <c r="C378" s="9"/>
      <c r="D378" s="9"/>
      <c r="E378" s="9"/>
      <c r="F378" s="9"/>
      <c r="G378" s="59"/>
      <c r="H378" s="9"/>
    </row>
    <row r="379">
      <c r="A379" s="9"/>
      <c r="B379" s="9"/>
      <c r="C379" s="9"/>
      <c r="D379" s="9"/>
      <c r="E379" s="9"/>
      <c r="F379" s="9"/>
      <c r="G379" s="59"/>
      <c r="H379" s="9"/>
    </row>
    <row r="380">
      <c r="A380" s="9"/>
      <c r="B380" s="9"/>
      <c r="C380" s="9"/>
      <c r="D380" s="9"/>
      <c r="E380" s="9"/>
      <c r="F380" s="9"/>
      <c r="G380" s="59"/>
      <c r="H380" s="9"/>
    </row>
    <row r="381">
      <c r="A381" s="9"/>
      <c r="B381" s="9"/>
      <c r="C381" s="9"/>
      <c r="D381" s="9"/>
      <c r="E381" s="9"/>
      <c r="F381" s="9"/>
      <c r="G381" s="59"/>
      <c r="H381" s="9"/>
    </row>
    <row r="382">
      <c r="A382" s="9"/>
      <c r="B382" s="9"/>
      <c r="C382" s="9"/>
      <c r="D382" s="9"/>
      <c r="E382" s="9"/>
      <c r="F382" s="9"/>
      <c r="G382" s="59"/>
      <c r="H382" s="9"/>
    </row>
    <row r="383">
      <c r="A383" s="9"/>
      <c r="B383" s="9"/>
      <c r="C383" s="9"/>
      <c r="D383" s="9"/>
      <c r="E383" s="9"/>
      <c r="F383" s="9"/>
      <c r="G383" s="59"/>
      <c r="H383" s="9"/>
    </row>
    <row r="384">
      <c r="A384" s="9"/>
      <c r="B384" s="9"/>
      <c r="C384" s="9"/>
      <c r="D384" s="9"/>
      <c r="E384" s="9"/>
      <c r="F384" s="9"/>
      <c r="G384" s="59"/>
      <c r="H384" s="9"/>
    </row>
    <row r="385">
      <c r="A385" s="9"/>
      <c r="B385" s="9"/>
      <c r="C385" s="9"/>
      <c r="D385" s="9"/>
      <c r="E385" s="9"/>
      <c r="F385" s="9"/>
      <c r="G385" s="59"/>
      <c r="H385" s="9"/>
    </row>
    <row r="386">
      <c r="A386" s="9"/>
      <c r="B386" s="9"/>
      <c r="C386" s="9"/>
      <c r="D386" s="9"/>
      <c r="E386" s="9"/>
      <c r="F386" s="9"/>
      <c r="G386" s="59"/>
      <c r="H386" s="9"/>
    </row>
    <row r="387">
      <c r="A387" s="9"/>
      <c r="B387" s="9"/>
      <c r="C387" s="9"/>
      <c r="D387" s="9"/>
      <c r="E387" s="9"/>
      <c r="F387" s="9"/>
      <c r="G387" s="59"/>
      <c r="H387" s="9"/>
    </row>
    <row r="388">
      <c r="A388" s="9"/>
      <c r="B388" s="9"/>
      <c r="C388" s="9"/>
      <c r="D388" s="9"/>
      <c r="E388" s="9"/>
      <c r="F388" s="9"/>
      <c r="G388" s="59"/>
      <c r="H388" s="9"/>
    </row>
    <row r="389">
      <c r="A389" s="9"/>
      <c r="B389" s="9"/>
      <c r="C389" s="9"/>
      <c r="D389" s="9"/>
      <c r="E389" s="9"/>
      <c r="F389" s="9"/>
      <c r="G389" s="59"/>
      <c r="H389" s="9"/>
    </row>
    <row r="390">
      <c r="A390" s="9"/>
      <c r="B390" s="9"/>
      <c r="C390" s="9"/>
      <c r="D390" s="9"/>
      <c r="E390" s="9"/>
      <c r="F390" s="9"/>
      <c r="G390" s="59"/>
      <c r="H390" s="9"/>
    </row>
    <row r="391">
      <c r="A391" s="9"/>
      <c r="B391" s="9"/>
      <c r="C391" s="9"/>
      <c r="D391" s="9"/>
      <c r="E391" s="9"/>
      <c r="F391" s="9"/>
      <c r="G391" s="59"/>
      <c r="H391" s="9"/>
    </row>
    <row r="392">
      <c r="A392" s="9"/>
      <c r="B392" s="9"/>
      <c r="C392" s="9"/>
      <c r="D392" s="9"/>
      <c r="E392" s="9"/>
      <c r="F392" s="9"/>
      <c r="G392" s="59"/>
      <c r="H392" s="9"/>
    </row>
    <row r="393">
      <c r="A393" s="9"/>
      <c r="B393" s="9"/>
      <c r="C393" s="9"/>
      <c r="D393" s="9"/>
      <c r="E393" s="9"/>
      <c r="F393" s="9"/>
      <c r="G393" s="59"/>
      <c r="H393" s="9"/>
    </row>
    <row r="394">
      <c r="A394" s="9"/>
      <c r="B394" s="9"/>
      <c r="C394" s="9"/>
      <c r="D394" s="9"/>
      <c r="E394" s="9"/>
      <c r="F394" s="9"/>
      <c r="G394" s="59"/>
      <c r="H394" s="9"/>
    </row>
    <row r="395">
      <c r="A395" s="9"/>
      <c r="B395" s="9"/>
      <c r="C395" s="9"/>
      <c r="D395" s="9"/>
      <c r="E395" s="9"/>
      <c r="F395" s="9"/>
      <c r="G395" s="59"/>
      <c r="H395" s="9"/>
    </row>
    <row r="396">
      <c r="A396" s="9"/>
      <c r="B396" s="9"/>
      <c r="C396" s="9"/>
      <c r="D396" s="9"/>
      <c r="E396" s="9"/>
      <c r="F396" s="9"/>
      <c r="G396" s="59"/>
      <c r="H396" s="9"/>
    </row>
    <row r="397">
      <c r="A397" s="9"/>
      <c r="B397" s="9"/>
      <c r="C397" s="9"/>
      <c r="D397" s="9"/>
      <c r="E397" s="9"/>
      <c r="F397" s="9"/>
      <c r="G397" s="59"/>
      <c r="H397" s="9"/>
    </row>
    <row r="398">
      <c r="A398" s="9"/>
      <c r="B398" s="9"/>
      <c r="C398" s="9"/>
      <c r="D398" s="9"/>
      <c r="E398" s="9"/>
      <c r="F398" s="9"/>
      <c r="G398" s="59"/>
      <c r="H398" s="9"/>
    </row>
    <row r="399">
      <c r="A399" s="9"/>
      <c r="B399" s="9"/>
      <c r="C399" s="9"/>
      <c r="D399" s="9"/>
      <c r="E399" s="9"/>
      <c r="F399" s="9"/>
      <c r="G399" s="59"/>
      <c r="H399" s="9"/>
    </row>
    <row r="400">
      <c r="A400" s="9"/>
      <c r="B400" s="9"/>
      <c r="C400" s="9"/>
      <c r="D400" s="9"/>
      <c r="E400" s="9"/>
      <c r="F400" s="9"/>
      <c r="G400" s="59"/>
      <c r="H400" s="9"/>
    </row>
    <row r="401">
      <c r="A401" s="9"/>
      <c r="B401" s="9"/>
      <c r="C401" s="9"/>
      <c r="D401" s="9"/>
      <c r="E401" s="9"/>
      <c r="F401" s="9"/>
      <c r="G401" s="59"/>
      <c r="H401" s="9"/>
    </row>
    <row r="402">
      <c r="A402" s="9"/>
      <c r="B402" s="9"/>
      <c r="C402" s="9"/>
      <c r="D402" s="9"/>
      <c r="E402" s="9"/>
      <c r="F402" s="9"/>
      <c r="G402" s="59"/>
      <c r="H402" s="9"/>
    </row>
    <row r="403">
      <c r="A403" s="9"/>
      <c r="B403" s="9"/>
      <c r="C403" s="9"/>
      <c r="D403" s="9"/>
      <c r="E403" s="9"/>
      <c r="F403" s="9"/>
      <c r="G403" s="59"/>
      <c r="H403" s="9"/>
    </row>
    <row r="404">
      <c r="A404" s="9"/>
      <c r="B404" s="9"/>
      <c r="C404" s="9"/>
      <c r="D404" s="9"/>
      <c r="E404" s="9"/>
      <c r="F404" s="9"/>
      <c r="G404" s="59"/>
      <c r="H404" s="9"/>
    </row>
    <row r="405">
      <c r="A405" s="9"/>
      <c r="B405" s="9"/>
      <c r="C405" s="9"/>
      <c r="D405" s="9"/>
      <c r="E405" s="9"/>
      <c r="F405" s="9"/>
      <c r="G405" s="59"/>
      <c r="H405" s="9"/>
    </row>
    <row r="406">
      <c r="A406" s="9"/>
      <c r="B406" s="9"/>
      <c r="C406" s="9"/>
      <c r="D406" s="9"/>
      <c r="E406" s="9"/>
      <c r="F406" s="9"/>
      <c r="G406" s="59"/>
      <c r="H406" s="9"/>
    </row>
    <row r="407">
      <c r="A407" s="9"/>
      <c r="B407" s="9"/>
      <c r="C407" s="9"/>
      <c r="D407" s="9"/>
      <c r="E407" s="9"/>
      <c r="F407" s="9"/>
      <c r="G407" s="59"/>
      <c r="H407" s="9"/>
    </row>
    <row r="408">
      <c r="A408" s="9"/>
      <c r="B408" s="9"/>
      <c r="C408" s="9"/>
      <c r="D408" s="9"/>
      <c r="E408" s="9"/>
      <c r="F408" s="9"/>
      <c r="G408" s="59"/>
      <c r="H408" s="9"/>
    </row>
    <row r="409">
      <c r="A409" s="9"/>
      <c r="B409" s="9"/>
      <c r="C409" s="9"/>
      <c r="D409" s="9"/>
      <c r="E409" s="9"/>
      <c r="F409" s="9"/>
      <c r="G409" s="59"/>
      <c r="H409" s="9"/>
    </row>
    <row r="410">
      <c r="A410" s="9"/>
      <c r="B410" s="9"/>
      <c r="C410" s="9"/>
      <c r="D410" s="9"/>
      <c r="E410" s="9"/>
      <c r="F410" s="9"/>
      <c r="G410" s="59"/>
      <c r="H410" s="9"/>
    </row>
    <row r="411">
      <c r="A411" s="9"/>
      <c r="B411" s="9"/>
      <c r="C411" s="9"/>
      <c r="D411" s="9"/>
      <c r="E411" s="9"/>
      <c r="F411" s="9"/>
      <c r="G411" s="59"/>
      <c r="H411" s="9"/>
    </row>
    <row r="412">
      <c r="A412" s="9"/>
      <c r="B412" s="9"/>
      <c r="C412" s="9"/>
      <c r="D412" s="9"/>
      <c r="E412" s="9"/>
      <c r="F412" s="9"/>
      <c r="G412" s="59"/>
      <c r="H412" s="9"/>
    </row>
    <row r="413">
      <c r="A413" s="9"/>
      <c r="B413" s="9"/>
      <c r="C413" s="9"/>
      <c r="D413" s="9"/>
      <c r="E413" s="9"/>
      <c r="F413" s="9"/>
      <c r="G413" s="59"/>
      <c r="H413" s="9"/>
    </row>
    <row r="414">
      <c r="A414" s="9"/>
      <c r="B414" s="9"/>
      <c r="C414" s="9"/>
      <c r="D414" s="9"/>
      <c r="E414" s="9"/>
      <c r="F414" s="9"/>
      <c r="G414" s="59"/>
      <c r="H414" s="9"/>
    </row>
    <row r="415">
      <c r="A415" s="9"/>
      <c r="B415" s="9"/>
      <c r="C415" s="9"/>
      <c r="D415" s="9"/>
      <c r="E415" s="9"/>
      <c r="F415" s="9"/>
      <c r="G415" s="59"/>
      <c r="H415" s="9"/>
    </row>
    <row r="416">
      <c r="A416" s="9"/>
      <c r="B416" s="9"/>
      <c r="C416" s="9"/>
      <c r="D416" s="9"/>
      <c r="E416" s="9"/>
      <c r="F416" s="9"/>
      <c r="G416" s="59"/>
      <c r="H416" s="9"/>
    </row>
    <row r="417">
      <c r="A417" s="9"/>
      <c r="B417" s="9"/>
      <c r="C417" s="9"/>
      <c r="D417" s="9"/>
      <c r="E417" s="9"/>
      <c r="F417" s="9"/>
      <c r="G417" s="59"/>
      <c r="H417" s="9"/>
    </row>
    <row r="418">
      <c r="A418" s="9"/>
      <c r="B418" s="9"/>
      <c r="C418" s="9"/>
      <c r="D418" s="9"/>
      <c r="E418" s="9"/>
      <c r="F418" s="9"/>
      <c r="G418" s="59"/>
      <c r="H418" s="9"/>
    </row>
    <row r="419">
      <c r="A419" s="9"/>
      <c r="B419" s="9"/>
      <c r="C419" s="9"/>
      <c r="D419" s="9"/>
      <c r="E419" s="9"/>
      <c r="F419" s="9"/>
      <c r="G419" s="59"/>
      <c r="H419" s="9"/>
    </row>
    <row r="420">
      <c r="A420" s="9"/>
      <c r="B420" s="9"/>
      <c r="C420" s="9"/>
      <c r="D420" s="9"/>
      <c r="E420" s="9"/>
      <c r="F420" s="9"/>
      <c r="G420" s="59"/>
      <c r="H420" s="9"/>
    </row>
    <row r="421">
      <c r="A421" s="9"/>
      <c r="B421" s="9"/>
      <c r="C421" s="9"/>
      <c r="D421" s="9"/>
      <c r="E421" s="9"/>
      <c r="F421" s="9"/>
      <c r="G421" s="59"/>
      <c r="H421" s="9"/>
    </row>
    <row r="422">
      <c r="A422" s="9"/>
      <c r="B422" s="9"/>
      <c r="C422" s="9"/>
      <c r="D422" s="9"/>
      <c r="E422" s="9"/>
      <c r="F422" s="9"/>
      <c r="G422" s="59"/>
      <c r="H422" s="9"/>
    </row>
    <row r="423">
      <c r="A423" s="9"/>
      <c r="B423" s="9"/>
      <c r="C423" s="9"/>
      <c r="D423" s="9"/>
      <c r="E423" s="9"/>
      <c r="F423" s="9"/>
      <c r="G423" s="59"/>
      <c r="H423" s="9"/>
    </row>
    <row r="424">
      <c r="A424" s="9"/>
      <c r="B424" s="9"/>
      <c r="C424" s="9"/>
      <c r="D424" s="9"/>
      <c r="E424" s="9"/>
      <c r="F424" s="9"/>
      <c r="G424" s="59"/>
      <c r="H424" s="9"/>
    </row>
    <row r="425">
      <c r="A425" s="9"/>
      <c r="B425" s="9"/>
      <c r="C425" s="9"/>
      <c r="D425" s="9"/>
      <c r="E425" s="9"/>
      <c r="F425" s="9"/>
      <c r="G425" s="59"/>
      <c r="H425" s="9"/>
    </row>
    <row r="426">
      <c r="A426" s="9"/>
      <c r="B426" s="9"/>
      <c r="C426" s="9"/>
      <c r="D426" s="9"/>
      <c r="E426" s="9"/>
      <c r="F426" s="9"/>
      <c r="G426" s="59"/>
      <c r="H426" s="9"/>
    </row>
    <row r="427">
      <c r="A427" s="9"/>
      <c r="B427" s="9"/>
      <c r="C427" s="9"/>
      <c r="D427" s="9"/>
      <c r="E427" s="9"/>
      <c r="F427" s="9"/>
      <c r="G427" s="59"/>
      <c r="H427" s="9"/>
    </row>
    <row r="428">
      <c r="A428" s="9"/>
      <c r="B428" s="9"/>
      <c r="C428" s="9"/>
      <c r="D428" s="9"/>
      <c r="E428" s="9"/>
      <c r="F428" s="9"/>
      <c r="G428" s="59"/>
      <c r="H428" s="9"/>
    </row>
    <row r="429">
      <c r="A429" s="9"/>
      <c r="B429" s="9"/>
      <c r="C429" s="9"/>
      <c r="D429" s="9"/>
      <c r="E429" s="9"/>
      <c r="F429" s="9"/>
      <c r="G429" s="59"/>
      <c r="H429" s="9"/>
    </row>
    <row r="430">
      <c r="A430" s="9"/>
      <c r="B430" s="9"/>
      <c r="C430" s="9"/>
      <c r="D430" s="9"/>
      <c r="E430" s="9"/>
      <c r="F430" s="9"/>
      <c r="G430" s="59"/>
      <c r="H430" s="9"/>
    </row>
    <row r="431">
      <c r="A431" s="9"/>
      <c r="B431" s="9"/>
      <c r="C431" s="9"/>
      <c r="D431" s="9"/>
      <c r="E431" s="9"/>
      <c r="F431" s="9"/>
      <c r="G431" s="59"/>
      <c r="H431" s="9"/>
    </row>
    <row r="432">
      <c r="A432" s="9"/>
      <c r="B432" s="9"/>
      <c r="C432" s="9"/>
      <c r="D432" s="9"/>
      <c r="E432" s="9"/>
      <c r="F432" s="9"/>
      <c r="G432" s="59"/>
      <c r="H432" s="9"/>
    </row>
    <row r="433">
      <c r="A433" s="9"/>
      <c r="B433" s="9"/>
      <c r="C433" s="9"/>
      <c r="D433" s="9"/>
      <c r="E433" s="9"/>
      <c r="F433" s="9"/>
      <c r="G433" s="59"/>
      <c r="H433" s="9"/>
    </row>
    <row r="434">
      <c r="A434" s="9"/>
      <c r="B434" s="9"/>
      <c r="C434" s="9"/>
      <c r="D434" s="9"/>
      <c r="E434" s="9"/>
      <c r="F434" s="9"/>
      <c r="G434" s="59"/>
      <c r="H434" s="9"/>
    </row>
    <row r="435">
      <c r="A435" s="9"/>
      <c r="B435" s="9"/>
      <c r="C435" s="9"/>
      <c r="D435" s="9"/>
      <c r="E435" s="9"/>
      <c r="F435" s="9"/>
      <c r="G435" s="59"/>
      <c r="H435" s="9"/>
    </row>
    <row r="436">
      <c r="A436" s="9"/>
      <c r="B436" s="9"/>
      <c r="C436" s="9"/>
      <c r="D436" s="9"/>
      <c r="E436" s="9"/>
      <c r="F436" s="9"/>
      <c r="G436" s="59"/>
      <c r="H436" s="9"/>
    </row>
    <row r="437">
      <c r="A437" s="9"/>
      <c r="B437" s="9"/>
      <c r="C437" s="9"/>
      <c r="D437" s="9"/>
      <c r="E437" s="9"/>
      <c r="F437" s="9"/>
      <c r="G437" s="59"/>
      <c r="H437" s="9"/>
    </row>
    <row r="438">
      <c r="A438" s="9"/>
      <c r="B438" s="9"/>
      <c r="C438" s="9"/>
      <c r="D438" s="9"/>
      <c r="E438" s="9"/>
      <c r="F438" s="9"/>
      <c r="G438" s="59"/>
      <c r="H438" s="9"/>
    </row>
    <row r="439">
      <c r="A439" s="9"/>
      <c r="B439" s="9"/>
      <c r="C439" s="9"/>
      <c r="D439" s="9"/>
      <c r="E439" s="9"/>
      <c r="F439" s="9"/>
      <c r="G439" s="59"/>
      <c r="H439" s="9"/>
    </row>
    <row r="440">
      <c r="A440" s="9"/>
      <c r="B440" s="9"/>
      <c r="C440" s="9"/>
      <c r="D440" s="9"/>
      <c r="E440" s="9"/>
      <c r="F440" s="9"/>
      <c r="G440" s="59"/>
      <c r="H440" s="9"/>
    </row>
    <row r="441">
      <c r="A441" s="9"/>
      <c r="B441" s="9"/>
      <c r="C441" s="9"/>
      <c r="D441" s="9"/>
      <c r="E441" s="9"/>
      <c r="F441" s="9"/>
      <c r="G441" s="59"/>
      <c r="H441" s="9"/>
    </row>
    <row r="442">
      <c r="A442" s="9"/>
      <c r="B442" s="9"/>
      <c r="C442" s="9"/>
      <c r="D442" s="9"/>
      <c r="E442" s="9"/>
      <c r="F442" s="9"/>
      <c r="G442" s="59"/>
      <c r="H442" s="9"/>
    </row>
    <row r="443">
      <c r="A443" s="9"/>
      <c r="B443" s="9"/>
      <c r="C443" s="9"/>
      <c r="D443" s="9"/>
      <c r="E443" s="9"/>
      <c r="F443" s="9"/>
      <c r="G443" s="59"/>
      <c r="H443" s="9"/>
    </row>
    <row r="444">
      <c r="A444" s="9"/>
      <c r="B444" s="9"/>
      <c r="C444" s="9"/>
      <c r="D444" s="9"/>
      <c r="E444" s="9"/>
      <c r="F444" s="9"/>
      <c r="G444" s="59"/>
      <c r="H444" s="9"/>
    </row>
    <row r="445">
      <c r="A445" s="9"/>
      <c r="B445" s="9"/>
      <c r="C445" s="9"/>
      <c r="D445" s="9"/>
      <c r="E445" s="9"/>
      <c r="F445" s="9"/>
      <c r="G445" s="59"/>
      <c r="H445" s="9"/>
    </row>
    <row r="446">
      <c r="A446" s="9"/>
      <c r="B446" s="9"/>
      <c r="C446" s="9"/>
      <c r="D446" s="9"/>
      <c r="E446" s="9"/>
      <c r="F446" s="9"/>
      <c r="G446" s="59"/>
      <c r="H446" s="9"/>
    </row>
    <row r="447">
      <c r="A447" s="9"/>
      <c r="B447" s="9"/>
      <c r="C447" s="9"/>
      <c r="D447" s="9"/>
      <c r="E447" s="9"/>
      <c r="F447" s="9"/>
      <c r="G447" s="59"/>
      <c r="H447" s="9"/>
    </row>
    <row r="448">
      <c r="A448" s="9"/>
      <c r="B448" s="9"/>
      <c r="C448" s="9"/>
      <c r="D448" s="9"/>
      <c r="E448" s="9"/>
      <c r="F448" s="9"/>
      <c r="G448" s="59"/>
      <c r="H448" s="9"/>
    </row>
    <row r="449">
      <c r="A449" s="9"/>
      <c r="B449" s="9"/>
      <c r="C449" s="9"/>
      <c r="D449" s="9"/>
      <c r="E449" s="9"/>
      <c r="F449" s="9"/>
      <c r="G449" s="59"/>
      <c r="H449" s="9"/>
    </row>
    <row r="450">
      <c r="A450" s="9"/>
      <c r="B450" s="9"/>
      <c r="C450" s="9"/>
      <c r="D450" s="9"/>
      <c r="E450" s="9"/>
      <c r="F450" s="9"/>
      <c r="G450" s="59"/>
      <c r="H450" s="9"/>
    </row>
    <row r="451">
      <c r="A451" s="9"/>
      <c r="B451" s="9"/>
      <c r="C451" s="9"/>
      <c r="D451" s="9"/>
      <c r="E451" s="9"/>
      <c r="F451" s="9"/>
      <c r="G451" s="59"/>
      <c r="H451" s="9"/>
    </row>
    <row r="452">
      <c r="A452" s="9"/>
      <c r="B452" s="9"/>
      <c r="C452" s="9"/>
      <c r="D452" s="9"/>
      <c r="E452" s="9"/>
      <c r="F452" s="9"/>
      <c r="G452" s="59"/>
      <c r="H452" s="9"/>
    </row>
    <row r="453">
      <c r="A453" s="9"/>
      <c r="B453" s="9"/>
      <c r="C453" s="9"/>
      <c r="D453" s="9"/>
      <c r="E453" s="9"/>
      <c r="F453" s="9"/>
      <c r="G453" s="59"/>
      <c r="H453" s="9"/>
    </row>
    <row r="454">
      <c r="A454" s="9"/>
      <c r="B454" s="9"/>
      <c r="C454" s="9"/>
      <c r="D454" s="9"/>
      <c r="E454" s="9"/>
      <c r="F454" s="9"/>
      <c r="G454" s="59"/>
      <c r="H454" s="9"/>
    </row>
    <row r="455">
      <c r="A455" s="9"/>
      <c r="B455" s="9"/>
      <c r="C455" s="9"/>
      <c r="D455" s="9"/>
      <c r="E455" s="9"/>
      <c r="F455" s="9"/>
      <c r="G455" s="59"/>
      <c r="H455" s="9"/>
    </row>
    <row r="456">
      <c r="A456" s="9"/>
      <c r="B456" s="9"/>
      <c r="C456" s="9"/>
      <c r="D456" s="9"/>
      <c r="E456" s="9"/>
      <c r="F456" s="9"/>
      <c r="G456" s="59"/>
      <c r="H456" s="9"/>
    </row>
    <row r="457">
      <c r="A457" s="9"/>
      <c r="B457" s="9"/>
      <c r="C457" s="9"/>
      <c r="D457" s="9"/>
      <c r="E457" s="9"/>
      <c r="F457" s="9"/>
      <c r="G457" s="59"/>
      <c r="H457" s="9"/>
    </row>
    <row r="458">
      <c r="A458" s="9"/>
      <c r="B458" s="9"/>
      <c r="C458" s="9"/>
      <c r="D458" s="9"/>
      <c r="E458" s="9"/>
      <c r="F458" s="9"/>
      <c r="G458" s="59"/>
      <c r="H458" s="9"/>
    </row>
    <row r="459">
      <c r="A459" s="9"/>
      <c r="B459" s="9"/>
      <c r="C459" s="9"/>
      <c r="D459" s="9"/>
      <c r="E459" s="9"/>
      <c r="F459" s="9"/>
      <c r="G459" s="59"/>
      <c r="H459" s="9"/>
    </row>
    <row r="460">
      <c r="A460" s="9"/>
      <c r="B460" s="9"/>
      <c r="C460" s="9"/>
      <c r="D460" s="9"/>
      <c r="E460" s="9"/>
      <c r="F460" s="9"/>
      <c r="G460" s="59"/>
      <c r="H460" s="9"/>
    </row>
    <row r="461">
      <c r="A461" s="9"/>
      <c r="B461" s="9"/>
      <c r="C461" s="9"/>
      <c r="D461" s="9"/>
      <c r="E461" s="9"/>
      <c r="F461" s="9"/>
      <c r="G461" s="59"/>
      <c r="H461" s="9"/>
    </row>
    <row r="462">
      <c r="A462" s="9"/>
      <c r="B462" s="9"/>
      <c r="C462" s="9"/>
      <c r="D462" s="9"/>
      <c r="E462" s="9"/>
      <c r="F462" s="9"/>
      <c r="G462" s="59"/>
      <c r="H462" s="9"/>
    </row>
    <row r="463">
      <c r="A463" s="9"/>
      <c r="B463" s="9"/>
      <c r="C463" s="9"/>
      <c r="D463" s="9"/>
      <c r="E463" s="9"/>
      <c r="F463" s="9"/>
      <c r="G463" s="59"/>
      <c r="H463" s="9"/>
    </row>
    <row r="464">
      <c r="A464" s="9"/>
      <c r="B464" s="9"/>
      <c r="C464" s="9"/>
      <c r="D464" s="9"/>
      <c r="E464" s="9"/>
      <c r="F464" s="9"/>
      <c r="G464" s="59"/>
      <c r="H464" s="9"/>
    </row>
    <row r="465">
      <c r="A465" s="9"/>
      <c r="B465" s="9"/>
      <c r="C465" s="9"/>
      <c r="D465" s="9"/>
      <c r="E465" s="9"/>
      <c r="F465" s="9"/>
      <c r="G465" s="59"/>
      <c r="H465" s="9"/>
    </row>
    <row r="466">
      <c r="A466" s="9"/>
      <c r="B466" s="9"/>
      <c r="C466" s="9"/>
      <c r="D466" s="9"/>
      <c r="E466" s="9"/>
      <c r="F466" s="9"/>
      <c r="G466" s="59"/>
      <c r="H466" s="9"/>
    </row>
    <row r="467">
      <c r="A467" s="9"/>
      <c r="B467" s="9"/>
      <c r="C467" s="9"/>
      <c r="D467" s="9"/>
      <c r="E467" s="9"/>
      <c r="F467" s="9"/>
      <c r="G467" s="59"/>
      <c r="H467" s="9"/>
    </row>
    <row r="468">
      <c r="A468" s="9"/>
      <c r="B468" s="9"/>
      <c r="C468" s="9"/>
      <c r="D468" s="9"/>
      <c r="E468" s="9"/>
      <c r="F468" s="9"/>
      <c r="G468" s="59"/>
      <c r="H468" s="9"/>
    </row>
    <row r="469">
      <c r="A469" s="9"/>
      <c r="B469" s="9"/>
      <c r="C469" s="9"/>
      <c r="D469" s="9"/>
      <c r="E469" s="9"/>
      <c r="F469" s="9"/>
      <c r="G469" s="59"/>
      <c r="H469" s="9"/>
    </row>
    <row r="470">
      <c r="A470" s="9"/>
      <c r="B470" s="9"/>
      <c r="C470" s="9"/>
      <c r="D470" s="9"/>
      <c r="E470" s="9"/>
      <c r="F470" s="9"/>
      <c r="G470" s="59"/>
      <c r="H470" s="9"/>
    </row>
    <row r="471">
      <c r="A471" s="9"/>
      <c r="B471" s="9"/>
      <c r="C471" s="9"/>
      <c r="D471" s="9"/>
      <c r="E471" s="9"/>
      <c r="F471" s="9"/>
      <c r="G471" s="59"/>
      <c r="H471" s="9"/>
    </row>
    <row r="472">
      <c r="A472" s="9"/>
      <c r="B472" s="9"/>
      <c r="C472" s="9"/>
      <c r="D472" s="9"/>
      <c r="E472" s="9"/>
      <c r="F472" s="9"/>
      <c r="G472" s="59"/>
      <c r="H472" s="9"/>
    </row>
    <row r="473">
      <c r="A473" s="9"/>
      <c r="B473" s="9"/>
      <c r="C473" s="9"/>
      <c r="D473" s="9"/>
      <c r="E473" s="9"/>
      <c r="F473" s="9"/>
      <c r="G473" s="59"/>
      <c r="H473" s="9"/>
    </row>
    <row r="474">
      <c r="A474" s="9"/>
      <c r="B474" s="9"/>
      <c r="C474" s="9"/>
      <c r="D474" s="9"/>
      <c r="E474" s="9"/>
      <c r="F474" s="9"/>
      <c r="G474" s="59"/>
      <c r="H474" s="9"/>
    </row>
    <row r="475">
      <c r="A475" s="9"/>
      <c r="B475" s="9"/>
      <c r="C475" s="9"/>
      <c r="D475" s="9"/>
      <c r="E475" s="9"/>
      <c r="F475" s="9"/>
      <c r="G475" s="59"/>
      <c r="H475" s="9"/>
    </row>
    <row r="476">
      <c r="A476" s="9"/>
      <c r="B476" s="9"/>
      <c r="C476" s="9"/>
      <c r="D476" s="9"/>
      <c r="E476" s="9"/>
      <c r="F476" s="9"/>
      <c r="G476" s="59"/>
      <c r="H476" s="9"/>
    </row>
    <row r="477">
      <c r="A477" s="9"/>
      <c r="B477" s="9"/>
      <c r="C477" s="9"/>
      <c r="D477" s="9"/>
      <c r="E477" s="9"/>
      <c r="F477" s="9"/>
      <c r="G477" s="59"/>
      <c r="H477" s="9"/>
    </row>
    <row r="478">
      <c r="A478" s="9"/>
      <c r="B478" s="9"/>
      <c r="C478" s="9"/>
      <c r="D478" s="9"/>
      <c r="E478" s="9"/>
      <c r="F478" s="9"/>
      <c r="G478" s="59"/>
      <c r="H478" s="9"/>
    </row>
    <row r="479">
      <c r="A479" s="9"/>
      <c r="B479" s="9"/>
      <c r="C479" s="9"/>
      <c r="D479" s="9"/>
      <c r="E479" s="9"/>
      <c r="F479" s="9"/>
      <c r="G479" s="59"/>
      <c r="H479" s="9"/>
    </row>
    <row r="480">
      <c r="A480" s="9"/>
      <c r="B480" s="9"/>
      <c r="C480" s="9"/>
      <c r="D480" s="9"/>
      <c r="E480" s="9"/>
      <c r="F480" s="9"/>
      <c r="G480" s="59"/>
      <c r="H480" s="9"/>
    </row>
    <row r="481">
      <c r="A481" s="9"/>
      <c r="B481" s="9"/>
      <c r="C481" s="9"/>
      <c r="D481" s="9"/>
      <c r="E481" s="9"/>
      <c r="F481" s="9"/>
      <c r="G481" s="59"/>
      <c r="H481" s="9"/>
    </row>
    <row r="482">
      <c r="A482" s="9"/>
      <c r="B482" s="9"/>
      <c r="C482" s="9"/>
      <c r="D482" s="9"/>
      <c r="E482" s="9"/>
      <c r="F482" s="9"/>
      <c r="G482" s="59"/>
      <c r="H482" s="9"/>
    </row>
    <row r="483">
      <c r="A483" s="9"/>
      <c r="B483" s="9"/>
      <c r="C483" s="9"/>
      <c r="D483" s="9"/>
      <c r="E483" s="9"/>
      <c r="F483" s="9"/>
      <c r="G483" s="59"/>
      <c r="H483" s="9"/>
    </row>
    <row r="484">
      <c r="A484" s="9"/>
      <c r="B484" s="9"/>
      <c r="C484" s="9"/>
      <c r="D484" s="9"/>
      <c r="E484" s="9"/>
      <c r="F484" s="9"/>
      <c r="G484" s="59"/>
      <c r="H484" s="9"/>
    </row>
    <row r="485">
      <c r="A485" s="9"/>
      <c r="B485" s="9"/>
      <c r="C485" s="9"/>
      <c r="D485" s="9"/>
      <c r="E485" s="9"/>
      <c r="F485" s="9"/>
      <c r="G485" s="59"/>
      <c r="H485" s="9"/>
    </row>
    <row r="486">
      <c r="A486" s="9"/>
      <c r="B486" s="9"/>
      <c r="C486" s="9"/>
      <c r="D486" s="9"/>
      <c r="E486" s="9"/>
      <c r="F486" s="9"/>
      <c r="G486" s="59"/>
      <c r="H486" s="9"/>
    </row>
    <row r="487">
      <c r="A487" s="9"/>
      <c r="B487" s="9"/>
      <c r="C487" s="9"/>
      <c r="D487" s="9"/>
      <c r="E487" s="9"/>
      <c r="F487" s="9"/>
      <c r="G487" s="59"/>
      <c r="H487" s="9"/>
    </row>
    <row r="488">
      <c r="A488" s="9"/>
      <c r="B488" s="9"/>
      <c r="C488" s="9"/>
      <c r="D488" s="9"/>
      <c r="E488" s="9"/>
      <c r="F488" s="9"/>
      <c r="G488" s="59"/>
      <c r="H488" s="9"/>
    </row>
    <row r="489">
      <c r="A489" s="9"/>
      <c r="B489" s="9"/>
      <c r="C489" s="9"/>
      <c r="D489" s="9"/>
      <c r="E489" s="9"/>
      <c r="F489" s="9"/>
      <c r="G489" s="59"/>
      <c r="H489" s="9"/>
    </row>
    <row r="490">
      <c r="A490" s="9"/>
      <c r="B490" s="9"/>
      <c r="C490" s="9"/>
      <c r="D490" s="9"/>
      <c r="E490" s="9"/>
      <c r="F490" s="9"/>
      <c r="G490" s="59"/>
      <c r="H490" s="9"/>
    </row>
    <row r="491">
      <c r="A491" s="9"/>
      <c r="B491" s="9"/>
      <c r="C491" s="9"/>
      <c r="D491" s="9"/>
      <c r="E491" s="9"/>
      <c r="F491" s="9"/>
      <c r="G491" s="59"/>
      <c r="H491" s="9"/>
    </row>
    <row r="492">
      <c r="A492" s="9"/>
      <c r="B492" s="9"/>
      <c r="C492" s="9"/>
      <c r="D492" s="9"/>
      <c r="E492" s="9"/>
      <c r="F492" s="9"/>
      <c r="G492" s="59"/>
      <c r="H492" s="9"/>
    </row>
    <row r="493">
      <c r="A493" s="9"/>
      <c r="B493" s="9"/>
      <c r="C493" s="9"/>
      <c r="D493" s="9"/>
      <c r="E493" s="9"/>
      <c r="F493" s="9"/>
      <c r="G493" s="59"/>
      <c r="H493" s="9"/>
    </row>
    <row r="494">
      <c r="A494" s="9"/>
      <c r="B494" s="9"/>
      <c r="C494" s="9"/>
      <c r="D494" s="9"/>
      <c r="E494" s="9"/>
      <c r="F494" s="9"/>
      <c r="G494" s="59"/>
      <c r="H494" s="9"/>
    </row>
    <row r="495">
      <c r="A495" s="9"/>
      <c r="B495" s="9"/>
      <c r="C495" s="9"/>
      <c r="D495" s="9"/>
      <c r="E495" s="9"/>
      <c r="F495" s="9"/>
      <c r="G495" s="59"/>
      <c r="H495" s="9"/>
    </row>
    <row r="496">
      <c r="A496" s="9"/>
      <c r="B496" s="9"/>
      <c r="C496" s="9"/>
      <c r="D496" s="9"/>
      <c r="E496" s="9"/>
      <c r="F496" s="9"/>
      <c r="G496" s="59"/>
      <c r="H496" s="9"/>
    </row>
    <row r="497">
      <c r="A497" s="9"/>
      <c r="B497" s="9"/>
      <c r="C497" s="9"/>
      <c r="D497" s="9"/>
      <c r="E497" s="9"/>
      <c r="F497" s="9"/>
      <c r="G497" s="59"/>
      <c r="H497" s="9"/>
    </row>
    <row r="498">
      <c r="A498" s="9"/>
      <c r="B498" s="9"/>
      <c r="C498" s="9"/>
      <c r="D498" s="9"/>
      <c r="E498" s="9"/>
      <c r="F498" s="9"/>
      <c r="G498" s="59"/>
      <c r="H498" s="9"/>
    </row>
    <row r="499">
      <c r="A499" s="9"/>
      <c r="B499" s="9"/>
      <c r="C499" s="9"/>
      <c r="D499" s="9"/>
      <c r="E499" s="9"/>
      <c r="F499" s="9"/>
      <c r="G499" s="59"/>
      <c r="H499" s="9"/>
    </row>
    <row r="500">
      <c r="A500" s="9"/>
      <c r="B500" s="9"/>
      <c r="C500" s="9"/>
      <c r="D500" s="9"/>
      <c r="E500" s="9"/>
      <c r="F500" s="9"/>
      <c r="G500" s="59"/>
      <c r="H500" s="9"/>
    </row>
    <row r="501">
      <c r="A501" s="9"/>
      <c r="B501" s="9"/>
      <c r="C501" s="9"/>
      <c r="D501" s="9"/>
      <c r="E501" s="9"/>
      <c r="F501" s="9"/>
      <c r="G501" s="59"/>
      <c r="H501" s="9"/>
    </row>
    <row r="502">
      <c r="A502" s="9"/>
      <c r="B502" s="9"/>
      <c r="C502" s="9"/>
      <c r="D502" s="9"/>
      <c r="E502" s="9"/>
      <c r="F502" s="9"/>
      <c r="G502" s="59"/>
      <c r="H502" s="9"/>
    </row>
    <row r="503">
      <c r="A503" s="9"/>
      <c r="B503" s="9"/>
      <c r="C503" s="9"/>
      <c r="D503" s="9"/>
      <c r="E503" s="9"/>
      <c r="F503" s="9"/>
      <c r="G503" s="59"/>
      <c r="H503" s="9"/>
    </row>
    <row r="504">
      <c r="A504" s="9"/>
      <c r="B504" s="9"/>
      <c r="C504" s="9"/>
      <c r="D504" s="9"/>
      <c r="E504" s="9"/>
      <c r="F504" s="9"/>
      <c r="G504" s="59"/>
      <c r="H504" s="9"/>
    </row>
    <row r="505">
      <c r="A505" s="9"/>
      <c r="B505" s="9"/>
      <c r="C505" s="9"/>
      <c r="D505" s="9"/>
      <c r="E505" s="9"/>
      <c r="F505" s="9"/>
      <c r="G505" s="59"/>
      <c r="H505" s="9"/>
    </row>
    <row r="506">
      <c r="A506" s="9"/>
      <c r="B506" s="9"/>
      <c r="C506" s="9"/>
      <c r="D506" s="9"/>
      <c r="E506" s="9"/>
      <c r="F506" s="9"/>
      <c r="G506" s="59"/>
      <c r="H506" s="9"/>
    </row>
    <row r="507">
      <c r="A507" s="9"/>
      <c r="B507" s="9"/>
      <c r="C507" s="9"/>
      <c r="D507" s="9"/>
      <c r="E507" s="9"/>
      <c r="F507" s="9"/>
      <c r="G507" s="59"/>
      <c r="H507" s="9"/>
    </row>
    <row r="508">
      <c r="A508" s="9"/>
      <c r="B508" s="9"/>
      <c r="C508" s="9"/>
      <c r="D508" s="9"/>
      <c r="E508" s="9"/>
      <c r="F508" s="9"/>
      <c r="G508" s="59"/>
      <c r="H508" s="9"/>
    </row>
    <row r="509">
      <c r="A509" s="9"/>
      <c r="B509" s="9"/>
      <c r="C509" s="9"/>
      <c r="D509" s="9"/>
      <c r="E509" s="9"/>
      <c r="F509" s="9"/>
      <c r="G509" s="59"/>
      <c r="H509" s="9"/>
    </row>
    <row r="510">
      <c r="A510" s="9"/>
      <c r="B510" s="9"/>
      <c r="C510" s="9"/>
      <c r="D510" s="9"/>
      <c r="E510" s="9"/>
      <c r="F510" s="9"/>
      <c r="G510" s="59"/>
      <c r="H510" s="9"/>
    </row>
    <row r="511">
      <c r="A511" s="9"/>
      <c r="B511" s="9"/>
      <c r="C511" s="9"/>
      <c r="D511" s="9"/>
      <c r="E511" s="9"/>
      <c r="F511" s="9"/>
      <c r="G511" s="59"/>
      <c r="H511" s="9"/>
    </row>
    <row r="512">
      <c r="A512" s="9"/>
      <c r="B512" s="9"/>
      <c r="C512" s="9"/>
      <c r="D512" s="9"/>
      <c r="E512" s="9"/>
      <c r="F512" s="9"/>
      <c r="G512" s="59"/>
      <c r="H512" s="9"/>
    </row>
    <row r="513">
      <c r="A513" s="9"/>
      <c r="B513" s="9"/>
      <c r="C513" s="9"/>
      <c r="D513" s="9"/>
      <c r="E513" s="9"/>
      <c r="F513" s="9"/>
      <c r="G513" s="59"/>
      <c r="H513" s="9"/>
    </row>
    <row r="514">
      <c r="A514" s="9"/>
      <c r="B514" s="9"/>
      <c r="C514" s="9"/>
      <c r="D514" s="9"/>
      <c r="E514" s="9"/>
      <c r="F514" s="9"/>
      <c r="G514" s="59"/>
      <c r="H514" s="9"/>
    </row>
    <row r="515">
      <c r="A515" s="9"/>
      <c r="B515" s="9"/>
      <c r="C515" s="9"/>
      <c r="D515" s="9"/>
      <c r="E515" s="9"/>
      <c r="F515" s="9"/>
      <c r="G515" s="59"/>
      <c r="H515" s="9"/>
    </row>
    <row r="516">
      <c r="A516" s="9"/>
      <c r="B516" s="9"/>
      <c r="C516" s="9"/>
      <c r="D516" s="9"/>
      <c r="E516" s="9"/>
      <c r="F516" s="9"/>
      <c r="G516" s="59"/>
      <c r="H516" s="9"/>
    </row>
    <row r="517">
      <c r="A517" s="9"/>
      <c r="B517" s="9"/>
      <c r="C517" s="9"/>
      <c r="D517" s="9"/>
      <c r="E517" s="9"/>
      <c r="F517" s="9"/>
      <c r="G517" s="59"/>
      <c r="H517" s="9"/>
    </row>
    <row r="518">
      <c r="A518" s="9"/>
      <c r="B518" s="9"/>
      <c r="C518" s="9"/>
      <c r="D518" s="9"/>
      <c r="E518" s="9"/>
      <c r="F518" s="9"/>
      <c r="G518" s="59"/>
      <c r="H518" s="9"/>
    </row>
    <row r="519">
      <c r="A519" s="9"/>
      <c r="B519" s="9"/>
      <c r="C519" s="9"/>
      <c r="D519" s="9"/>
      <c r="E519" s="9"/>
      <c r="F519" s="9"/>
      <c r="G519" s="59"/>
      <c r="H519" s="9"/>
    </row>
    <row r="520">
      <c r="A520" s="9"/>
      <c r="B520" s="9"/>
      <c r="C520" s="9"/>
      <c r="D520" s="9"/>
      <c r="E520" s="9"/>
      <c r="F520" s="9"/>
      <c r="G520" s="59"/>
      <c r="H520" s="9"/>
    </row>
    <row r="521">
      <c r="A521" s="9"/>
      <c r="B521" s="9"/>
      <c r="C521" s="9"/>
      <c r="D521" s="9"/>
      <c r="E521" s="9"/>
      <c r="F521" s="9"/>
      <c r="G521" s="59"/>
      <c r="H521" s="9"/>
    </row>
    <row r="522">
      <c r="A522" s="9"/>
      <c r="B522" s="9"/>
      <c r="C522" s="9"/>
      <c r="D522" s="9"/>
      <c r="E522" s="9"/>
      <c r="F522" s="9"/>
      <c r="G522" s="59"/>
      <c r="H522" s="9"/>
    </row>
    <row r="523">
      <c r="A523" s="9"/>
      <c r="B523" s="9"/>
      <c r="C523" s="9"/>
      <c r="D523" s="9"/>
      <c r="E523" s="9"/>
      <c r="F523" s="9"/>
      <c r="G523" s="59"/>
      <c r="H523" s="9"/>
    </row>
    <row r="524">
      <c r="A524" s="9"/>
      <c r="B524" s="9"/>
      <c r="C524" s="9"/>
      <c r="D524" s="9"/>
      <c r="E524" s="9"/>
      <c r="F524" s="9"/>
      <c r="G524" s="59"/>
      <c r="H524" s="9"/>
    </row>
    <row r="525">
      <c r="A525" s="9"/>
      <c r="B525" s="9"/>
      <c r="C525" s="9"/>
      <c r="D525" s="9"/>
      <c r="E525" s="9"/>
      <c r="F525" s="9"/>
      <c r="G525" s="59"/>
      <c r="H525" s="9"/>
    </row>
    <row r="526">
      <c r="A526" s="9"/>
      <c r="B526" s="9"/>
      <c r="C526" s="9"/>
      <c r="D526" s="9"/>
      <c r="E526" s="9"/>
      <c r="F526" s="9"/>
      <c r="G526" s="59"/>
      <c r="H526" s="9"/>
    </row>
    <row r="527">
      <c r="A527" s="9"/>
      <c r="B527" s="9"/>
      <c r="C527" s="9"/>
      <c r="D527" s="9"/>
      <c r="E527" s="9"/>
      <c r="F527" s="9"/>
      <c r="G527" s="59"/>
      <c r="H527" s="9"/>
    </row>
    <row r="528">
      <c r="A528" s="9"/>
      <c r="B528" s="9"/>
      <c r="C528" s="9"/>
      <c r="D528" s="9"/>
      <c r="E528" s="9"/>
      <c r="F528" s="9"/>
      <c r="G528" s="59"/>
      <c r="H528" s="9"/>
    </row>
    <row r="529">
      <c r="A529" s="9"/>
      <c r="B529" s="9"/>
      <c r="C529" s="9"/>
      <c r="D529" s="9"/>
      <c r="E529" s="9"/>
      <c r="F529" s="9"/>
      <c r="G529" s="59"/>
      <c r="H529" s="9"/>
    </row>
    <row r="530">
      <c r="A530" s="9"/>
      <c r="B530" s="9"/>
      <c r="C530" s="9"/>
      <c r="D530" s="9"/>
      <c r="E530" s="9"/>
      <c r="F530" s="9"/>
      <c r="G530" s="59"/>
      <c r="H530" s="9"/>
    </row>
    <row r="531">
      <c r="A531" s="9"/>
      <c r="B531" s="9"/>
      <c r="C531" s="9"/>
      <c r="D531" s="9"/>
      <c r="E531" s="9"/>
      <c r="F531" s="9"/>
      <c r="G531" s="59"/>
      <c r="H531" s="9"/>
    </row>
    <row r="532">
      <c r="A532" s="9"/>
      <c r="B532" s="9"/>
      <c r="C532" s="9"/>
      <c r="D532" s="9"/>
      <c r="E532" s="9"/>
      <c r="F532" s="9"/>
      <c r="G532" s="59"/>
      <c r="H532" s="9"/>
    </row>
    <row r="533">
      <c r="A533" s="9"/>
      <c r="B533" s="9"/>
      <c r="C533" s="9"/>
      <c r="D533" s="9"/>
      <c r="E533" s="9"/>
      <c r="F533" s="9"/>
      <c r="G533" s="59"/>
      <c r="H533" s="9"/>
    </row>
    <row r="534">
      <c r="A534" s="9"/>
      <c r="B534" s="9"/>
      <c r="C534" s="9"/>
      <c r="D534" s="9"/>
      <c r="E534" s="9"/>
      <c r="F534" s="9"/>
      <c r="G534" s="59"/>
      <c r="H534" s="9"/>
    </row>
    <row r="535">
      <c r="A535" s="9"/>
      <c r="B535" s="9"/>
      <c r="C535" s="9"/>
      <c r="D535" s="9"/>
      <c r="E535" s="9"/>
      <c r="F535" s="9"/>
      <c r="G535" s="59"/>
      <c r="H535" s="9"/>
    </row>
    <row r="536">
      <c r="A536" s="9"/>
      <c r="B536" s="9"/>
      <c r="C536" s="9"/>
      <c r="D536" s="9"/>
      <c r="E536" s="9"/>
      <c r="F536" s="9"/>
      <c r="G536" s="59"/>
      <c r="H536" s="9"/>
    </row>
    <row r="537">
      <c r="A537" s="9"/>
      <c r="B537" s="9"/>
      <c r="C537" s="9"/>
      <c r="D537" s="9"/>
      <c r="E537" s="9"/>
      <c r="F537" s="9"/>
      <c r="G537" s="59"/>
      <c r="H537" s="9"/>
    </row>
    <row r="538">
      <c r="A538" s="9"/>
      <c r="B538" s="9"/>
      <c r="C538" s="9"/>
      <c r="D538" s="9"/>
      <c r="E538" s="9"/>
      <c r="F538" s="9"/>
      <c r="G538" s="59"/>
      <c r="H538" s="9"/>
    </row>
    <row r="539">
      <c r="A539" s="9"/>
      <c r="B539" s="9"/>
      <c r="C539" s="9"/>
      <c r="D539" s="9"/>
      <c r="E539" s="9"/>
      <c r="F539" s="9"/>
      <c r="G539" s="59"/>
      <c r="H539" s="9"/>
    </row>
    <row r="540">
      <c r="A540" s="9"/>
      <c r="B540" s="9"/>
      <c r="C540" s="9"/>
      <c r="D540" s="9"/>
      <c r="E540" s="9"/>
      <c r="F540" s="9"/>
      <c r="G540" s="59"/>
      <c r="H540" s="9"/>
    </row>
    <row r="541">
      <c r="A541" s="9"/>
      <c r="B541" s="9"/>
      <c r="C541" s="9"/>
      <c r="D541" s="9"/>
      <c r="E541" s="9"/>
      <c r="F541" s="9"/>
      <c r="G541" s="59"/>
      <c r="H541" s="9"/>
    </row>
    <row r="542">
      <c r="A542" s="9"/>
      <c r="B542" s="9"/>
      <c r="C542" s="9"/>
      <c r="D542" s="9"/>
      <c r="E542" s="9"/>
      <c r="F542" s="9"/>
      <c r="G542" s="59"/>
      <c r="H542" s="9"/>
    </row>
    <row r="543">
      <c r="A543" s="9"/>
      <c r="B543" s="9"/>
      <c r="C543" s="9"/>
      <c r="D543" s="9"/>
      <c r="E543" s="9"/>
      <c r="F543" s="9"/>
      <c r="G543" s="59"/>
      <c r="H543" s="9"/>
    </row>
    <row r="544">
      <c r="A544" s="9"/>
      <c r="B544" s="9"/>
      <c r="C544" s="9"/>
      <c r="D544" s="9"/>
      <c r="E544" s="9"/>
      <c r="F544" s="9"/>
      <c r="G544" s="59"/>
      <c r="H544" s="9"/>
    </row>
    <row r="545">
      <c r="A545" s="9"/>
      <c r="B545" s="9"/>
      <c r="C545" s="9"/>
      <c r="D545" s="9"/>
      <c r="E545" s="9"/>
      <c r="F545" s="9"/>
      <c r="G545" s="59"/>
      <c r="H545" s="9"/>
    </row>
    <row r="546">
      <c r="A546" s="9"/>
      <c r="B546" s="9"/>
      <c r="C546" s="9"/>
      <c r="D546" s="9"/>
      <c r="E546" s="9"/>
      <c r="F546" s="9"/>
      <c r="G546" s="59"/>
      <c r="H546" s="9"/>
    </row>
    <row r="547">
      <c r="A547" s="9"/>
      <c r="B547" s="9"/>
      <c r="C547" s="9"/>
      <c r="D547" s="9"/>
      <c r="E547" s="9"/>
      <c r="F547" s="9"/>
      <c r="G547" s="59"/>
      <c r="H547" s="9"/>
    </row>
    <row r="548">
      <c r="A548" s="9"/>
      <c r="B548" s="9"/>
      <c r="C548" s="9"/>
      <c r="D548" s="9"/>
      <c r="E548" s="9"/>
      <c r="F548" s="9"/>
      <c r="G548" s="59"/>
      <c r="H548" s="9"/>
    </row>
    <row r="549">
      <c r="A549" s="9"/>
      <c r="B549" s="9"/>
      <c r="C549" s="9"/>
      <c r="D549" s="9"/>
      <c r="E549" s="9"/>
      <c r="F549" s="9"/>
      <c r="G549" s="59"/>
      <c r="H549" s="9"/>
    </row>
    <row r="550">
      <c r="A550" s="9"/>
      <c r="B550" s="9"/>
      <c r="C550" s="9"/>
      <c r="D550" s="9"/>
      <c r="E550" s="9"/>
      <c r="F550" s="9"/>
      <c r="G550" s="59"/>
      <c r="H550" s="9"/>
    </row>
    <row r="551">
      <c r="A551" s="9"/>
      <c r="B551" s="9"/>
      <c r="C551" s="9"/>
      <c r="D551" s="9"/>
      <c r="E551" s="9"/>
      <c r="F551" s="9"/>
      <c r="G551" s="59"/>
      <c r="H551" s="9"/>
    </row>
    <row r="552">
      <c r="A552" s="9"/>
      <c r="B552" s="9"/>
      <c r="C552" s="9"/>
      <c r="D552" s="9"/>
      <c r="E552" s="9"/>
      <c r="F552" s="9"/>
      <c r="G552" s="59"/>
      <c r="H552" s="9"/>
    </row>
    <row r="553">
      <c r="A553" s="9"/>
      <c r="B553" s="9"/>
      <c r="C553" s="9"/>
      <c r="D553" s="9"/>
      <c r="E553" s="9"/>
      <c r="F553" s="9"/>
      <c r="G553" s="59"/>
      <c r="H553" s="9"/>
    </row>
    <row r="554">
      <c r="A554" s="9"/>
      <c r="B554" s="9"/>
      <c r="C554" s="9"/>
      <c r="D554" s="9"/>
      <c r="E554" s="9"/>
      <c r="F554" s="9"/>
      <c r="G554" s="59"/>
      <c r="H554" s="9"/>
    </row>
    <row r="555">
      <c r="A555" s="9"/>
      <c r="B555" s="9"/>
      <c r="C555" s="9"/>
      <c r="D555" s="9"/>
      <c r="E555" s="9"/>
      <c r="F555" s="9"/>
      <c r="G555" s="59"/>
      <c r="H555" s="9"/>
    </row>
    <row r="556">
      <c r="A556" s="9"/>
      <c r="B556" s="9"/>
      <c r="C556" s="9"/>
      <c r="D556" s="9"/>
      <c r="E556" s="9"/>
      <c r="F556" s="9"/>
      <c r="G556" s="59"/>
      <c r="H556" s="9"/>
    </row>
    <row r="557">
      <c r="A557" s="9"/>
      <c r="B557" s="9"/>
      <c r="C557" s="9"/>
      <c r="D557" s="9"/>
      <c r="E557" s="9"/>
      <c r="F557" s="9"/>
      <c r="G557" s="59"/>
      <c r="H557" s="9"/>
    </row>
    <row r="558">
      <c r="A558" s="9"/>
      <c r="B558" s="9"/>
      <c r="C558" s="9"/>
      <c r="D558" s="9"/>
      <c r="E558" s="9"/>
      <c r="F558" s="9"/>
      <c r="G558" s="59"/>
      <c r="H558" s="9"/>
    </row>
    <row r="559">
      <c r="A559" s="9"/>
      <c r="B559" s="9"/>
      <c r="C559" s="9"/>
      <c r="D559" s="9"/>
      <c r="E559" s="9"/>
      <c r="F559" s="9"/>
      <c r="G559" s="59"/>
      <c r="H559" s="9"/>
    </row>
    <row r="560">
      <c r="A560" s="9"/>
      <c r="B560" s="9"/>
      <c r="C560" s="9"/>
      <c r="D560" s="9"/>
      <c r="E560" s="9"/>
      <c r="F560" s="9"/>
      <c r="G560" s="59"/>
      <c r="H560" s="9"/>
    </row>
    <row r="561">
      <c r="A561" s="9"/>
      <c r="B561" s="9"/>
      <c r="C561" s="9"/>
      <c r="D561" s="9"/>
      <c r="E561" s="9"/>
      <c r="F561" s="9"/>
      <c r="G561" s="59"/>
      <c r="H561" s="9"/>
    </row>
    <row r="562">
      <c r="A562" s="9"/>
      <c r="B562" s="9"/>
      <c r="C562" s="9"/>
      <c r="D562" s="9"/>
      <c r="E562" s="9"/>
      <c r="F562" s="9"/>
      <c r="G562" s="59"/>
      <c r="H562" s="9"/>
    </row>
    <row r="563">
      <c r="A563" s="9"/>
      <c r="B563" s="9"/>
      <c r="C563" s="9"/>
      <c r="D563" s="9"/>
      <c r="E563" s="9"/>
      <c r="F563" s="9"/>
      <c r="G563" s="59"/>
      <c r="H563" s="9"/>
    </row>
    <row r="564">
      <c r="A564" s="9"/>
      <c r="B564" s="9"/>
      <c r="C564" s="9"/>
      <c r="D564" s="9"/>
      <c r="E564" s="9"/>
      <c r="F564" s="9"/>
      <c r="G564" s="59"/>
      <c r="H564" s="9"/>
    </row>
    <row r="565">
      <c r="A565" s="9"/>
      <c r="B565" s="9"/>
      <c r="C565" s="9"/>
      <c r="D565" s="9"/>
      <c r="E565" s="9"/>
      <c r="F565" s="9"/>
      <c r="G565" s="59"/>
      <c r="H565" s="9"/>
    </row>
    <row r="566">
      <c r="A566" s="9"/>
      <c r="B566" s="9"/>
      <c r="C566" s="9"/>
      <c r="D566" s="9"/>
      <c r="E566" s="9"/>
      <c r="F566" s="9"/>
      <c r="G566" s="59"/>
      <c r="H566" s="9"/>
    </row>
    <row r="567">
      <c r="A567" s="9"/>
      <c r="B567" s="9"/>
      <c r="C567" s="9"/>
      <c r="D567" s="9"/>
      <c r="E567" s="9"/>
      <c r="F567" s="9"/>
      <c r="G567" s="59"/>
      <c r="H567" s="9"/>
    </row>
    <row r="568">
      <c r="A568" s="9"/>
      <c r="B568" s="9"/>
      <c r="C568" s="9"/>
      <c r="D568" s="9"/>
      <c r="E568" s="9"/>
      <c r="F568" s="9"/>
      <c r="G568" s="59"/>
      <c r="H568" s="9"/>
    </row>
    <row r="569">
      <c r="A569" s="9"/>
      <c r="B569" s="9"/>
      <c r="C569" s="9"/>
      <c r="D569" s="9"/>
      <c r="E569" s="9"/>
      <c r="F569" s="9"/>
      <c r="G569" s="59"/>
      <c r="H569" s="9"/>
    </row>
    <row r="570">
      <c r="A570" s="9"/>
      <c r="B570" s="9"/>
      <c r="C570" s="9"/>
      <c r="D570" s="9"/>
      <c r="E570" s="9"/>
      <c r="F570" s="9"/>
      <c r="G570" s="59"/>
      <c r="H570" s="9"/>
    </row>
    <row r="571">
      <c r="A571" s="9"/>
      <c r="B571" s="9"/>
      <c r="C571" s="9"/>
      <c r="D571" s="9"/>
      <c r="E571" s="9"/>
      <c r="F571" s="9"/>
      <c r="G571" s="59"/>
      <c r="H571" s="9"/>
    </row>
    <row r="572">
      <c r="A572" s="9"/>
      <c r="B572" s="9"/>
      <c r="C572" s="9"/>
      <c r="D572" s="9"/>
      <c r="E572" s="9"/>
      <c r="F572" s="9"/>
      <c r="G572" s="59"/>
      <c r="H572" s="9"/>
    </row>
    <row r="573">
      <c r="A573" s="9"/>
      <c r="B573" s="9"/>
      <c r="C573" s="9"/>
      <c r="D573" s="9"/>
      <c r="E573" s="9"/>
      <c r="F573" s="9"/>
      <c r="G573" s="59"/>
      <c r="H573" s="9"/>
    </row>
    <row r="574">
      <c r="A574" s="9"/>
      <c r="B574" s="9"/>
      <c r="C574" s="9"/>
      <c r="D574" s="9"/>
      <c r="E574" s="9"/>
      <c r="F574" s="9"/>
      <c r="G574" s="59"/>
      <c r="H574" s="9"/>
    </row>
    <row r="575">
      <c r="A575" s="9"/>
      <c r="B575" s="9"/>
      <c r="C575" s="9"/>
      <c r="D575" s="9"/>
      <c r="E575" s="9"/>
      <c r="F575" s="9"/>
      <c r="G575" s="59"/>
      <c r="H575" s="9"/>
    </row>
    <row r="576">
      <c r="A576" s="9"/>
      <c r="B576" s="9"/>
      <c r="C576" s="9"/>
      <c r="D576" s="9"/>
      <c r="E576" s="9"/>
      <c r="F576" s="9"/>
      <c r="G576" s="59"/>
      <c r="H576" s="9"/>
    </row>
    <row r="577">
      <c r="A577" s="9"/>
      <c r="B577" s="9"/>
      <c r="C577" s="9"/>
      <c r="D577" s="9"/>
      <c r="E577" s="9"/>
      <c r="F577" s="9"/>
      <c r="G577" s="59"/>
      <c r="H577" s="9"/>
    </row>
    <row r="578">
      <c r="A578" s="9"/>
      <c r="B578" s="9"/>
      <c r="C578" s="9"/>
      <c r="D578" s="9"/>
      <c r="E578" s="9"/>
      <c r="F578" s="9"/>
      <c r="G578" s="59"/>
      <c r="H578" s="9"/>
    </row>
    <row r="579">
      <c r="A579" s="9"/>
      <c r="B579" s="9"/>
      <c r="C579" s="9"/>
      <c r="D579" s="9"/>
      <c r="E579" s="9"/>
      <c r="F579" s="9"/>
      <c r="G579" s="59"/>
      <c r="H579" s="9"/>
    </row>
    <row r="580">
      <c r="A580" s="9"/>
      <c r="B580" s="9"/>
      <c r="C580" s="9"/>
      <c r="D580" s="9"/>
      <c r="E580" s="9"/>
      <c r="F580" s="9"/>
      <c r="G580" s="59"/>
      <c r="H580" s="9"/>
    </row>
    <row r="581">
      <c r="A581" s="9"/>
      <c r="B581" s="9"/>
      <c r="C581" s="9"/>
      <c r="D581" s="9"/>
      <c r="E581" s="9"/>
      <c r="F581" s="9"/>
      <c r="G581" s="59"/>
      <c r="H581" s="9"/>
    </row>
    <row r="582">
      <c r="A582" s="9"/>
      <c r="B582" s="9"/>
      <c r="C582" s="9"/>
      <c r="D582" s="9"/>
      <c r="E582" s="9"/>
      <c r="F582" s="9"/>
      <c r="G582" s="59"/>
      <c r="H582" s="9"/>
    </row>
    <row r="583">
      <c r="A583" s="9"/>
      <c r="B583" s="9"/>
      <c r="C583" s="9"/>
      <c r="D583" s="9"/>
      <c r="E583" s="9"/>
      <c r="F583" s="9"/>
      <c r="G583" s="59"/>
      <c r="H583" s="9"/>
    </row>
    <row r="584">
      <c r="A584" s="9"/>
      <c r="B584" s="9"/>
      <c r="C584" s="9"/>
      <c r="D584" s="9"/>
      <c r="E584" s="9"/>
      <c r="F584" s="9"/>
      <c r="G584" s="59"/>
      <c r="H584" s="9"/>
    </row>
    <row r="585">
      <c r="A585" s="9"/>
      <c r="B585" s="9"/>
      <c r="C585" s="9"/>
      <c r="D585" s="9"/>
      <c r="E585" s="9"/>
      <c r="F585" s="9"/>
      <c r="G585" s="59"/>
      <c r="H585" s="9"/>
    </row>
    <row r="586">
      <c r="A586" s="9"/>
      <c r="B586" s="9"/>
      <c r="C586" s="9"/>
      <c r="D586" s="9"/>
      <c r="E586" s="9"/>
      <c r="F586" s="9"/>
      <c r="G586" s="59"/>
      <c r="H586" s="9"/>
    </row>
    <row r="587">
      <c r="A587" s="9"/>
      <c r="B587" s="9"/>
      <c r="C587" s="9"/>
      <c r="D587" s="9"/>
      <c r="E587" s="9"/>
      <c r="F587" s="9"/>
      <c r="G587" s="59"/>
      <c r="H587" s="9"/>
    </row>
    <row r="588">
      <c r="A588" s="9"/>
      <c r="B588" s="9"/>
      <c r="C588" s="9"/>
      <c r="D588" s="9"/>
      <c r="E588" s="9"/>
      <c r="F588" s="9"/>
      <c r="G588" s="59"/>
      <c r="H588" s="9"/>
    </row>
    <row r="589">
      <c r="A589" s="9"/>
      <c r="B589" s="9"/>
      <c r="C589" s="9"/>
      <c r="D589" s="9"/>
      <c r="E589" s="9"/>
      <c r="F589" s="9"/>
      <c r="G589" s="59"/>
      <c r="H589" s="9"/>
    </row>
    <row r="590">
      <c r="A590" s="9"/>
      <c r="B590" s="9"/>
      <c r="C590" s="9"/>
      <c r="D590" s="9"/>
      <c r="E590" s="9"/>
      <c r="F590" s="9"/>
      <c r="G590" s="59"/>
      <c r="H590" s="9"/>
    </row>
    <row r="591">
      <c r="A591" s="9"/>
      <c r="B591" s="9"/>
      <c r="C591" s="9"/>
      <c r="D591" s="9"/>
      <c r="E591" s="9"/>
      <c r="F591" s="9"/>
      <c r="G591" s="59"/>
      <c r="H591" s="9"/>
    </row>
    <row r="592">
      <c r="A592" s="9"/>
      <c r="B592" s="9"/>
      <c r="C592" s="9"/>
      <c r="D592" s="9"/>
      <c r="E592" s="9"/>
      <c r="F592" s="9"/>
      <c r="G592" s="59"/>
      <c r="H592" s="9"/>
    </row>
    <row r="593">
      <c r="A593" s="9"/>
      <c r="B593" s="9"/>
      <c r="C593" s="9"/>
      <c r="D593" s="9"/>
      <c r="E593" s="9"/>
      <c r="F593" s="9"/>
      <c r="G593" s="59"/>
      <c r="H593" s="9"/>
    </row>
    <row r="594">
      <c r="A594" s="9"/>
      <c r="B594" s="9"/>
      <c r="C594" s="9"/>
      <c r="D594" s="9"/>
      <c r="E594" s="9"/>
      <c r="F594" s="9"/>
      <c r="G594" s="59"/>
      <c r="H594" s="9"/>
    </row>
    <row r="595">
      <c r="A595" s="9"/>
      <c r="B595" s="9"/>
      <c r="C595" s="9"/>
      <c r="D595" s="9"/>
      <c r="E595" s="9"/>
      <c r="F595" s="9"/>
      <c r="G595" s="59"/>
      <c r="H595" s="9"/>
    </row>
    <row r="596">
      <c r="A596" s="9"/>
      <c r="B596" s="9"/>
      <c r="C596" s="9"/>
      <c r="D596" s="9"/>
      <c r="E596" s="9"/>
      <c r="F596" s="9"/>
      <c r="G596" s="59"/>
      <c r="H596" s="9"/>
    </row>
    <row r="597">
      <c r="A597" s="9"/>
      <c r="B597" s="9"/>
      <c r="C597" s="9"/>
      <c r="D597" s="9"/>
      <c r="E597" s="9"/>
      <c r="F597" s="9"/>
      <c r="G597" s="59"/>
      <c r="H597" s="9"/>
    </row>
    <row r="598">
      <c r="A598" s="9"/>
      <c r="B598" s="9"/>
      <c r="C598" s="9"/>
      <c r="D598" s="9"/>
      <c r="E598" s="9"/>
      <c r="F598" s="9"/>
      <c r="G598" s="59"/>
      <c r="H598" s="9"/>
    </row>
    <row r="599">
      <c r="A599" s="9"/>
      <c r="B599" s="9"/>
      <c r="C599" s="9"/>
      <c r="D599" s="9"/>
      <c r="E599" s="9"/>
      <c r="F599" s="9"/>
      <c r="G599" s="59"/>
      <c r="H599" s="9"/>
    </row>
    <row r="600">
      <c r="A600" s="9"/>
      <c r="B600" s="9"/>
      <c r="C600" s="9"/>
      <c r="D600" s="9"/>
      <c r="E600" s="9"/>
      <c r="F600" s="9"/>
      <c r="G600" s="59"/>
      <c r="H600" s="9"/>
    </row>
    <row r="601">
      <c r="A601" s="9"/>
      <c r="B601" s="9"/>
      <c r="C601" s="9"/>
      <c r="D601" s="9"/>
      <c r="E601" s="9"/>
      <c r="F601" s="9"/>
      <c r="G601" s="59"/>
      <c r="H601" s="9"/>
    </row>
    <row r="602">
      <c r="A602" s="9"/>
      <c r="B602" s="9"/>
      <c r="C602" s="9"/>
      <c r="D602" s="9"/>
      <c r="E602" s="9"/>
      <c r="F602" s="9"/>
      <c r="G602" s="59"/>
      <c r="H602" s="9"/>
    </row>
    <row r="603">
      <c r="A603" s="9"/>
      <c r="B603" s="9"/>
      <c r="C603" s="9"/>
      <c r="D603" s="9"/>
      <c r="E603" s="9"/>
      <c r="F603" s="9"/>
      <c r="G603" s="59"/>
      <c r="H603" s="9"/>
    </row>
    <row r="604">
      <c r="A604" s="9"/>
      <c r="B604" s="9"/>
      <c r="C604" s="9"/>
      <c r="D604" s="9"/>
      <c r="E604" s="9"/>
      <c r="F604" s="9"/>
      <c r="G604" s="59"/>
      <c r="H604" s="9"/>
    </row>
    <row r="605">
      <c r="A605" s="9"/>
      <c r="B605" s="9"/>
      <c r="C605" s="9"/>
      <c r="D605" s="9"/>
      <c r="E605" s="9"/>
      <c r="F605" s="9"/>
      <c r="G605" s="59"/>
      <c r="H605" s="9"/>
    </row>
    <row r="606">
      <c r="A606" s="9"/>
      <c r="B606" s="9"/>
      <c r="C606" s="9"/>
      <c r="D606" s="9"/>
      <c r="E606" s="9"/>
      <c r="F606" s="9"/>
      <c r="G606" s="59"/>
      <c r="H606" s="9"/>
    </row>
    <row r="607">
      <c r="A607" s="9"/>
      <c r="B607" s="9"/>
      <c r="C607" s="9"/>
      <c r="D607" s="9"/>
      <c r="E607" s="9"/>
      <c r="F607" s="9"/>
      <c r="G607" s="59"/>
      <c r="H607" s="9"/>
    </row>
    <row r="608">
      <c r="A608" s="9"/>
      <c r="B608" s="9"/>
      <c r="C608" s="9"/>
      <c r="D608" s="9"/>
      <c r="E608" s="9"/>
      <c r="F608" s="9"/>
      <c r="G608" s="59"/>
      <c r="H608" s="9"/>
    </row>
    <row r="609">
      <c r="A609" s="9"/>
      <c r="B609" s="9"/>
      <c r="C609" s="9"/>
      <c r="D609" s="9"/>
      <c r="E609" s="9"/>
      <c r="F609" s="9"/>
      <c r="G609" s="59"/>
      <c r="H609" s="9"/>
    </row>
    <row r="610">
      <c r="A610" s="9"/>
      <c r="B610" s="9"/>
      <c r="C610" s="9"/>
      <c r="D610" s="9"/>
      <c r="E610" s="9"/>
      <c r="F610" s="9"/>
      <c r="G610" s="59"/>
      <c r="H610" s="9"/>
    </row>
    <row r="611">
      <c r="A611" s="9"/>
      <c r="B611" s="9"/>
      <c r="C611" s="9"/>
      <c r="D611" s="9"/>
      <c r="E611" s="9"/>
      <c r="F611" s="9"/>
      <c r="G611" s="59"/>
      <c r="H611" s="9"/>
    </row>
    <row r="612">
      <c r="A612" s="9"/>
      <c r="B612" s="9"/>
      <c r="C612" s="9"/>
      <c r="D612" s="9"/>
      <c r="E612" s="9"/>
      <c r="F612" s="9"/>
      <c r="G612" s="59"/>
      <c r="H612" s="9"/>
    </row>
    <row r="613">
      <c r="A613" s="9"/>
      <c r="B613" s="9"/>
      <c r="C613" s="9"/>
      <c r="D613" s="9"/>
      <c r="E613" s="9"/>
      <c r="F613" s="9"/>
      <c r="G613" s="59"/>
      <c r="H613" s="9"/>
    </row>
    <row r="614">
      <c r="A614" s="9"/>
      <c r="B614" s="9"/>
      <c r="C614" s="9"/>
      <c r="D614" s="9"/>
      <c r="E614" s="9"/>
      <c r="F614" s="9"/>
      <c r="G614" s="59"/>
      <c r="H614" s="9"/>
    </row>
    <row r="615">
      <c r="A615" s="9"/>
      <c r="B615" s="9"/>
      <c r="C615" s="9"/>
      <c r="D615" s="9"/>
      <c r="E615" s="9"/>
      <c r="F615" s="9"/>
      <c r="G615" s="59"/>
      <c r="H615" s="9"/>
    </row>
    <row r="616">
      <c r="A616" s="9"/>
      <c r="B616" s="9"/>
      <c r="C616" s="9"/>
      <c r="D616" s="9"/>
      <c r="E616" s="9"/>
      <c r="F616" s="9"/>
      <c r="G616" s="59"/>
      <c r="H616" s="9"/>
    </row>
    <row r="617">
      <c r="A617" s="9"/>
      <c r="B617" s="9"/>
      <c r="C617" s="9"/>
      <c r="D617" s="9"/>
      <c r="E617" s="9"/>
      <c r="F617" s="9"/>
      <c r="G617" s="59"/>
      <c r="H617" s="9"/>
    </row>
    <row r="618">
      <c r="A618" s="9"/>
      <c r="B618" s="9"/>
      <c r="C618" s="9"/>
      <c r="D618" s="9"/>
      <c r="E618" s="9"/>
      <c r="F618" s="9"/>
      <c r="G618" s="59"/>
      <c r="H618" s="9"/>
    </row>
    <row r="619">
      <c r="A619" s="9"/>
      <c r="B619" s="9"/>
      <c r="C619" s="9"/>
      <c r="D619" s="9"/>
      <c r="E619" s="9"/>
      <c r="F619" s="9"/>
      <c r="G619" s="59"/>
      <c r="H619" s="9"/>
    </row>
    <row r="620">
      <c r="A620" s="9"/>
      <c r="B620" s="9"/>
      <c r="C620" s="9"/>
      <c r="D620" s="9"/>
      <c r="E620" s="9"/>
      <c r="F620" s="9"/>
      <c r="G620" s="59"/>
      <c r="H620" s="9"/>
    </row>
    <row r="621">
      <c r="A621" s="9"/>
      <c r="B621" s="9"/>
      <c r="C621" s="9"/>
      <c r="D621" s="9"/>
      <c r="E621" s="9"/>
      <c r="F621" s="9"/>
      <c r="G621" s="59"/>
      <c r="H621" s="9"/>
    </row>
    <row r="622">
      <c r="A622" s="9"/>
      <c r="B622" s="9"/>
      <c r="C622" s="9"/>
      <c r="D622" s="9"/>
      <c r="E622" s="9"/>
      <c r="F622" s="9"/>
      <c r="G622" s="59"/>
      <c r="H622" s="9"/>
    </row>
    <row r="623">
      <c r="A623" s="9"/>
      <c r="B623" s="9"/>
      <c r="C623" s="9"/>
      <c r="D623" s="9"/>
      <c r="E623" s="9"/>
      <c r="F623" s="9"/>
      <c r="G623" s="59"/>
      <c r="H623" s="9"/>
    </row>
    <row r="624">
      <c r="A624" s="9"/>
      <c r="B624" s="9"/>
      <c r="C624" s="9"/>
      <c r="D624" s="9"/>
      <c r="E624" s="9"/>
      <c r="F624" s="9"/>
      <c r="G624" s="59"/>
      <c r="H624" s="9"/>
    </row>
    <row r="625">
      <c r="A625" s="9"/>
      <c r="B625" s="9"/>
      <c r="C625" s="9"/>
      <c r="D625" s="9"/>
      <c r="E625" s="9"/>
      <c r="F625" s="9"/>
      <c r="G625" s="59"/>
      <c r="H625" s="9"/>
    </row>
    <row r="626">
      <c r="A626" s="9"/>
      <c r="B626" s="9"/>
      <c r="C626" s="9"/>
      <c r="D626" s="9"/>
      <c r="E626" s="9"/>
      <c r="F626" s="9"/>
      <c r="G626" s="59"/>
      <c r="H626" s="9"/>
    </row>
    <row r="627">
      <c r="A627" s="9"/>
      <c r="B627" s="9"/>
      <c r="C627" s="9"/>
      <c r="D627" s="9"/>
      <c r="E627" s="9"/>
      <c r="F627" s="9"/>
      <c r="G627" s="59"/>
      <c r="H627" s="9"/>
    </row>
    <row r="628">
      <c r="A628" s="9"/>
      <c r="B628" s="9"/>
      <c r="C628" s="9"/>
      <c r="D628" s="9"/>
      <c r="E628" s="9"/>
      <c r="F628" s="9"/>
      <c r="G628" s="59"/>
      <c r="H628" s="9"/>
    </row>
    <row r="629">
      <c r="A629" s="9"/>
      <c r="B629" s="9"/>
      <c r="C629" s="9"/>
      <c r="D629" s="9"/>
      <c r="E629" s="9"/>
      <c r="F629" s="9"/>
      <c r="G629" s="59"/>
      <c r="H629" s="9"/>
    </row>
    <row r="630">
      <c r="A630" s="9"/>
      <c r="B630" s="9"/>
      <c r="C630" s="9"/>
      <c r="D630" s="9"/>
      <c r="E630" s="9"/>
      <c r="F630" s="9"/>
      <c r="G630" s="59"/>
      <c r="H630" s="9"/>
    </row>
    <row r="631">
      <c r="A631" s="9"/>
      <c r="B631" s="9"/>
      <c r="C631" s="9"/>
      <c r="D631" s="9"/>
      <c r="E631" s="9"/>
      <c r="F631" s="9"/>
      <c r="G631" s="59"/>
      <c r="H631" s="9"/>
    </row>
    <row r="632">
      <c r="A632" s="9"/>
      <c r="B632" s="9"/>
      <c r="C632" s="9"/>
      <c r="D632" s="9"/>
      <c r="E632" s="9"/>
      <c r="F632" s="9"/>
      <c r="G632" s="59"/>
      <c r="H632" s="9"/>
    </row>
    <row r="633">
      <c r="A633" s="9"/>
      <c r="B633" s="9"/>
      <c r="C633" s="9"/>
      <c r="D633" s="9"/>
      <c r="E633" s="9"/>
      <c r="F633" s="9"/>
      <c r="G633" s="59"/>
      <c r="H633" s="9"/>
    </row>
    <row r="634">
      <c r="A634" s="9"/>
      <c r="B634" s="9"/>
      <c r="C634" s="9"/>
      <c r="D634" s="9"/>
      <c r="E634" s="9"/>
      <c r="F634" s="9"/>
      <c r="G634" s="59"/>
      <c r="H634" s="9"/>
    </row>
    <row r="635">
      <c r="A635" s="9"/>
      <c r="B635" s="9"/>
      <c r="C635" s="9"/>
      <c r="D635" s="9"/>
      <c r="E635" s="9"/>
      <c r="F635" s="9"/>
      <c r="G635" s="59"/>
      <c r="H635" s="9"/>
    </row>
    <row r="636">
      <c r="A636" s="9"/>
      <c r="B636" s="9"/>
      <c r="C636" s="9"/>
      <c r="D636" s="9"/>
      <c r="E636" s="9"/>
      <c r="F636" s="9"/>
      <c r="G636" s="59"/>
      <c r="H636" s="9"/>
    </row>
    <row r="637">
      <c r="A637" s="9"/>
      <c r="B637" s="9"/>
      <c r="C637" s="9"/>
      <c r="D637" s="9"/>
      <c r="E637" s="9"/>
      <c r="F637" s="9"/>
      <c r="G637" s="59"/>
      <c r="H637" s="9"/>
    </row>
    <row r="638">
      <c r="A638" s="9"/>
      <c r="B638" s="9"/>
      <c r="C638" s="9"/>
      <c r="D638" s="9"/>
      <c r="E638" s="9"/>
      <c r="F638" s="9"/>
      <c r="G638" s="59"/>
      <c r="H638" s="9"/>
    </row>
    <row r="639">
      <c r="A639" s="9"/>
      <c r="B639" s="9"/>
      <c r="C639" s="9"/>
      <c r="D639" s="9"/>
      <c r="E639" s="9"/>
      <c r="F639" s="9"/>
      <c r="G639" s="59"/>
      <c r="H639" s="9"/>
    </row>
    <row r="640">
      <c r="A640" s="9"/>
      <c r="B640" s="9"/>
      <c r="C640" s="9"/>
      <c r="D640" s="9"/>
      <c r="E640" s="9"/>
      <c r="F640" s="9"/>
      <c r="G640" s="59"/>
      <c r="H640" s="9"/>
    </row>
    <row r="641">
      <c r="A641" s="9"/>
      <c r="B641" s="9"/>
      <c r="C641" s="9"/>
      <c r="D641" s="9"/>
      <c r="E641" s="9"/>
      <c r="F641" s="9"/>
      <c r="G641" s="59"/>
      <c r="H641" s="9"/>
    </row>
    <row r="642">
      <c r="A642" s="9"/>
      <c r="B642" s="9"/>
      <c r="C642" s="9"/>
      <c r="D642" s="9"/>
      <c r="E642" s="9"/>
      <c r="F642" s="9"/>
      <c r="G642" s="59"/>
      <c r="H642" s="9"/>
    </row>
    <row r="643">
      <c r="A643" s="9"/>
      <c r="B643" s="9"/>
      <c r="C643" s="9"/>
      <c r="D643" s="9"/>
      <c r="E643" s="9"/>
      <c r="F643" s="9"/>
      <c r="G643" s="59"/>
      <c r="H643" s="9"/>
    </row>
    <row r="644">
      <c r="A644" s="9"/>
      <c r="B644" s="9"/>
      <c r="C644" s="9"/>
      <c r="D644" s="9"/>
      <c r="E644" s="9"/>
      <c r="F644" s="9"/>
      <c r="G644" s="59"/>
      <c r="H644" s="9"/>
    </row>
    <row r="645">
      <c r="A645" s="9"/>
      <c r="B645" s="9"/>
      <c r="C645" s="9"/>
      <c r="D645" s="9"/>
      <c r="E645" s="9"/>
      <c r="F645" s="9"/>
      <c r="G645" s="59"/>
      <c r="H645" s="9"/>
    </row>
    <row r="646">
      <c r="A646" s="9"/>
      <c r="B646" s="9"/>
      <c r="C646" s="9"/>
      <c r="D646" s="9"/>
      <c r="E646" s="9"/>
      <c r="F646" s="9"/>
      <c r="G646" s="59"/>
      <c r="H646" s="9"/>
    </row>
    <row r="647">
      <c r="A647" s="9"/>
      <c r="B647" s="9"/>
      <c r="C647" s="9"/>
      <c r="D647" s="9"/>
      <c r="E647" s="9"/>
      <c r="F647" s="9"/>
      <c r="G647" s="59"/>
      <c r="H647" s="9"/>
    </row>
    <row r="648">
      <c r="A648" s="9"/>
      <c r="B648" s="9"/>
      <c r="C648" s="9"/>
      <c r="D648" s="9"/>
      <c r="E648" s="9"/>
      <c r="F648" s="9"/>
      <c r="G648" s="59"/>
      <c r="H648" s="9"/>
    </row>
    <row r="649">
      <c r="A649" s="9"/>
      <c r="B649" s="9"/>
      <c r="C649" s="9"/>
      <c r="D649" s="9"/>
      <c r="E649" s="9"/>
      <c r="F649" s="9"/>
      <c r="G649" s="59"/>
      <c r="H649" s="9"/>
    </row>
    <row r="650">
      <c r="A650" s="9"/>
      <c r="B650" s="9"/>
      <c r="C650" s="9"/>
      <c r="D650" s="9"/>
      <c r="E650" s="9"/>
      <c r="F650" s="9"/>
      <c r="G650" s="59"/>
      <c r="H650" s="9"/>
    </row>
    <row r="651">
      <c r="A651" s="9"/>
      <c r="B651" s="9"/>
      <c r="C651" s="9"/>
      <c r="D651" s="9"/>
      <c r="E651" s="9"/>
      <c r="F651" s="9"/>
      <c r="G651" s="59"/>
      <c r="H651" s="9"/>
    </row>
    <row r="652">
      <c r="A652" s="9"/>
      <c r="B652" s="9"/>
      <c r="C652" s="9"/>
      <c r="D652" s="9"/>
      <c r="E652" s="9"/>
      <c r="F652" s="9"/>
      <c r="G652" s="59"/>
      <c r="H652" s="9"/>
    </row>
    <row r="653">
      <c r="A653" s="9"/>
      <c r="B653" s="9"/>
      <c r="C653" s="9"/>
      <c r="D653" s="9"/>
      <c r="E653" s="9"/>
      <c r="F653" s="9"/>
      <c r="G653" s="59"/>
      <c r="H653" s="9"/>
    </row>
    <row r="654">
      <c r="A654" s="9"/>
      <c r="B654" s="9"/>
      <c r="C654" s="9"/>
      <c r="D654" s="9"/>
      <c r="E654" s="9"/>
      <c r="F654" s="9"/>
      <c r="G654" s="59"/>
      <c r="H654" s="9"/>
    </row>
    <row r="655">
      <c r="A655" s="9"/>
      <c r="B655" s="9"/>
      <c r="C655" s="9"/>
      <c r="D655" s="9"/>
      <c r="E655" s="9"/>
      <c r="F655" s="9"/>
      <c r="G655" s="59"/>
      <c r="H655" s="9"/>
    </row>
    <row r="656">
      <c r="A656" s="9"/>
      <c r="B656" s="9"/>
      <c r="C656" s="9"/>
      <c r="D656" s="9"/>
      <c r="E656" s="9"/>
      <c r="F656" s="9"/>
      <c r="G656" s="59"/>
      <c r="H656" s="9"/>
    </row>
    <row r="657">
      <c r="A657" s="9"/>
      <c r="B657" s="9"/>
      <c r="C657" s="9"/>
      <c r="D657" s="9"/>
      <c r="E657" s="9"/>
      <c r="F657" s="9"/>
      <c r="G657" s="59"/>
      <c r="H657" s="9"/>
    </row>
    <row r="658">
      <c r="A658" s="9"/>
      <c r="B658" s="9"/>
      <c r="C658" s="9"/>
      <c r="D658" s="9"/>
      <c r="E658" s="9"/>
      <c r="F658" s="9"/>
      <c r="G658" s="59"/>
      <c r="H658" s="9"/>
    </row>
    <row r="659">
      <c r="A659" s="9"/>
      <c r="B659" s="9"/>
      <c r="C659" s="9"/>
      <c r="D659" s="9"/>
      <c r="E659" s="9"/>
      <c r="F659" s="9"/>
      <c r="G659" s="59"/>
      <c r="H659" s="9"/>
    </row>
    <row r="660">
      <c r="A660" s="9"/>
      <c r="B660" s="9"/>
      <c r="C660" s="9"/>
      <c r="D660" s="9"/>
      <c r="E660" s="9"/>
      <c r="F660" s="9"/>
      <c r="G660" s="59"/>
      <c r="H660" s="9"/>
    </row>
    <row r="661">
      <c r="A661" s="9"/>
      <c r="B661" s="9"/>
      <c r="C661" s="9"/>
      <c r="D661" s="9"/>
      <c r="E661" s="9"/>
      <c r="F661" s="9"/>
      <c r="G661" s="59"/>
      <c r="H661" s="9"/>
    </row>
    <row r="662">
      <c r="A662" s="9"/>
      <c r="B662" s="9"/>
      <c r="C662" s="9"/>
      <c r="D662" s="9"/>
      <c r="E662" s="9"/>
      <c r="F662" s="9"/>
      <c r="G662" s="59"/>
      <c r="H662" s="9"/>
    </row>
    <row r="663">
      <c r="A663" s="9"/>
      <c r="B663" s="9"/>
      <c r="C663" s="9"/>
      <c r="D663" s="9"/>
      <c r="E663" s="9"/>
      <c r="F663" s="9"/>
      <c r="G663" s="59"/>
      <c r="H663" s="9"/>
    </row>
    <row r="664">
      <c r="A664" s="9"/>
      <c r="B664" s="9"/>
      <c r="C664" s="9"/>
      <c r="D664" s="9"/>
      <c r="E664" s="9"/>
      <c r="F664" s="9"/>
      <c r="G664" s="59"/>
      <c r="H664" s="9"/>
    </row>
    <row r="665">
      <c r="A665" s="9"/>
      <c r="B665" s="9"/>
      <c r="C665" s="9"/>
      <c r="D665" s="9"/>
      <c r="E665" s="9"/>
      <c r="F665" s="9"/>
      <c r="G665" s="59"/>
      <c r="H665" s="9"/>
    </row>
    <row r="666">
      <c r="A666" s="9"/>
      <c r="B666" s="9"/>
      <c r="C666" s="9"/>
      <c r="D666" s="9"/>
      <c r="E666" s="9"/>
      <c r="F666" s="9"/>
      <c r="G666" s="59"/>
      <c r="H666" s="9"/>
    </row>
    <row r="667">
      <c r="A667" s="9"/>
      <c r="B667" s="9"/>
      <c r="C667" s="9"/>
      <c r="D667" s="9"/>
      <c r="E667" s="9"/>
      <c r="F667" s="9"/>
      <c r="G667" s="59"/>
      <c r="H667" s="9"/>
    </row>
    <row r="668">
      <c r="A668" s="9"/>
      <c r="B668" s="9"/>
      <c r="C668" s="9"/>
      <c r="D668" s="9"/>
      <c r="E668" s="9"/>
      <c r="F668" s="9"/>
      <c r="G668" s="59"/>
      <c r="H668" s="9"/>
    </row>
    <row r="669">
      <c r="A669" s="9"/>
      <c r="B669" s="9"/>
      <c r="C669" s="9"/>
      <c r="D669" s="9"/>
      <c r="E669" s="9"/>
      <c r="F669" s="9"/>
      <c r="G669" s="59"/>
      <c r="H669" s="9"/>
    </row>
    <row r="670">
      <c r="A670" s="9"/>
      <c r="B670" s="9"/>
      <c r="C670" s="9"/>
      <c r="D670" s="9"/>
      <c r="E670" s="9"/>
      <c r="F670" s="9"/>
      <c r="G670" s="59"/>
      <c r="H670" s="9"/>
    </row>
    <row r="671">
      <c r="A671" s="9"/>
      <c r="B671" s="9"/>
      <c r="C671" s="9"/>
      <c r="D671" s="9"/>
      <c r="E671" s="9"/>
      <c r="F671" s="9"/>
      <c r="G671" s="59"/>
      <c r="H671" s="9"/>
    </row>
    <row r="672">
      <c r="A672" s="9"/>
      <c r="B672" s="9"/>
      <c r="C672" s="9"/>
      <c r="D672" s="9"/>
      <c r="E672" s="9"/>
      <c r="F672" s="9"/>
      <c r="G672" s="59"/>
      <c r="H672" s="9"/>
    </row>
    <row r="673">
      <c r="A673" s="9"/>
      <c r="B673" s="9"/>
      <c r="C673" s="9"/>
      <c r="D673" s="9"/>
      <c r="E673" s="9"/>
      <c r="F673" s="9"/>
      <c r="G673" s="59"/>
      <c r="H673" s="9"/>
    </row>
    <row r="674">
      <c r="A674" s="9"/>
      <c r="B674" s="9"/>
      <c r="C674" s="9"/>
      <c r="D674" s="9"/>
      <c r="E674" s="9"/>
      <c r="F674" s="9"/>
      <c r="G674" s="59"/>
      <c r="H674" s="9"/>
    </row>
    <row r="675">
      <c r="A675" s="9"/>
      <c r="B675" s="9"/>
      <c r="C675" s="9"/>
      <c r="D675" s="9"/>
      <c r="E675" s="9"/>
      <c r="F675" s="9"/>
      <c r="G675" s="59"/>
      <c r="H675" s="9"/>
    </row>
    <row r="676">
      <c r="A676" s="9"/>
      <c r="B676" s="9"/>
      <c r="C676" s="9"/>
      <c r="D676" s="9"/>
      <c r="E676" s="9"/>
      <c r="F676" s="9"/>
      <c r="G676" s="59"/>
      <c r="H676" s="9"/>
    </row>
    <row r="677">
      <c r="A677" s="9"/>
      <c r="B677" s="9"/>
      <c r="C677" s="9"/>
      <c r="D677" s="9"/>
      <c r="E677" s="9"/>
      <c r="F677" s="9"/>
      <c r="G677" s="59"/>
      <c r="H677" s="9"/>
    </row>
    <row r="678">
      <c r="A678" s="9"/>
      <c r="B678" s="9"/>
      <c r="C678" s="9"/>
      <c r="D678" s="9"/>
      <c r="E678" s="9"/>
      <c r="F678" s="9"/>
      <c r="G678" s="59"/>
      <c r="H678" s="9"/>
    </row>
    <row r="679">
      <c r="A679" s="9"/>
      <c r="B679" s="9"/>
      <c r="C679" s="9"/>
      <c r="D679" s="9"/>
      <c r="E679" s="9"/>
      <c r="F679" s="9"/>
      <c r="G679" s="59"/>
      <c r="H679" s="9"/>
    </row>
    <row r="680">
      <c r="A680" s="9"/>
      <c r="B680" s="9"/>
      <c r="C680" s="9"/>
      <c r="D680" s="9"/>
      <c r="E680" s="9"/>
      <c r="F680" s="9"/>
      <c r="G680" s="59"/>
      <c r="H680" s="9"/>
    </row>
    <row r="681">
      <c r="A681" s="9"/>
      <c r="B681" s="9"/>
      <c r="C681" s="9"/>
      <c r="D681" s="9"/>
      <c r="E681" s="9"/>
      <c r="F681" s="9"/>
      <c r="G681" s="59"/>
      <c r="H681" s="9"/>
    </row>
    <row r="682">
      <c r="A682" s="9"/>
      <c r="B682" s="9"/>
      <c r="C682" s="9"/>
      <c r="D682" s="9"/>
      <c r="E682" s="9"/>
      <c r="F682" s="9"/>
      <c r="G682" s="59"/>
      <c r="H682" s="9"/>
    </row>
    <row r="683">
      <c r="A683" s="9"/>
      <c r="B683" s="9"/>
      <c r="C683" s="9"/>
      <c r="D683" s="9"/>
      <c r="E683" s="9"/>
      <c r="F683" s="9"/>
      <c r="G683" s="59"/>
      <c r="H683" s="9"/>
    </row>
    <row r="684">
      <c r="A684" s="9"/>
      <c r="B684" s="9"/>
      <c r="C684" s="9"/>
      <c r="D684" s="9"/>
      <c r="E684" s="9"/>
      <c r="F684" s="9"/>
      <c r="G684" s="59"/>
      <c r="H684" s="9"/>
    </row>
    <row r="685">
      <c r="A685" s="9"/>
      <c r="B685" s="9"/>
      <c r="C685" s="9"/>
      <c r="D685" s="9"/>
      <c r="E685" s="9"/>
      <c r="F685" s="9"/>
      <c r="G685" s="59"/>
      <c r="H685" s="9"/>
    </row>
    <row r="686">
      <c r="A686" s="9"/>
      <c r="B686" s="9"/>
      <c r="C686" s="9"/>
      <c r="D686" s="9"/>
      <c r="E686" s="9"/>
      <c r="F686" s="9"/>
      <c r="G686" s="59"/>
      <c r="H686" s="9"/>
    </row>
    <row r="687">
      <c r="A687" s="9"/>
      <c r="B687" s="9"/>
      <c r="C687" s="9"/>
      <c r="D687" s="9"/>
      <c r="E687" s="9"/>
      <c r="F687" s="9"/>
      <c r="G687" s="59"/>
      <c r="H687" s="9"/>
    </row>
    <row r="688">
      <c r="A688" s="9"/>
      <c r="B688" s="9"/>
      <c r="C688" s="9"/>
      <c r="D688" s="9"/>
      <c r="E688" s="9"/>
      <c r="F688" s="9"/>
      <c r="G688" s="59"/>
      <c r="H688" s="9"/>
    </row>
    <row r="689">
      <c r="A689" s="9"/>
      <c r="B689" s="9"/>
      <c r="C689" s="9"/>
      <c r="D689" s="9"/>
      <c r="E689" s="9"/>
      <c r="F689" s="9"/>
      <c r="G689" s="59"/>
      <c r="H689" s="9"/>
    </row>
    <row r="690">
      <c r="A690" s="9"/>
      <c r="B690" s="9"/>
      <c r="C690" s="9"/>
      <c r="D690" s="9"/>
      <c r="E690" s="9"/>
      <c r="F690" s="9"/>
      <c r="G690" s="59"/>
      <c r="H690" s="9"/>
    </row>
    <row r="691">
      <c r="A691" s="9"/>
      <c r="B691" s="9"/>
      <c r="C691" s="9"/>
      <c r="D691" s="9"/>
      <c r="E691" s="9"/>
      <c r="F691" s="9"/>
      <c r="G691" s="59"/>
      <c r="H691" s="9"/>
    </row>
    <row r="692">
      <c r="A692" s="9"/>
      <c r="B692" s="9"/>
      <c r="C692" s="9"/>
      <c r="D692" s="9"/>
      <c r="E692" s="9"/>
      <c r="F692" s="9"/>
      <c r="G692" s="59"/>
      <c r="H692" s="9"/>
    </row>
    <row r="693">
      <c r="A693" s="9"/>
      <c r="B693" s="9"/>
      <c r="C693" s="9"/>
      <c r="D693" s="9"/>
      <c r="E693" s="9"/>
      <c r="F693" s="9"/>
      <c r="G693" s="59"/>
      <c r="H693" s="9"/>
    </row>
    <row r="694">
      <c r="A694" s="9"/>
      <c r="B694" s="9"/>
      <c r="C694" s="9"/>
      <c r="D694" s="9"/>
      <c r="E694" s="9"/>
      <c r="F694" s="9"/>
      <c r="G694" s="59"/>
      <c r="H694" s="9"/>
    </row>
    <row r="695">
      <c r="A695" s="9"/>
      <c r="B695" s="9"/>
      <c r="C695" s="9"/>
      <c r="D695" s="9"/>
      <c r="E695" s="9"/>
      <c r="F695" s="9"/>
      <c r="G695" s="59"/>
      <c r="H695" s="9"/>
    </row>
    <row r="696">
      <c r="A696" s="9"/>
      <c r="B696" s="9"/>
      <c r="C696" s="9"/>
      <c r="D696" s="9"/>
      <c r="E696" s="9"/>
      <c r="F696" s="9"/>
      <c r="G696" s="59"/>
      <c r="H696" s="9"/>
    </row>
    <row r="697">
      <c r="A697" s="9"/>
      <c r="B697" s="9"/>
      <c r="C697" s="9"/>
      <c r="D697" s="9"/>
      <c r="E697" s="9"/>
      <c r="F697" s="9"/>
      <c r="G697" s="59"/>
      <c r="H697" s="9"/>
    </row>
    <row r="698">
      <c r="A698" s="9"/>
      <c r="B698" s="9"/>
      <c r="C698" s="9"/>
      <c r="D698" s="9"/>
      <c r="E698" s="9"/>
      <c r="F698" s="9"/>
      <c r="G698" s="59"/>
      <c r="H698" s="9"/>
    </row>
    <row r="699">
      <c r="A699" s="9"/>
      <c r="B699" s="9"/>
      <c r="C699" s="9"/>
      <c r="D699" s="9"/>
      <c r="E699" s="9"/>
      <c r="F699" s="9"/>
      <c r="G699" s="59"/>
      <c r="H699" s="9"/>
    </row>
    <row r="700">
      <c r="A700" s="9"/>
      <c r="B700" s="9"/>
      <c r="C700" s="9"/>
      <c r="D700" s="9"/>
      <c r="E700" s="9"/>
      <c r="F700" s="9"/>
      <c r="G700" s="59"/>
      <c r="H700" s="9"/>
    </row>
    <row r="701">
      <c r="A701" s="9"/>
      <c r="B701" s="9"/>
      <c r="C701" s="9"/>
      <c r="D701" s="9"/>
      <c r="E701" s="9"/>
      <c r="F701" s="9"/>
      <c r="G701" s="59"/>
      <c r="H701" s="9"/>
    </row>
    <row r="702">
      <c r="A702" s="9"/>
      <c r="B702" s="9"/>
      <c r="C702" s="9"/>
      <c r="D702" s="9"/>
      <c r="E702" s="9"/>
      <c r="F702" s="9"/>
      <c r="G702" s="59"/>
      <c r="H702" s="9"/>
    </row>
    <row r="703">
      <c r="A703" s="9"/>
      <c r="B703" s="9"/>
      <c r="C703" s="9"/>
      <c r="D703" s="9"/>
      <c r="E703" s="9"/>
      <c r="F703" s="9"/>
      <c r="G703" s="59"/>
      <c r="H703" s="9"/>
    </row>
    <row r="704">
      <c r="A704" s="9"/>
      <c r="B704" s="9"/>
      <c r="C704" s="9"/>
      <c r="D704" s="9"/>
      <c r="E704" s="9"/>
      <c r="F704" s="9"/>
      <c r="G704" s="59"/>
      <c r="H704" s="9"/>
    </row>
    <row r="705">
      <c r="A705" s="9"/>
      <c r="B705" s="9"/>
      <c r="C705" s="9"/>
      <c r="D705" s="9"/>
      <c r="E705" s="9"/>
      <c r="F705" s="9"/>
      <c r="G705" s="59"/>
      <c r="H705" s="9"/>
    </row>
    <row r="706">
      <c r="A706" s="9"/>
      <c r="B706" s="9"/>
      <c r="C706" s="9"/>
      <c r="D706" s="9"/>
      <c r="E706" s="9"/>
      <c r="F706" s="9"/>
      <c r="G706" s="59"/>
      <c r="H706" s="9"/>
    </row>
    <row r="707">
      <c r="A707" s="9"/>
      <c r="B707" s="9"/>
      <c r="C707" s="9"/>
      <c r="D707" s="9"/>
      <c r="E707" s="9"/>
      <c r="F707" s="9"/>
      <c r="G707" s="59"/>
      <c r="H707" s="9"/>
    </row>
    <row r="708">
      <c r="A708" s="9"/>
      <c r="B708" s="9"/>
      <c r="C708" s="9"/>
      <c r="D708" s="9"/>
      <c r="E708" s="9"/>
      <c r="F708" s="9"/>
      <c r="G708" s="59"/>
      <c r="H708" s="9"/>
    </row>
    <row r="709">
      <c r="A709" s="9"/>
      <c r="B709" s="9"/>
      <c r="C709" s="9"/>
      <c r="D709" s="9"/>
      <c r="E709" s="9"/>
      <c r="F709" s="9"/>
      <c r="G709" s="59"/>
      <c r="H709" s="9"/>
    </row>
    <row r="710">
      <c r="A710" s="9"/>
      <c r="B710" s="9"/>
      <c r="C710" s="9"/>
      <c r="D710" s="9"/>
      <c r="E710" s="9"/>
      <c r="F710" s="9"/>
      <c r="G710" s="59"/>
      <c r="H710" s="9"/>
    </row>
    <row r="711">
      <c r="A711" s="9"/>
      <c r="B711" s="9"/>
      <c r="C711" s="9"/>
      <c r="D711" s="9"/>
      <c r="E711" s="9"/>
      <c r="F711" s="9"/>
      <c r="G711" s="59"/>
      <c r="H711" s="9"/>
    </row>
    <row r="712">
      <c r="A712" s="9"/>
      <c r="B712" s="9"/>
      <c r="C712" s="9"/>
      <c r="D712" s="9"/>
      <c r="E712" s="9"/>
      <c r="F712" s="9"/>
      <c r="G712" s="59"/>
      <c r="H712" s="9"/>
    </row>
    <row r="713">
      <c r="A713" s="9"/>
      <c r="B713" s="9"/>
      <c r="C713" s="9"/>
      <c r="D713" s="9"/>
      <c r="E713" s="9"/>
      <c r="F713" s="9"/>
      <c r="G713" s="59"/>
      <c r="H713" s="9"/>
    </row>
    <row r="714">
      <c r="A714" s="9"/>
      <c r="B714" s="9"/>
      <c r="C714" s="9"/>
      <c r="D714" s="9"/>
      <c r="E714" s="9"/>
      <c r="F714" s="9"/>
      <c r="G714" s="59"/>
      <c r="H714" s="9"/>
    </row>
    <row r="715">
      <c r="A715" s="9"/>
      <c r="B715" s="9"/>
      <c r="C715" s="9"/>
      <c r="D715" s="9"/>
      <c r="E715" s="9"/>
      <c r="F715" s="9"/>
      <c r="G715" s="59"/>
      <c r="H715" s="9"/>
    </row>
    <row r="716">
      <c r="A716" s="9"/>
      <c r="B716" s="9"/>
      <c r="C716" s="9"/>
      <c r="D716" s="9"/>
      <c r="E716" s="9"/>
      <c r="F716" s="9"/>
      <c r="G716" s="59"/>
      <c r="H716" s="9"/>
    </row>
    <row r="717">
      <c r="A717" s="9"/>
      <c r="B717" s="9"/>
      <c r="C717" s="9"/>
      <c r="D717" s="9"/>
      <c r="E717" s="9"/>
      <c r="F717" s="9"/>
      <c r="G717" s="59"/>
      <c r="H717" s="9"/>
    </row>
    <row r="718">
      <c r="A718" s="9"/>
      <c r="B718" s="9"/>
      <c r="C718" s="9"/>
      <c r="D718" s="9"/>
      <c r="E718" s="9"/>
      <c r="F718" s="9"/>
      <c r="G718" s="59"/>
      <c r="H718" s="9"/>
    </row>
    <row r="719">
      <c r="A719" s="9"/>
      <c r="B719" s="9"/>
      <c r="C719" s="9"/>
      <c r="D719" s="9"/>
      <c r="E719" s="9"/>
      <c r="F719" s="9"/>
      <c r="G719" s="59"/>
      <c r="H719" s="9"/>
    </row>
    <row r="720">
      <c r="A720" s="9"/>
      <c r="B720" s="9"/>
      <c r="C720" s="9"/>
      <c r="D720" s="9"/>
      <c r="E720" s="9"/>
      <c r="F720" s="9"/>
      <c r="G720" s="59"/>
      <c r="H720" s="9"/>
    </row>
    <row r="721">
      <c r="A721" s="9"/>
      <c r="B721" s="9"/>
      <c r="C721" s="9"/>
      <c r="D721" s="9"/>
      <c r="E721" s="9"/>
      <c r="F721" s="9"/>
      <c r="G721" s="59"/>
      <c r="H721" s="9"/>
    </row>
    <row r="722">
      <c r="A722" s="9"/>
      <c r="B722" s="9"/>
      <c r="C722" s="9"/>
      <c r="D722" s="9"/>
      <c r="E722" s="9"/>
      <c r="F722" s="9"/>
      <c r="G722" s="59"/>
      <c r="H722" s="9"/>
    </row>
    <row r="723">
      <c r="A723" s="9"/>
      <c r="B723" s="9"/>
      <c r="C723" s="9"/>
      <c r="D723" s="9"/>
      <c r="E723" s="9"/>
      <c r="F723" s="9"/>
      <c r="G723" s="59"/>
      <c r="H723" s="9"/>
    </row>
    <row r="724">
      <c r="A724" s="9"/>
      <c r="B724" s="9"/>
      <c r="C724" s="9"/>
      <c r="D724" s="9"/>
      <c r="E724" s="9"/>
      <c r="F724" s="9"/>
      <c r="G724" s="59"/>
      <c r="H724" s="9"/>
    </row>
    <row r="725">
      <c r="A725" s="9"/>
      <c r="B725" s="9"/>
      <c r="C725" s="9"/>
      <c r="D725" s="9"/>
      <c r="E725" s="9"/>
      <c r="F725" s="9"/>
      <c r="G725" s="59"/>
      <c r="H725" s="9"/>
    </row>
    <row r="726">
      <c r="A726" s="9"/>
      <c r="B726" s="9"/>
      <c r="C726" s="9"/>
      <c r="D726" s="9"/>
      <c r="E726" s="9"/>
      <c r="F726" s="9"/>
      <c r="G726" s="59"/>
      <c r="H726" s="9"/>
    </row>
    <row r="727">
      <c r="A727" s="9"/>
      <c r="B727" s="9"/>
      <c r="C727" s="9"/>
      <c r="D727" s="9"/>
      <c r="E727" s="9"/>
      <c r="F727" s="9"/>
      <c r="G727" s="59"/>
      <c r="H727" s="9"/>
    </row>
    <row r="728">
      <c r="A728" s="9"/>
      <c r="B728" s="9"/>
      <c r="C728" s="9"/>
      <c r="D728" s="9"/>
      <c r="E728" s="9"/>
      <c r="F728" s="9"/>
      <c r="G728" s="59"/>
      <c r="H728" s="9"/>
    </row>
    <row r="729">
      <c r="A729" s="9"/>
      <c r="B729" s="9"/>
      <c r="C729" s="9"/>
      <c r="D729" s="9"/>
      <c r="E729" s="9"/>
      <c r="F729" s="9"/>
      <c r="G729" s="59"/>
      <c r="H729" s="9"/>
    </row>
    <row r="730">
      <c r="A730" s="9"/>
      <c r="B730" s="9"/>
      <c r="C730" s="9"/>
      <c r="D730" s="9"/>
      <c r="E730" s="9"/>
      <c r="F730" s="9"/>
      <c r="G730" s="59"/>
      <c r="H730" s="9"/>
    </row>
    <row r="731">
      <c r="A731" s="9"/>
      <c r="B731" s="9"/>
      <c r="C731" s="9"/>
      <c r="D731" s="9"/>
      <c r="E731" s="9"/>
      <c r="F731" s="9"/>
      <c r="G731" s="59"/>
      <c r="H731" s="9"/>
    </row>
    <row r="732">
      <c r="A732" s="9"/>
      <c r="B732" s="9"/>
      <c r="C732" s="9"/>
      <c r="D732" s="9"/>
      <c r="E732" s="9"/>
      <c r="F732" s="9"/>
      <c r="G732" s="59"/>
      <c r="H732" s="9"/>
    </row>
    <row r="733">
      <c r="A733" s="9"/>
      <c r="B733" s="9"/>
      <c r="C733" s="9"/>
      <c r="D733" s="9"/>
      <c r="E733" s="9"/>
      <c r="F733" s="9"/>
      <c r="G733" s="59"/>
      <c r="H733" s="9"/>
    </row>
    <row r="734">
      <c r="A734" s="9"/>
      <c r="B734" s="9"/>
      <c r="C734" s="9"/>
      <c r="D734" s="9"/>
      <c r="E734" s="9"/>
      <c r="F734" s="9"/>
      <c r="G734" s="59"/>
      <c r="H734" s="9"/>
    </row>
    <row r="735">
      <c r="A735" s="9"/>
      <c r="B735" s="9"/>
      <c r="C735" s="9"/>
      <c r="D735" s="9"/>
      <c r="E735" s="9"/>
      <c r="F735" s="9"/>
      <c r="G735" s="59"/>
      <c r="H735" s="9"/>
    </row>
    <row r="736">
      <c r="A736" s="9"/>
      <c r="B736" s="9"/>
      <c r="C736" s="9"/>
      <c r="D736" s="9"/>
      <c r="E736" s="9"/>
      <c r="F736" s="9"/>
      <c r="G736" s="59"/>
      <c r="H736" s="9"/>
    </row>
    <row r="737">
      <c r="A737" s="9"/>
      <c r="B737" s="9"/>
      <c r="C737" s="9"/>
      <c r="D737" s="9"/>
      <c r="E737" s="9"/>
      <c r="F737" s="9"/>
      <c r="G737" s="59"/>
      <c r="H737" s="9"/>
    </row>
    <row r="738">
      <c r="A738" s="9"/>
      <c r="B738" s="9"/>
      <c r="C738" s="9"/>
      <c r="D738" s="9"/>
      <c r="E738" s="9"/>
      <c r="F738" s="9"/>
      <c r="G738" s="59"/>
      <c r="H738" s="9"/>
    </row>
    <row r="739">
      <c r="A739" s="9"/>
      <c r="B739" s="9"/>
      <c r="C739" s="9"/>
      <c r="D739" s="9"/>
      <c r="E739" s="9"/>
      <c r="F739" s="9"/>
      <c r="G739" s="59"/>
      <c r="H739" s="9"/>
    </row>
    <row r="740">
      <c r="A740" s="9"/>
      <c r="B740" s="9"/>
      <c r="C740" s="9"/>
      <c r="D740" s="9"/>
      <c r="E740" s="9"/>
      <c r="F740" s="9"/>
      <c r="G740" s="59"/>
      <c r="H740" s="9"/>
    </row>
    <row r="741">
      <c r="A741" s="9"/>
      <c r="B741" s="9"/>
      <c r="C741" s="9"/>
      <c r="D741" s="9"/>
      <c r="E741" s="9"/>
      <c r="F741" s="9"/>
      <c r="G741" s="59"/>
      <c r="H741" s="9"/>
    </row>
    <row r="742">
      <c r="A742" s="9"/>
      <c r="B742" s="9"/>
      <c r="C742" s="9"/>
      <c r="D742" s="9"/>
      <c r="E742" s="9"/>
      <c r="F742" s="9"/>
      <c r="G742" s="59"/>
      <c r="H742" s="9"/>
    </row>
    <row r="743">
      <c r="A743" s="9"/>
      <c r="B743" s="9"/>
      <c r="C743" s="9"/>
      <c r="D743" s="9"/>
      <c r="E743" s="9"/>
      <c r="F743" s="9"/>
      <c r="G743" s="59"/>
      <c r="H743" s="9"/>
    </row>
    <row r="744">
      <c r="A744" s="9"/>
      <c r="B744" s="9"/>
      <c r="C744" s="9"/>
      <c r="D744" s="9"/>
      <c r="E744" s="9"/>
      <c r="F744" s="9"/>
      <c r="G744" s="59"/>
      <c r="H744" s="9"/>
    </row>
    <row r="745">
      <c r="A745" s="9"/>
      <c r="B745" s="9"/>
      <c r="C745" s="9"/>
      <c r="D745" s="9"/>
      <c r="E745" s="9"/>
      <c r="F745" s="9"/>
      <c r="G745" s="59"/>
      <c r="H745" s="9"/>
    </row>
    <row r="746">
      <c r="A746" s="9"/>
      <c r="B746" s="9"/>
      <c r="C746" s="9"/>
      <c r="D746" s="9"/>
      <c r="E746" s="9"/>
      <c r="F746" s="9"/>
      <c r="G746" s="59"/>
      <c r="H746" s="9"/>
    </row>
    <row r="747">
      <c r="A747" s="9"/>
      <c r="B747" s="9"/>
      <c r="C747" s="9"/>
      <c r="D747" s="9"/>
      <c r="E747" s="9"/>
      <c r="F747" s="9"/>
      <c r="G747" s="59"/>
      <c r="H747" s="9"/>
    </row>
    <row r="748">
      <c r="A748" s="9"/>
      <c r="B748" s="9"/>
      <c r="C748" s="9"/>
      <c r="D748" s="9"/>
      <c r="E748" s="9"/>
      <c r="F748" s="9"/>
      <c r="G748" s="59"/>
      <c r="H748" s="9"/>
    </row>
    <row r="749">
      <c r="A749" s="9"/>
      <c r="B749" s="9"/>
      <c r="C749" s="9"/>
      <c r="D749" s="9"/>
      <c r="E749" s="9"/>
      <c r="F749" s="9"/>
      <c r="G749" s="59"/>
      <c r="H749" s="9"/>
    </row>
    <row r="750">
      <c r="A750" s="9"/>
      <c r="B750" s="9"/>
      <c r="C750" s="9"/>
      <c r="D750" s="9"/>
      <c r="E750" s="9"/>
      <c r="F750" s="9"/>
      <c r="G750" s="59"/>
      <c r="H750" s="9"/>
    </row>
    <row r="751">
      <c r="A751" s="9"/>
      <c r="B751" s="9"/>
      <c r="C751" s="9"/>
      <c r="D751" s="9"/>
      <c r="E751" s="9"/>
      <c r="F751" s="9"/>
      <c r="G751" s="59"/>
      <c r="H751" s="9"/>
    </row>
    <row r="752">
      <c r="A752" s="9"/>
      <c r="B752" s="9"/>
      <c r="C752" s="9"/>
      <c r="D752" s="9"/>
      <c r="E752" s="9"/>
      <c r="F752" s="9"/>
      <c r="G752" s="59"/>
      <c r="H752" s="9"/>
    </row>
    <row r="753">
      <c r="A753" s="9"/>
      <c r="B753" s="9"/>
      <c r="C753" s="9"/>
      <c r="D753" s="9"/>
      <c r="E753" s="9"/>
      <c r="F753" s="9"/>
      <c r="G753" s="59"/>
      <c r="H753" s="9"/>
    </row>
    <row r="754">
      <c r="A754" s="9"/>
      <c r="B754" s="9"/>
      <c r="C754" s="9"/>
      <c r="D754" s="9"/>
      <c r="E754" s="9"/>
      <c r="F754" s="9"/>
      <c r="G754" s="59"/>
      <c r="H754" s="9"/>
    </row>
    <row r="755">
      <c r="A755" s="9"/>
      <c r="B755" s="9"/>
      <c r="C755" s="9"/>
      <c r="D755" s="9"/>
      <c r="E755" s="9"/>
      <c r="F755" s="9"/>
      <c r="G755" s="59"/>
      <c r="H755" s="9"/>
    </row>
    <row r="756">
      <c r="A756" s="9"/>
      <c r="B756" s="9"/>
      <c r="C756" s="9"/>
      <c r="D756" s="9"/>
      <c r="E756" s="9"/>
      <c r="F756" s="9"/>
      <c r="G756" s="59"/>
      <c r="H756" s="9"/>
    </row>
    <row r="757">
      <c r="A757" s="9"/>
      <c r="B757" s="9"/>
      <c r="C757" s="9"/>
      <c r="D757" s="9"/>
      <c r="E757" s="9"/>
      <c r="F757" s="9"/>
      <c r="G757" s="59"/>
      <c r="H757" s="9"/>
    </row>
    <row r="758">
      <c r="A758" s="9"/>
      <c r="B758" s="9"/>
      <c r="C758" s="9"/>
      <c r="D758" s="9"/>
      <c r="E758" s="9"/>
      <c r="F758" s="9"/>
      <c r="G758" s="59"/>
      <c r="H758" s="9"/>
    </row>
    <row r="759">
      <c r="A759" s="9"/>
      <c r="B759" s="9"/>
      <c r="C759" s="9"/>
      <c r="D759" s="9"/>
      <c r="E759" s="9"/>
      <c r="F759" s="9"/>
      <c r="G759" s="59"/>
      <c r="H759" s="9"/>
    </row>
    <row r="760">
      <c r="A760" s="9"/>
      <c r="B760" s="9"/>
      <c r="C760" s="9"/>
      <c r="D760" s="9"/>
      <c r="E760" s="9"/>
      <c r="F760" s="9"/>
      <c r="G760" s="59"/>
      <c r="H760" s="9"/>
    </row>
    <row r="761">
      <c r="A761" s="9"/>
      <c r="B761" s="9"/>
      <c r="C761" s="9"/>
      <c r="D761" s="9"/>
      <c r="E761" s="9"/>
      <c r="F761" s="9"/>
      <c r="G761" s="59"/>
      <c r="H761" s="9"/>
    </row>
    <row r="762">
      <c r="A762" s="9"/>
      <c r="B762" s="9"/>
      <c r="C762" s="9"/>
      <c r="D762" s="9"/>
      <c r="E762" s="9"/>
      <c r="F762" s="9"/>
      <c r="G762" s="59"/>
      <c r="H762" s="9"/>
    </row>
    <row r="763">
      <c r="A763" s="9"/>
      <c r="B763" s="9"/>
      <c r="C763" s="9"/>
      <c r="D763" s="9"/>
      <c r="E763" s="9"/>
      <c r="F763" s="9"/>
      <c r="G763" s="59"/>
      <c r="H763" s="9"/>
    </row>
    <row r="764">
      <c r="A764" s="9"/>
      <c r="B764" s="9"/>
      <c r="C764" s="9"/>
      <c r="D764" s="9"/>
      <c r="E764" s="9"/>
      <c r="F764" s="9"/>
      <c r="G764" s="59"/>
      <c r="H764" s="9"/>
    </row>
    <row r="765">
      <c r="A765" s="9"/>
      <c r="B765" s="9"/>
      <c r="C765" s="9"/>
      <c r="D765" s="9"/>
      <c r="E765" s="9"/>
      <c r="F765" s="9"/>
      <c r="G765" s="59"/>
      <c r="H765" s="9"/>
    </row>
    <row r="766">
      <c r="A766" s="9"/>
      <c r="B766" s="9"/>
      <c r="C766" s="9"/>
      <c r="D766" s="9"/>
      <c r="E766" s="9"/>
      <c r="F766" s="9"/>
      <c r="G766" s="59"/>
      <c r="H766" s="9"/>
    </row>
    <row r="767">
      <c r="A767" s="9"/>
      <c r="B767" s="9"/>
      <c r="C767" s="9"/>
      <c r="D767" s="9"/>
      <c r="E767" s="9"/>
      <c r="F767" s="9"/>
      <c r="G767" s="59"/>
      <c r="H767" s="9"/>
    </row>
    <row r="768">
      <c r="A768" s="9"/>
      <c r="B768" s="9"/>
      <c r="C768" s="9"/>
      <c r="D768" s="9"/>
      <c r="E768" s="9"/>
      <c r="F768" s="9"/>
      <c r="G768" s="59"/>
      <c r="H768" s="9"/>
    </row>
    <row r="769">
      <c r="A769" s="9"/>
      <c r="B769" s="9"/>
      <c r="C769" s="9"/>
      <c r="D769" s="9"/>
      <c r="E769" s="9"/>
      <c r="F769" s="9"/>
      <c r="G769" s="59"/>
      <c r="H769" s="9"/>
    </row>
    <row r="770">
      <c r="A770" s="9"/>
      <c r="B770" s="9"/>
      <c r="C770" s="9"/>
      <c r="D770" s="9"/>
      <c r="E770" s="9"/>
      <c r="F770" s="9"/>
      <c r="G770" s="59"/>
      <c r="H770" s="9"/>
    </row>
    <row r="771">
      <c r="A771" s="9"/>
      <c r="B771" s="9"/>
      <c r="C771" s="9"/>
      <c r="D771" s="9"/>
      <c r="E771" s="9"/>
      <c r="F771" s="9"/>
      <c r="G771" s="59"/>
      <c r="H771" s="9"/>
    </row>
    <row r="772">
      <c r="A772" s="9"/>
      <c r="B772" s="9"/>
      <c r="C772" s="9"/>
      <c r="D772" s="9"/>
      <c r="E772" s="9"/>
      <c r="F772" s="9"/>
      <c r="G772" s="59"/>
      <c r="H772" s="9"/>
    </row>
    <row r="773">
      <c r="A773" s="9"/>
      <c r="B773" s="9"/>
      <c r="C773" s="9"/>
      <c r="D773" s="9"/>
      <c r="E773" s="9"/>
      <c r="F773" s="9"/>
      <c r="G773" s="59"/>
      <c r="H773" s="9"/>
    </row>
    <row r="774">
      <c r="A774" s="9"/>
      <c r="B774" s="9"/>
      <c r="C774" s="9"/>
      <c r="D774" s="9"/>
      <c r="E774" s="9"/>
      <c r="F774" s="9"/>
      <c r="G774" s="59"/>
      <c r="H774" s="9"/>
    </row>
    <row r="775">
      <c r="A775" s="9"/>
      <c r="B775" s="9"/>
      <c r="C775" s="9"/>
      <c r="D775" s="9"/>
      <c r="E775" s="9"/>
      <c r="F775" s="9"/>
      <c r="G775" s="59"/>
      <c r="H775" s="9"/>
    </row>
    <row r="776">
      <c r="A776" s="9"/>
      <c r="B776" s="9"/>
      <c r="C776" s="9"/>
      <c r="D776" s="9"/>
      <c r="E776" s="9"/>
      <c r="F776" s="9"/>
      <c r="G776" s="59"/>
      <c r="H776" s="9"/>
    </row>
    <row r="777">
      <c r="A777" s="9"/>
      <c r="B777" s="9"/>
      <c r="C777" s="9"/>
      <c r="D777" s="9"/>
      <c r="E777" s="9"/>
      <c r="F777" s="9"/>
      <c r="G777" s="59"/>
      <c r="H777" s="9"/>
    </row>
    <row r="778">
      <c r="A778" s="9"/>
      <c r="B778" s="9"/>
      <c r="C778" s="9"/>
      <c r="D778" s="9"/>
      <c r="E778" s="9"/>
      <c r="F778" s="9"/>
      <c r="G778" s="59"/>
      <c r="H778" s="9"/>
    </row>
    <row r="779">
      <c r="A779" s="9"/>
      <c r="B779" s="9"/>
      <c r="C779" s="9"/>
      <c r="D779" s="9"/>
      <c r="E779" s="9"/>
      <c r="F779" s="9"/>
      <c r="G779" s="59"/>
      <c r="H779" s="9"/>
    </row>
    <row r="780">
      <c r="A780" s="9"/>
      <c r="B780" s="9"/>
      <c r="C780" s="9"/>
      <c r="D780" s="9"/>
      <c r="E780" s="9"/>
      <c r="F780" s="9"/>
      <c r="G780" s="59"/>
      <c r="H780" s="9"/>
    </row>
    <row r="781">
      <c r="A781" s="9"/>
      <c r="B781" s="9"/>
      <c r="C781" s="9"/>
      <c r="D781" s="9"/>
      <c r="E781" s="9"/>
      <c r="F781" s="9"/>
      <c r="G781" s="59"/>
      <c r="H781" s="9"/>
    </row>
    <row r="782">
      <c r="A782" s="9"/>
      <c r="B782" s="9"/>
      <c r="C782" s="9"/>
      <c r="D782" s="9"/>
      <c r="E782" s="9"/>
      <c r="F782" s="9"/>
      <c r="G782" s="59"/>
      <c r="H782" s="9"/>
    </row>
    <row r="783">
      <c r="A783" s="9"/>
      <c r="B783" s="9"/>
      <c r="C783" s="9"/>
      <c r="D783" s="9"/>
      <c r="E783" s="9"/>
      <c r="F783" s="9"/>
      <c r="G783" s="59"/>
      <c r="H783" s="9"/>
    </row>
    <row r="784">
      <c r="A784" s="9"/>
      <c r="B784" s="9"/>
      <c r="C784" s="9"/>
      <c r="D784" s="9"/>
      <c r="E784" s="9"/>
      <c r="F784" s="9"/>
      <c r="G784" s="59"/>
      <c r="H784" s="9"/>
    </row>
    <row r="785">
      <c r="A785" s="9"/>
      <c r="B785" s="9"/>
      <c r="C785" s="9"/>
      <c r="D785" s="9"/>
      <c r="E785" s="9"/>
      <c r="F785" s="9"/>
      <c r="G785" s="59"/>
      <c r="H785" s="9"/>
    </row>
    <row r="786">
      <c r="A786" s="9"/>
      <c r="B786" s="9"/>
      <c r="C786" s="9"/>
      <c r="D786" s="9"/>
      <c r="E786" s="9"/>
      <c r="F786" s="9"/>
      <c r="G786" s="59"/>
      <c r="H786" s="9"/>
    </row>
    <row r="787">
      <c r="A787" s="9"/>
      <c r="B787" s="9"/>
      <c r="C787" s="9"/>
      <c r="D787" s="9"/>
      <c r="E787" s="9"/>
      <c r="F787" s="9"/>
      <c r="G787" s="59"/>
      <c r="H787" s="9"/>
    </row>
    <row r="788">
      <c r="A788" s="9"/>
      <c r="B788" s="9"/>
      <c r="C788" s="9"/>
      <c r="D788" s="9"/>
      <c r="E788" s="9"/>
      <c r="F788" s="9"/>
      <c r="G788" s="59"/>
      <c r="H788" s="9"/>
    </row>
    <row r="789">
      <c r="A789" s="9"/>
      <c r="B789" s="9"/>
      <c r="C789" s="9"/>
      <c r="D789" s="9"/>
      <c r="E789" s="9"/>
      <c r="F789" s="9"/>
      <c r="G789" s="59"/>
      <c r="H789" s="9"/>
    </row>
    <row r="790">
      <c r="A790" s="9"/>
      <c r="B790" s="9"/>
      <c r="C790" s="9"/>
      <c r="D790" s="9"/>
      <c r="E790" s="9"/>
      <c r="F790" s="9"/>
      <c r="G790" s="59"/>
      <c r="H790" s="9"/>
    </row>
    <row r="791">
      <c r="A791" s="9"/>
      <c r="B791" s="9"/>
      <c r="C791" s="9"/>
      <c r="D791" s="9"/>
      <c r="E791" s="9"/>
      <c r="F791" s="9"/>
      <c r="G791" s="59"/>
      <c r="H791" s="9"/>
    </row>
    <row r="792">
      <c r="A792" s="9"/>
      <c r="B792" s="9"/>
      <c r="C792" s="9"/>
      <c r="D792" s="9"/>
      <c r="E792" s="9"/>
      <c r="F792" s="9"/>
      <c r="G792" s="59"/>
      <c r="H792" s="9"/>
    </row>
    <row r="793">
      <c r="A793" s="9"/>
      <c r="B793" s="9"/>
      <c r="C793" s="9"/>
      <c r="D793" s="9"/>
      <c r="E793" s="9"/>
      <c r="F793" s="9"/>
      <c r="G793" s="59"/>
      <c r="H793" s="9"/>
    </row>
    <row r="794">
      <c r="A794" s="9"/>
      <c r="B794" s="9"/>
      <c r="C794" s="9"/>
      <c r="D794" s="9"/>
      <c r="E794" s="9"/>
      <c r="F794" s="9"/>
      <c r="G794" s="59"/>
      <c r="H794" s="9"/>
    </row>
    <row r="795">
      <c r="A795" s="9"/>
      <c r="B795" s="9"/>
      <c r="C795" s="9"/>
      <c r="D795" s="9"/>
      <c r="E795" s="9"/>
      <c r="F795" s="9"/>
      <c r="G795" s="59"/>
      <c r="H795" s="9"/>
    </row>
    <row r="796">
      <c r="A796" s="9"/>
      <c r="B796" s="9"/>
      <c r="C796" s="9"/>
      <c r="D796" s="9"/>
      <c r="E796" s="9"/>
      <c r="F796" s="9"/>
      <c r="G796" s="59"/>
      <c r="H796" s="9"/>
    </row>
    <row r="797">
      <c r="A797" s="9"/>
      <c r="B797" s="9"/>
      <c r="C797" s="9"/>
      <c r="D797" s="9"/>
      <c r="E797" s="9"/>
      <c r="F797" s="9"/>
      <c r="G797" s="59"/>
      <c r="H797" s="9"/>
    </row>
    <row r="798">
      <c r="A798" s="9"/>
      <c r="B798" s="9"/>
      <c r="C798" s="9"/>
      <c r="D798" s="9"/>
      <c r="E798" s="9"/>
      <c r="F798" s="9"/>
      <c r="G798" s="59"/>
      <c r="H798" s="9"/>
    </row>
    <row r="799">
      <c r="A799" s="9"/>
      <c r="B799" s="9"/>
      <c r="C799" s="9"/>
      <c r="D799" s="9"/>
      <c r="E799" s="9"/>
      <c r="F799" s="9"/>
      <c r="G799" s="59"/>
      <c r="H799" s="9"/>
    </row>
    <row r="800">
      <c r="A800" s="9"/>
      <c r="B800" s="9"/>
      <c r="C800" s="9"/>
      <c r="D800" s="9"/>
      <c r="E800" s="9"/>
      <c r="F800" s="9"/>
      <c r="G800" s="59"/>
      <c r="H800" s="9"/>
    </row>
    <row r="801">
      <c r="A801" s="9"/>
      <c r="B801" s="9"/>
      <c r="C801" s="9"/>
      <c r="D801" s="9"/>
      <c r="E801" s="9"/>
      <c r="F801" s="9"/>
      <c r="G801" s="59"/>
      <c r="H801" s="9"/>
    </row>
    <row r="802">
      <c r="A802" s="9"/>
      <c r="B802" s="9"/>
      <c r="C802" s="9"/>
      <c r="D802" s="9"/>
      <c r="E802" s="9"/>
      <c r="F802" s="9"/>
      <c r="G802" s="59"/>
      <c r="H802" s="9"/>
    </row>
    <row r="803">
      <c r="A803" s="9"/>
      <c r="B803" s="9"/>
      <c r="C803" s="9"/>
      <c r="D803" s="9"/>
      <c r="E803" s="9"/>
      <c r="F803" s="9"/>
      <c r="G803" s="59"/>
      <c r="H803" s="9"/>
    </row>
    <row r="804">
      <c r="A804" s="9"/>
      <c r="B804" s="9"/>
      <c r="C804" s="9"/>
      <c r="D804" s="9"/>
      <c r="E804" s="9"/>
      <c r="F804" s="9"/>
      <c r="G804" s="59"/>
      <c r="H804" s="9"/>
    </row>
    <row r="805">
      <c r="A805" s="9"/>
      <c r="B805" s="9"/>
      <c r="C805" s="9"/>
      <c r="D805" s="9"/>
      <c r="E805" s="9"/>
      <c r="F805" s="9"/>
      <c r="G805" s="59"/>
      <c r="H805" s="9"/>
    </row>
    <row r="806">
      <c r="A806" s="9"/>
      <c r="B806" s="9"/>
      <c r="C806" s="9"/>
      <c r="D806" s="9"/>
      <c r="E806" s="9"/>
      <c r="F806" s="9"/>
      <c r="G806" s="59"/>
      <c r="H806" s="9"/>
    </row>
    <row r="807">
      <c r="A807" s="9"/>
      <c r="B807" s="9"/>
      <c r="C807" s="9"/>
      <c r="D807" s="9"/>
      <c r="E807" s="9"/>
      <c r="F807" s="9"/>
      <c r="G807" s="59"/>
      <c r="H807" s="9"/>
    </row>
    <row r="808">
      <c r="A808" s="9"/>
      <c r="B808" s="9"/>
      <c r="C808" s="9"/>
      <c r="D808" s="9"/>
      <c r="E808" s="9"/>
      <c r="F808" s="9"/>
      <c r="G808" s="59"/>
      <c r="H808" s="9"/>
    </row>
    <row r="809">
      <c r="A809" s="9"/>
      <c r="B809" s="9"/>
      <c r="C809" s="9"/>
      <c r="D809" s="9"/>
      <c r="E809" s="9"/>
      <c r="F809" s="9"/>
      <c r="G809" s="59"/>
      <c r="H809" s="9"/>
    </row>
    <row r="810">
      <c r="A810" s="9"/>
      <c r="B810" s="9"/>
      <c r="C810" s="9"/>
      <c r="D810" s="9"/>
      <c r="E810" s="9"/>
      <c r="F810" s="9"/>
      <c r="G810" s="59"/>
      <c r="H810" s="9"/>
    </row>
    <row r="811">
      <c r="A811" s="9"/>
      <c r="B811" s="9"/>
      <c r="C811" s="9"/>
      <c r="D811" s="9"/>
      <c r="E811" s="9"/>
      <c r="F811" s="9"/>
      <c r="G811" s="59"/>
      <c r="H811" s="9"/>
    </row>
    <row r="812">
      <c r="A812" s="9"/>
      <c r="B812" s="9"/>
      <c r="C812" s="9"/>
      <c r="D812" s="9"/>
      <c r="E812" s="9"/>
      <c r="F812" s="9"/>
      <c r="G812" s="59"/>
      <c r="H812" s="9"/>
    </row>
    <row r="813">
      <c r="A813" s="9"/>
      <c r="B813" s="9"/>
      <c r="C813" s="9"/>
      <c r="D813" s="9"/>
      <c r="E813" s="9"/>
      <c r="F813" s="9"/>
      <c r="G813" s="59"/>
      <c r="H813" s="9"/>
    </row>
    <row r="814">
      <c r="A814" s="9"/>
      <c r="B814" s="9"/>
      <c r="C814" s="9"/>
      <c r="D814" s="9"/>
      <c r="E814" s="9"/>
      <c r="F814" s="9"/>
      <c r="G814" s="59"/>
      <c r="H814" s="9"/>
    </row>
    <row r="815">
      <c r="A815" s="9"/>
      <c r="B815" s="9"/>
      <c r="C815" s="9"/>
      <c r="D815" s="9"/>
      <c r="E815" s="9"/>
      <c r="F815" s="9"/>
      <c r="G815" s="59"/>
      <c r="H815" s="9"/>
    </row>
    <row r="816">
      <c r="A816" s="9"/>
      <c r="B816" s="9"/>
      <c r="C816" s="9"/>
      <c r="D816" s="9"/>
      <c r="E816" s="9"/>
      <c r="F816" s="9"/>
      <c r="G816" s="59"/>
      <c r="H816" s="9"/>
    </row>
    <row r="817">
      <c r="A817" s="9"/>
      <c r="B817" s="9"/>
      <c r="C817" s="9"/>
      <c r="D817" s="9"/>
      <c r="E817" s="9"/>
      <c r="F817" s="9"/>
      <c r="G817" s="59"/>
      <c r="H817" s="9"/>
    </row>
    <row r="818">
      <c r="A818" s="9"/>
      <c r="B818" s="9"/>
      <c r="C818" s="9"/>
      <c r="D818" s="9"/>
      <c r="E818" s="9"/>
      <c r="F818" s="9"/>
      <c r="G818" s="59"/>
      <c r="H818" s="9"/>
    </row>
    <row r="819">
      <c r="A819" s="9"/>
      <c r="B819" s="9"/>
      <c r="C819" s="9"/>
      <c r="D819" s="9"/>
      <c r="E819" s="9"/>
      <c r="F819" s="9"/>
      <c r="G819" s="59"/>
      <c r="H819" s="9"/>
    </row>
    <row r="820">
      <c r="A820" s="9"/>
      <c r="B820" s="9"/>
      <c r="C820" s="9"/>
      <c r="D820" s="9"/>
      <c r="E820" s="9"/>
      <c r="F820" s="9"/>
      <c r="G820" s="59"/>
      <c r="H820" s="9"/>
    </row>
    <row r="821">
      <c r="A821" s="9"/>
      <c r="B821" s="9"/>
      <c r="C821" s="9"/>
      <c r="D821" s="9"/>
      <c r="E821" s="9"/>
      <c r="F821" s="9"/>
      <c r="G821" s="59"/>
      <c r="H821" s="9"/>
    </row>
    <row r="822">
      <c r="A822" s="9"/>
      <c r="B822" s="9"/>
      <c r="C822" s="9"/>
      <c r="D822" s="9"/>
      <c r="E822" s="9"/>
      <c r="F822" s="9"/>
      <c r="G822" s="59"/>
      <c r="H822" s="9"/>
    </row>
    <row r="823">
      <c r="A823" s="9"/>
      <c r="B823" s="9"/>
      <c r="C823" s="9"/>
      <c r="D823" s="9"/>
      <c r="E823" s="9"/>
      <c r="F823" s="9"/>
      <c r="G823" s="59"/>
      <c r="H823" s="9"/>
    </row>
    <row r="824">
      <c r="A824" s="9"/>
      <c r="B824" s="9"/>
      <c r="C824" s="9"/>
      <c r="D824" s="9"/>
      <c r="E824" s="9"/>
      <c r="F824" s="9"/>
      <c r="G824" s="59"/>
      <c r="H824" s="9"/>
    </row>
    <row r="825">
      <c r="A825" s="9"/>
      <c r="B825" s="9"/>
      <c r="C825" s="9"/>
      <c r="D825" s="9"/>
      <c r="E825" s="9"/>
      <c r="F825" s="9"/>
      <c r="G825" s="59"/>
      <c r="H825" s="9"/>
    </row>
    <row r="826">
      <c r="A826" s="9"/>
      <c r="B826" s="9"/>
      <c r="C826" s="9"/>
      <c r="D826" s="9"/>
      <c r="E826" s="9"/>
      <c r="F826" s="9"/>
      <c r="G826" s="59"/>
      <c r="H826" s="9"/>
    </row>
    <row r="827">
      <c r="A827" s="9"/>
      <c r="B827" s="9"/>
      <c r="C827" s="9"/>
      <c r="D827" s="9"/>
      <c r="E827" s="9"/>
      <c r="F827" s="9"/>
      <c r="G827" s="59"/>
      <c r="H827" s="9"/>
    </row>
    <row r="828">
      <c r="A828" s="9"/>
      <c r="B828" s="9"/>
      <c r="C828" s="9"/>
      <c r="D828" s="9"/>
      <c r="E828" s="9"/>
      <c r="F828" s="9"/>
      <c r="G828" s="59"/>
      <c r="H828" s="9"/>
    </row>
    <row r="829">
      <c r="A829" s="9"/>
      <c r="B829" s="9"/>
      <c r="C829" s="9"/>
      <c r="D829" s="9"/>
      <c r="E829" s="9"/>
      <c r="F829" s="9"/>
      <c r="G829" s="59"/>
      <c r="H829" s="9"/>
    </row>
    <row r="830">
      <c r="A830" s="9"/>
      <c r="B830" s="9"/>
      <c r="C830" s="9"/>
      <c r="D830" s="9"/>
      <c r="E830" s="9"/>
      <c r="F830" s="9"/>
      <c r="G830" s="59"/>
      <c r="H830" s="9"/>
    </row>
    <row r="831">
      <c r="A831" s="9"/>
      <c r="B831" s="9"/>
      <c r="C831" s="9"/>
      <c r="D831" s="9"/>
      <c r="E831" s="9"/>
      <c r="F831" s="9"/>
      <c r="G831" s="59"/>
      <c r="H831" s="9"/>
    </row>
    <row r="832">
      <c r="A832" s="9"/>
      <c r="B832" s="9"/>
      <c r="C832" s="9"/>
      <c r="D832" s="9"/>
      <c r="E832" s="9"/>
      <c r="F832" s="9"/>
      <c r="G832" s="59"/>
      <c r="H832" s="9"/>
    </row>
    <row r="833">
      <c r="A833" s="9"/>
      <c r="B833" s="9"/>
      <c r="C833" s="9"/>
      <c r="D833" s="9"/>
      <c r="E833" s="9"/>
      <c r="F833" s="9"/>
      <c r="G833" s="59"/>
      <c r="H833" s="9"/>
    </row>
    <row r="834">
      <c r="A834" s="9"/>
      <c r="B834" s="9"/>
      <c r="C834" s="9"/>
      <c r="D834" s="9"/>
      <c r="E834" s="9"/>
      <c r="F834" s="9"/>
      <c r="G834" s="59"/>
      <c r="H834" s="9"/>
    </row>
    <row r="835">
      <c r="A835" s="9"/>
      <c r="B835" s="9"/>
      <c r="C835" s="9"/>
      <c r="D835" s="9"/>
      <c r="E835" s="9"/>
      <c r="F835" s="9"/>
      <c r="G835" s="59"/>
      <c r="H835" s="9"/>
    </row>
    <row r="836">
      <c r="A836" s="9"/>
      <c r="B836" s="9"/>
      <c r="C836" s="9"/>
      <c r="D836" s="9"/>
      <c r="E836" s="9"/>
      <c r="F836" s="9"/>
      <c r="G836" s="59"/>
      <c r="H836" s="9"/>
    </row>
    <row r="837">
      <c r="A837" s="9"/>
      <c r="B837" s="9"/>
      <c r="C837" s="9"/>
      <c r="D837" s="9"/>
      <c r="E837" s="9"/>
      <c r="F837" s="9"/>
      <c r="G837" s="59"/>
      <c r="H837" s="9"/>
    </row>
    <row r="838">
      <c r="A838" s="9"/>
      <c r="B838" s="9"/>
      <c r="C838" s="9"/>
      <c r="D838" s="9"/>
      <c r="E838" s="9"/>
      <c r="F838" s="9"/>
      <c r="G838" s="59"/>
      <c r="H838" s="9"/>
    </row>
    <row r="839">
      <c r="A839" s="9"/>
      <c r="B839" s="9"/>
      <c r="C839" s="9"/>
      <c r="D839" s="9"/>
      <c r="E839" s="9"/>
      <c r="F839" s="9"/>
      <c r="G839" s="59"/>
      <c r="H839" s="9"/>
    </row>
    <row r="840">
      <c r="A840" s="9"/>
      <c r="B840" s="9"/>
      <c r="C840" s="9"/>
      <c r="D840" s="9"/>
      <c r="E840" s="9"/>
      <c r="F840" s="9"/>
      <c r="G840" s="59"/>
      <c r="H840" s="9"/>
    </row>
    <row r="841">
      <c r="A841" s="9"/>
      <c r="B841" s="9"/>
      <c r="C841" s="9"/>
      <c r="D841" s="9"/>
      <c r="E841" s="9"/>
      <c r="F841" s="9"/>
      <c r="G841" s="59"/>
      <c r="H841" s="9"/>
    </row>
    <row r="842">
      <c r="A842" s="9"/>
      <c r="B842" s="9"/>
      <c r="C842" s="9"/>
      <c r="D842" s="9"/>
      <c r="E842" s="9"/>
      <c r="F842" s="9"/>
      <c r="G842" s="59"/>
      <c r="H842" s="9"/>
    </row>
    <row r="843">
      <c r="A843" s="9"/>
      <c r="B843" s="9"/>
      <c r="C843" s="9"/>
      <c r="D843" s="9"/>
      <c r="E843" s="9"/>
      <c r="F843" s="9"/>
      <c r="G843" s="59"/>
      <c r="H843" s="9"/>
    </row>
    <row r="844">
      <c r="A844" s="9"/>
      <c r="B844" s="9"/>
      <c r="C844" s="9"/>
      <c r="D844" s="9"/>
      <c r="E844" s="9"/>
      <c r="F844" s="9"/>
      <c r="G844" s="59"/>
      <c r="H844" s="9"/>
    </row>
    <row r="845">
      <c r="A845" s="9"/>
      <c r="B845" s="9"/>
      <c r="C845" s="9"/>
      <c r="D845" s="9"/>
      <c r="E845" s="9"/>
      <c r="F845" s="9"/>
      <c r="G845" s="59"/>
      <c r="H845" s="9"/>
    </row>
    <row r="846">
      <c r="A846" s="9"/>
      <c r="B846" s="9"/>
      <c r="C846" s="9"/>
      <c r="D846" s="9"/>
      <c r="E846" s="9"/>
      <c r="F846" s="9"/>
      <c r="G846" s="59"/>
      <c r="H846" s="9"/>
    </row>
    <row r="847">
      <c r="A847" s="9"/>
      <c r="B847" s="9"/>
      <c r="C847" s="9"/>
      <c r="D847" s="9"/>
      <c r="E847" s="9"/>
      <c r="F847" s="9"/>
      <c r="G847" s="59"/>
      <c r="H847" s="9"/>
    </row>
    <row r="848">
      <c r="A848" s="9"/>
      <c r="B848" s="9"/>
      <c r="C848" s="9"/>
      <c r="D848" s="9"/>
      <c r="E848" s="9"/>
      <c r="F848" s="9"/>
      <c r="G848" s="59"/>
      <c r="H848" s="9"/>
    </row>
    <row r="849">
      <c r="A849" s="9"/>
      <c r="B849" s="9"/>
      <c r="C849" s="9"/>
      <c r="D849" s="9"/>
      <c r="E849" s="9"/>
      <c r="F849" s="9"/>
      <c r="G849" s="59"/>
      <c r="H849" s="9"/>
    </row>
    <row r="850">
      <c r="A850" s="9"/>
      <c r="B850" s="9"/>
      <c r="C850" s="9"/>
      <c r="D850" s="9"/>
      <c r="E850" s="9"/>
      <c r="F850" s="9"/>
      <c r="G850" s="59"/>
      <c r="H850" s="9"/>
    </row>
    <row r="851">
      <c r="A851" s="9"/>
      <c r="B851" s="9"/>
      <c r="C851" s="9"/>
      <c r="D851" s="9"/>
      <c r="E851" s="9"/>
      <c r="F851" s="9"/>
      <c r="G851" s="59"/>
      <c r="H851" s="9"/>
    </row>
    <row r="852">
      <c r="A852" s="9"/>
      <c r="B852" s="9"/>
      <c r="C852" s="9"/>
      <c r="D852" s="9"/>
      <c r="E852" s="9"/>
      <c r="F852" s="9"/>
      <c r="G852" s="59"/>
      <c r="H852" s="9"/>
    </row>
    <row r="853">
      <c r="A853" s="9"/>
      <c r="B853" s="9"/>
      <c r="C853" s="9"/>
      <c r="D853" s="9"/>
      <c r="E853" s="9"/>
      <c r="F853" s="9"/>
      <c r="G853" s="59"/>
      <c r="H853" s="9"/>
    </row>
    <row r="854">
      <c r="A854" s="9"/>
      <c r="B854" s="9"/>
      <c r="C854" s="9"/>
      <c r="D854" s="9"/>
      <c r="E854" s="9"/>
      <c r="F854" s="9"/>
      <c r="G854" s="59"/>
      <c r="H854" s="9"/>
    </row>
    <row r="855">
      <c r="A855" s="9"/>
      <c r="B855" s="9"/>
      <c r="C855" s="9"/>
      <c r="D855" s="9"/>
      <c r="E855" s="9"/>
      <c r="F855" s="9"/>
      <c r="G855" s="59"/>
      <c r="H855" s="9"/>
    </row>
    <row r="856">
      <c r="A856" s="9"/>
      <c r="B856" s="9"/>
      <c r="C856" s="9"/>
      <c r="D856" s="9"/>
      <c r="E856" s="9"/>
      <c r="F856" s="9"/>
      <c r="G856" s="59"/>
      <c r="H856" s="9"/>
    </row>
    <row r="857">
      <c r="A857" s="9"/>
      <c r="B857" s="9"/>
      <c r="C857" s="9"/>
      <c r="D857" s="9"/>
      <c r="E857" s="9"/>
      <c r="F857" s="9"/>
      <c r="G857" s="59"/>
      <c r="H857" s="9"/>
    </row>
    <row r="858">
      <c r="A858" s="9"/>
      <c r="B858" s="9"/>
      <c r="C858" s="9"/>
      <c r="D858" s="9"/>
      <c r="E858" s="9"/>
      <c r="F858" s="9"/>
      <c r="G858" s="59"/>
      <c r="H858" s="9"/>
    </row>
    <row r="859">
      <c r="A859" s="9"/>
      <c r="B859" s="9"/>
      <c r="C859" s="9"/>
      <c r="D859" s="9"/>
      <c r="E859" s="9"/>
      <c r="F859" s="9"/>
      <c r="G859" s="59"/>
      <c r="H859" s="9"/>
    </row>
    <row r="860">
      <c r="A860" s="9"/>
      <c r="B860" s="9"/>
      <c r="C860" s="9"/>
      <c r="D860" s="9"/>
      <c r="E860" s="9"/>
      <c r="F860" s="9"/>
      <c r="G860" s="59"/>
      <c r="H860" s="9"/>
    </row>
    <row r="861">
      <c r="A861" s="9"/>
      <c r="B861" s="9"/>
      <c r="C861" s="9"/>
      <c r="D861" s="9"/>
      <c r="E861" s="9"/>
      <c r="F861" s="9"/>
      <c r="G861" s="59"/>
      <c r="H861" s="9"/>
    </row>
    <row r="862">
      <c r="A862" s="9"/>
      <c r="B862" s="9"/>
      <c r="C862" s="9"/>
      <c r="D862" s="9"/>
      <c r="E862" s="9"/>
      <c r="F862" s="9"/>
      <c r="G862" s="59"/>
      <c r="H862" s="9"/>
    </row>
    <row r="863">
      <c r="A863" s="9"/>
      <c r="B863" s="9"/>
      <c r="C863" s="9"/>
      <c r="D863" s="9"/>
      <c r="E863" s="9"/>
      <c r="F863" s="9"/>
      <c r="G863" s="59"/>
      <c r="H863" s="9"/>
    </row>
    <row r="864">
      <c r="A864" s="9"/>
      <c r="B864" s="9"/>
      <c r="C864" s="9"/>
      <c r="D864" s="9"/>
      <c r="E864" s="9"/>
      <c r="F864" s="9"/>
      <c r="G864" s="59"/>
      <c r="H864" s="9"/>
    </row>
    <row r="865">
      <c r="A865" s="9"/>
      <c r="B865" s="9"/>
      <c r="C865" s="9"/>
      <c r="D865" s="9"/>
      <c r="E865" s="9"/>
      <c r="F865" s="9"/>
      <c r="G865" s="59"/>
      <c r="H865" s="9"/>
    </row>
    <row r="866">
      <c r="A866" s="9"/>
      <c r="B866" s="9"/>
      <c r="C866" s="9"/>
      <c r="D866" s="9"/>
      <c r="E866" s="9"/>
      <c r="F866" s="9"/>
      <c r="G866" s="59"/>
      <c r="H866" s="9"/>
    </row>
    <row r="867">
      <c r="A867" s="9"/>
      <c r="B867" s="9"/>
      <c r="C867" s="9"/>
      <c r="D867" s="9"/>
      <c r="E867" s="9"/>
      <c r="F867" s="9"/>
      <c r="G867" s="59"/>
      <c r="H867" s="9"/>
    </row>
    <row r="868">
      <c r="A868" s="9"/>
      <c r="B868" s="9"/>
      <c r="C868" s="9"/>
      <c r="D868" s="9"/>
      <c r="E868" s="9"/>
      <c r="F868" s="9"/>
      <c r="G868" s="59"/>
      <c r="H868" s="9"/>
    </row>
    <row r="869">
      <c r="A869" s="9"/>
      <c r="B869" s="9"/>
      <c r="C869" s="9"/>
      <c r="D869" s="9"/>
      <c r="E869" s="9"/>
      <c r="F869" s="9"/>
      <c r="G869" s="59"/>
      <c r="H869" s="9"/>
    </row>
    <row r="870">
      <c r="A870" s="9"/>
      <c r="B870" s="9"/>
      <c r="C870" s="9"/>
      <c r="D870" s="9"/>
      <c r="E870" s="9"/>
      <c r="F870" s="9"/>
      <c r="G870" s="59"/>
      <c r="H870" s="9"/>
    </row>
    <row r="871">
      <c r="A871" s="9"/>
      <c r="B871" s="9"/>
      <c r="C871" s="9"/>
      <c r="D871" s="9"/>
      <c r="E871" s="9"/>
      <c r="F871" s="9"/>
      <c r="G871" s="59"/>
      <c r="H871" s="9"/>
    </row>
    <row r="872">
      <c r="A872" s="9"/>
      <c r="B872" s="9"/>
      <c r="C872" s="9"/>
      <c r="D872" s="9"/>
      <c r="E872" s="9"/>
      <c r="F872" s="9"/>
      <c r="G872" s="59"/>
      <c r="H872" s="9"/>
    </row>
    <row r="873">
      <c r="A873" s="9"/>
      <c r="B873" s="9"/>
      <c r="C873" s="9"/>
      <c r="D873" s="9"/>
      <c r="E873" s="9"/>
      <c r="F873" s="9"/>
      <c r="G873" s="59"/>
      <c r="H873" s="9"/>
    </row>
    <row r="874">
      <c r="A874" s="9"/>
      <c r="B874" s="9"/>
      <c r="C874" s="9"/>
      <c r="D874" s="9"/>
      <c r="E874" s="9"/>
      <c r="F874" s="9"/>
      <c r="G874" s="59"/>
      <c r="H874" s="9"/>
    </row>
    <row r="875">
      <c r="A875" s="9"/>
      <c r="B875" s="9"/>
      <c r="C875" s="9"/>
      <c r="D875" s="9"/>
      <c r="E875" s="9"/>
      <c r="F875" s="9"/>
      <c r="G875" s="59"/>
      <c r="H875" s="9"/>
    </row>
    <row r="876">
      <c r="A876" s="9"/>
      <c r="B876" s="9"/>
      <c r="C876" s="9"/>
      <c r="D876" s="9"/>
      <c r="E876" s="9"/>
      <c r="F876" s="9"/>
      <c r="G876" s="59"/>
      <c r="H876" s="9"/>
    </row>
    <row r="877">
      <c r="A877" s="9"/>
      <c r="B877" s="9"/>
      <c r="C877" s="9"/>
      <c r="D877" s="9"/>
      <c r="E877" s="9"/>
      <c r="F877" s="9"/>
      <c r="G877" s="59"/>
      <c r="H877" s="9"/>
    </row>
    <row r="878">
      <c r="A878" s="9"/>
      <c r="B878" s="9"/>
      <c r="C878" s="9"/>
      <c r="D878" s="9"/>
      <c r="E878" s="9"/>
      <c r="F878" s="9"/>
      <c r="G878" s="59"/>
      <c r="H878" s="9"/>
    </row>
    <row r="879">
      <c r="A879" s="9"/>
      <c r="B879" s="9"/>
      <c r="C879" s="9"/>
      <c r="D879" s="9"/>
      <c r="E879" s="9"/>
      <c r="F879" s="9"/>
      <c r="G879" s="59"/>
      <c r="H879" s="9"/>
    </row>
    <row r="880">
      <c r="A880" s="9"/>
      <c r="B880" s="9"/>
      <c r="C880" s="9"/>
      <c r="D880" s="9"/>
      <c r="E880" s="9"/>
      <c r="F880" s="9"/>
      <c r="G880" s="59"/>
      <c r="H880" s="9"/>
    </row>
    <row r="881">
      <c r="A881" s="9"/>
      <c r="B881" s="9"/>
      <c r="C881" s="9"/>
      <c r="D881" s="9"/>
      <c r="E881" s="9"/>
      <c r="F881" s="9"/>
      <c r="G881" s="59"/>
      <c r="H881" s="9"/>
    </row>
    <row r="882">
      <c r="A882" s="9"/>
      <c r="B882" s="9"/>
      <c r="C882" s="9"/>
      <c r="D882" s="9"/>
      <c r="E882" s="9"/>
      <c r="F882" s="9"/>
      <c r="G882" s="59"/>
      <c r="H882" s="9"/>
    </row>
    <row r="883">
      <c r="A883" s="9"/>
      <c r="B883" s="9"/>
      <c r="C883" s="9"/>
      <c r="D883" s="9"/>
      <c r="E883" s="9"/>
      <c r="F883" s="9"/>
      <c r="G883" s="59"/>
      <c r="H883" s="9"/>
    </row>
    <row r="884">
      <c r="A884" s="9"/>
      <c r="B884" s="9"/>
      <c r="C884" s="9"/>
      <c r="D884" s="9"/>
      <c r="E884" s="9"/>
      <c r="F884" s="9"/>
      <c r="G884" s="59"/>
      <c r="H884" s="9"/>
    </row>
    <row r="885">
      <c r="A885" s="9"/>
      <c r="B885" s="9"/>
      <c r="C885" s="9"/>
      <c r="D885" s="9"/>
      <c r="E885" s="9"/>
      <c r="F885" s="9"/>
      <c r="G885" s="59"/>
      <c r="H885" s="9"/>
    </row>
    <row r="886">
      <c r="A886" s="9"/>
      <c r="B886" s="9"/>
      <c r="C886" s="9"/>
      <c r="D886" s="9"/>
      <c r="E886" s="9"/>
      <c r="F886" s="9"/>
      <c r="G886" s="59"/>
      <c r="H886" s="9"/>
    </row>
    <row r="887">
      <c r="A887" s="9"/>
      <c r="B887" s="9"/>
      <c r="C887" s="9"/>
      <c r="D887" s="9"/>
      <c r="E887" s="9"/>
      <c r="F887" s="9"/>
      <c r="G887" s="59"/>
      <c r="H887" s="9"/>
    </row>
    <row r="888">
      <c r="A888" s="9"/>
      <c r="B888" s="9"/>
      <c r="C888" s="9"/>
      <c r="D888" s="9"/>
      <c r="E888" s="9"/>
      <c r="F888" s="9"/>
      <c r="G888" s="59"/>
      <c r="H888" s="9"/>
    </row>
    <row r="889">
      <c r="A889" s="9"/>
      <c r="B889" s="9"/>
      <c r="C889" s="9"/>
      <c r="D889" s="9"/>
      <c r="E889" s="9"/>
      <c r="F889" s="9"/>
      <c r="G889" s="59"/>
      <c r="H889" s="9"/>
    </row>
    <row r="890">
      <c r="A890" s="9"/>
      <c r="B890" s="9"/>
      <c r="C890" s="9"/>
      <c r="D890" s="9"/>
      <c r="E890" s="9"/>
      <c r="F890" s="9"/>
      <c r="G890" s="59"/>
      <c r="H890" s="9"/>
    </row>
    <row r="891">
      <c r="A891" s="9"/>
      <c r="B891" s="9"/>
      <c r="C891" s="9"/>
      <c r="D891" s="9"/>
      <c r="E891" s="9"/>
      <c r="F891" s="9"/>
      <c r="G891" s="59"/>
      <c r="H891" s="9"/>
    </row>
    <row r="892">
      <c r="A892" s="9"/>
      <c r="B892" s="9"/>
      <c r="C892" s="9"/>
      <c r="D892" s="9"/>
      <c r="E892" s="9"/>
      <c r="F892" s="9"/>
      <c r="G892" s="59"/>
      <c r="H892" s="9"/>
    </row>
    <row r="893">
      <c r="A893" s="9"/>
      <c r="B893" s="9"/>
      <c r="C893" s="9"/>
      <c r="D893" s="9"/>
      <c r="E893" s="9"/>
      <c r="F893" s="9"/>
      <c r="G893" s="59"/>
      <c r="H893" s="9"/>
    </row>
    <row r="894">
      <c r="A894" s="9"/>
      <c r="B894" s="9"/>
      <c r="C894" s="9"/>
      <c r="D894" s="9"/>
      <c r="E894" s="9"/>
      <c r="F894" s="9"/>
      <c r="G894" s="59"/>
      <c r="H894" s="9"/>
    </row>
    <row r="895">
      <c r="A895" s="9"/>
      <c r="B895" s="9"/>
      <c r="C895" s="9"/>
      <c r="D895" s="9"/>
      <c r="E895" s="9"/>
      <c r="F895" s="9"/>
      <c r="G895" s="59"/>
      <c r="H895" s="9"/>
    </row>
    <row r="896">
      <c r="A896" s="9"/>
      <c r="B896" s="9"/>
      <c r="C896" s="9"/>
      <c r="D896" s="9"/>
      <c r="E896" s="9"/>
      <c r="F896" s="9"/>
      <c r="G896" s="59"/>
      <c r="H896" s="9"/>
    </row>
    <row r="897">
      <c r="A897" s="9"/>
      <c r="B897" s="9"/>
      <c r="C897" s="9"/>
      <c r="D897" s="9"/>
      <c r="E897" s="9"/>
      <c r="F897" s="9"/>
      <c r="G897" s="59"/>
      <c r="H897" s="9"/>
    </row>
    <row r="898">
      <c r="A898" s="9"/>
      <c r="B898" s="9"/>
      <c r="C898" s="9"/>
      <c r="D898" s="9"/>
      <c r="E898" s="9"/>
      <c r="F898" s="9"/>
      <c r="G898" s="59"/>
      <c r="H898" s="9"/>
    </row>
    <row r="899">
      <c r="A899" s="9"/>
      <c r="B899" s="9"/>
      <c r="C899" s="9"/>
      <c r="D899" s="9"/>
      <c r="E899" s="9"/>
      <c r="F899" s="9"/>
      <c r="G899" s="59"/>
      <c r="H899" s="9"/>
    </row>
    <row r="900">
      <c r="A900" s="9"/>
      <c r="B900" s="9"/>
      <c r="C900" s="9"/>
      <c r="D900" s="9"/>
      <c r="E900" s="9"/>
      <c r="F900" s="9"/>
      <c r="G900" s="59"/>
      <c r="H900" s="9"/>
    </row>
    <row r="901">
      <c r="A901" s="9"/>
      <c r="B901" s="9"/>
      <c r="C901" s="9"/>
      <c r="D901" s="9"/>
      <c r="E901" s="9"/>
      <c r="F901" s="9"/>
      <c r="G901" s="59"/>
      <c r="H901" s="9"/>
    </row>
    <row r="902">
      <c r="A902" s="9"/>
      <c r="B902" s="9"/>
      <c r="C902" s="9"/>
      <c r="D902" s="9"/>
      <c r="E902" s="9"/>
      <c r="F902" s="9"/>
      <c r="G902" s="59"/>
      <c r="H902" s="9"/>
    </row>
    <row r="903">
      <c r="A903" s="9"/>
      <c r="B903" s="9"/>
      <c r="C903" s="9"/>
      <c r="D903" s="9"/>
      <c r="E903" s="9"/>
      <c r="F903" s="9"/>
      <c r="G903" s="59"/>
      <c r="H903" s="9"/>
    </row>
    <row r="904">
      <c r="A904" s="9"/>
      <c r="B904" s="9"/>
      <c r="C904" s="9"/>
      <c r="D904" s="9"/>
      <c r="E904" s="9"/>
      <c r="F904" s="9"/>
      <c r="G904" s="59"/>
      <c r="H904" s="9"/>
    </row>
    <row r="905">
      <c r="A905" s="9"/>
      <c r="B905" s="9"/>
      <c r="C905" s="9"/>
      <c r="D905" s="9"/>
      <c r="E905" s="9"/>
      <c r="F905" s="9"/>
      <c r="G905" s="59"/>
      <c r="H905" s="9"/>
    </row>
    <row r="906">
      <c r="A906" s="9"/>
      <c r="B906" s="9"/>
      <c r="C906" s="9"/>
      <c r="D906" s="9"/>
      <c r="E906" s="9"/>
      <c r="F906" s="9"/>
      <c r="G906" s="59"/>
      <c r="H906" s="9"/>
    </row>
    <row r="907">
      <c r="A907" s="9"/>
      <c r="B907" s="9"/>
      <c r="C907" s="9"/>
      <c r="D907" s="9"/>
      <c r="E907" s="9"/>
      <c r="F907" s="9"/>
      <c r="G907" s="59"/>
      <c r="H907" s="9"/>
    </row>
    <row r="908">
      <c r="A908" s="9"/>
      <c r="B908" s="9"/>
      <c r="C908" s="9"/>
      <c r="D908" s="9"/>
      <c r="E908" s="9"/>
      <c r="F908" s="9"/>
      <c r="G908" s="59"/>
      <c r="H908" s="9"/>
    </row>
    <row r="909">
      <c r="A909" s="9"/>
      <c r="B909" s="9"/>
      <c r="C909" s="9"/>
      <c r="D909" s="9"/>
      <c r="E909" s="9"/>
      <c r="F909" s="9"/>
      <c r="G909" s="59"/>
      <c r="H909" s="9"/>
    </row>
    <row r="910">
      <c r="A910" s="9"/>
      <c r="B910" s="9"/>
      <c r="C910" s="9"/>
      <c r="D910" s="9"/>
      <c r="E910" s="9"/>
      <c r="F910" s="9"/>
      <c r="G910" s="59"/>
      <c r="H910" s="9"/>
    </row>
    <row r="911">
      <c r="A911" s="9"/>
      <c r="B911" s="9"/>
      <c r="C911" s="9"/>
      <c r="D911" s="9"/>
      <c r="E911" s="9"/>
      <c r="F911" s="9"/>
      <c r="G911" s="59"/>
      <c r="H911" s="9"/>
    </row>
    <row r="912">
      <c r="A912" s="9"/>
      <c r="B912" s="9"/>
      <c r="C912" s="9"/>
      <c r="D912" s="9"/>
      <c r="E912" s="9"/>
      <c r="F912" s="9"/>
      <c r="G912" s="59"/>
      <c r="H912" s="9"/>
    </row>
    <row r="913">
      <c r="A913" s="9"/>
      <c r="B913" s="9"/>
      <c r="C913" s="9"/>
      <c r="D913" s="9"/>
      <c r="E913" s="9"/>
      <c r="F913" s="9"/>
      <c r="G913" s="59"/>
      <c r="H913" s="9"/>
    </row>
    <row r="914">
      <c r="A914" s="9"/>
      <c r="B914" s="9"/>
      <c r="C914" s="9"/>
      <c r="D914" s="9"/>
      <c r="E914" s="9"/>
      <c r="F914" s="9"/>
      <c r="G914" s="59"/>
      <c r="H914" s="9"/>
    </row>
    <row r="915">
      <c r="A915" s="9"/>
      <c r="B915" s="9"/>
      <c r="C915" s="9"/>
      <c r="D915" s="9"/>
      <c r="E915" s="9"/>
      <c r="F915" s="9"/>
      <c r="G915" s="59"/>
      <c r="H915" s="9"/>
    </row>
    <row r="916">
      <c r="A916" s="9"/>
      <c r="B916" s="9"/>
      <c r="C916" s="9"/>
      <c r="D916" s="9"/>
      <c r="E916" s="9"/>
      <c r="F916" s="9"/>
      <c r="G916" s="59"/>
      <c r="H916" s="9"/>
    </row>
    <row r="917">
      <c r="A917" s="9"/>
      <c r="B917" s="9"/>
      <c r="C917" s="9"/>
      <c r="D917" s="9"/>
      <c r="E917" s="9"/>
      <c r="F917" s="9"/>
      <c r="G917" s="59"/>
      <c r="H917" s="9"/>
    </row>
    <row r="918">
      <c r="A918" s="9"/>
      <c r="B918" s="9"/>
      <c r="C918" s="9"/>
      <c r="D918" s="9"/>
      <c r="E918" s="9"/>
      <c r="F918" s="9"/>
      <c r="G918" s="59"/>
      <c r="H918" s="9"/>
    </row>
    <row r="919">
      <c r="A919" s="9"/>
      <c r="B919" s="9"/>
      <c r="C919" s="9"/>
      <c r="D919" s="9"/>
      <c r="E919" s="9"/>
      <c r="F919" s="9"/>
      <c r="G919" s="59"/>
      <c r="H919" s="9"/>
    </row>
    <row r="920">
      <c r="A920" s="9"/>
      <c r="B920" s="9"/>
      <c r="C920" s="9"/>
      <c r="D920" s="9"/>
      <c r="E920" s="9"/>
      <c r="F920" s="9"/>
      <c r="G920" s="59"/>
      <c r="H920" s="9"/>
    </row>
    <row r="921">
      <c r="A921" s="9"/>
      <c r="B921" s="9"/>
      <c r="C921" s="9"/>
      <c r="D921" s="9"/>
      <c r="E921" s="9"/>
      <c r="F921" s="9"/>
      <c r="G921" s="59"/>
      <c r="H921" s="9"/>
    </row>
    <row r="922">
      <c r="A922" s="9"/>
      <c r="B922" s="9"/>
      <c r="C922" s="9"/>
      <c r="D922" s="9"/>
      <c r="E922" s="9"/>
      <c r="F922" s="9"/>
      <c r="G922" s="59"/>
      <c r="H922" s="9"/>
    </row>
    <row r="923">
      <c r="A923" s="9"/>
      <c r="B923" s="9"/>
      <c r="C923" s="9"/>
      <c r="D923" s="9"/>
      <c r="E923" s="9"/>
      <c r="F923" s="9"/>
      <c r="G923" s="59"/>
      <c r="H923" s="9"/>
    </row>
    <row r="924">
      <c r="A924" s="9"/>
      <c r="B924" s="9"/>
      <c r="C924" s="9"/>
      <c r="D924" s="9"/>
      <c r="E924" s="9"/>
      <c r="F924" s="9"/>
      <c r="G924" s="59"/>
      <c r="H924" s="9"/>
    </row>
    <row r="925">
      <c r="A925" s="9"/>
      <c r="B925" s="9"/>
      <c r="C925" s="9"/>
      <c r="D925" s="9"/>
      <c r="E925" s="9"/>
      <c r="F925" s="9"/>
      <c r="G925" s="59"/>
      <c r="H925" s="9"/>
    </row>
    <row r="926">
      <c r="A926" s="9"/>
      <c r="B926" s="9"/>
      <c r="C926" s="9"/>
      <c r="D926" s="9"/>
      <c r="E926" s="9"/>
      <c r="F926" s="9"/>
      <c r="G926" s="59"/>
      <c r="H926" s="9"/>
    </row>
    <row r="927">
      <c r="A927" s="9"/>
      <c r="B927" s="9"/>
      <c r="C927" s="9"/>
      <c r="D927" s="9"/>
      <c r="E927" s="9"/>
      <c r="F927" s="9"/>
      <c r="G927" s="59"/>
      <c r="H927" s="9"/>
    </row>
    <row r="928">
      <c r="A928" s="9"/>
      <c r="B928" s="9"/>
      <c r="C928" s="9"/>
      <c r="D928" s="9"/>
      <c r="E928" s="9"/>
      <c r="F928" s="9"/>
      <c r="G928" s="59"/>
      <c r="H928" s="9"/>
    </row>
    <row r="929">
      <c r="A929" s="9"/>
      <c r="B929" s="9"/>
      <c r="C929" s="9"/>
      <c r="D929" s="9"/>
      <c r="E929" s="9"/>
      <c r="F929" s="9"/>
      <c r="G929" s="59"/>
      <c r="H929" s="9"/>
    </row>
    <row r="930">
      <c r="A930" s="9"/>
      <c r="B930" s="9"/>
      <c r="C930" s="9"/>
      <c r="D930" s="9"/>
      <c r="E930" s="9"/>
      <c r="F930" s="9"/>
      <c r="G930" s="59"/>
      <c r="H930" s="9"/>
    </row>
    <row r="931">
      <c r="A931" s="9"/>
      <c r="B931" s="9"/>
      <c r="C931" s="9"/>
      <c r="D931" s="9"/>
      <c r="E931" s="9"/>
      <c r="F931" s="9"/>
      <c r="G931" s="59"/>
      <c r="H931" s="9"/>
    </row>
    <row r="932">
      <c r="A932" s="9"/>
      <c r="B932" s="9"/>
      <c r="C932" s="9"/>
      <c r="D932" s="9"/>
      <c r="E932" s="9"/>
      <c r="F932" s="9"/>
      <c r="G932" s="59"/>
      <c r="H932" s="9"/>
    </row>
    <row r="933">
      <c r="A933" s="9"/>
      <c r="B933" s="9"/>
      <c r="C933" s="9"/>
      <c r="D933" s="9"/>
      <c r="E933" s="9"/>
      <c r="F933" s="9"/>
      <c r="G933" s="59"/>
      <c r="H933" s="9"/>
    </row>
    <row r="934">
      <c r="A934" s="9"/>
      <c r="B934" s="9"/>
      <c r="C934" s="9"/>
      <c r="D934" s="9"/>
      <c r="E934" s="9"/>
      <c r="F934" s="9"/>
      <c r="G934" s="59"/>
      <c r="H934" s="9"/>
    </row>
    <row r="935">
      <c r="A935" s="9"/>
      <c r="B935" s="9"/>
      <c r="C935" s="9"/>
      <c r="D935" s="9"/>
      <c r="E935" s="9"/>
      <c r="F935" s="9"/>
      <c r="G935" s="59"/>
      <c r="H935" s="9"/>
    </row>
    <row r="936">
      <c r="A936" s="9"/>
      <c r="B936" s="9"/>
      <c r="C936" s="9"/>
      <c r="D936" s="9"/>
      <c r="E936" s="9"/>
      <c r="F936" s="9"/>
      <c r="G936" s="59"/>
      <c r="H936" s="9"/>
    </row>
    <row r="937">
      <c r="A937" s="9"/>
      <c r="B937" s="9"/>
      <c r="C937" s="9"/>
      <c r="D937" s="9"/>
      <c r="E937" s="9"/>
      <c r="F937" s="9"/>
      <c r="G937" s="59"/>
      <c r="H937" s="9"/>
    </row>
    <row r="938">
      <c r="A938" s="9"/>
      <c r="B938" s="9"/>
      <c r="C938" s="9"/>
      <c r="D938" s="9"/>
      <c r="E938" s="9"/>
      <c r="F938" s="9"/>
      <c r="G938" s="59"/>
      <c r="H938" s="9"/>
    </row>
    <row r="939">
      <c r="A939" s="9"/>
      <c r="B939" s="9"/>
      <c r="C939" s="9"/>
      <c r="D939" s="9"/>
      <c r="E939" s="9"/>
      <c r="F939" s="9"/>
      <c r="G939" s="59"/>
      <c r="H939" s="9"/>
    </row>
    <row r="940">
      <c r="A940" s="9"/>
      <c r="B940" s="9"/>
      <c r="C940" s="9"/>
      <c r="D940" s="9"/>
      <c r="E940" s="9"/>
      <c r="F940" s="9"/>
      <c r="G940" s="59"/>
      <c r="H940" s="9"/>
    </row>
    <row r="941">
      <c r="A941" s="9"/>
      <c r="B941" s="9"/>
      <c r="C941" s="9"/>
      <c r="D941" s="9"/>
      <c r="E941" s="9"/>
      <c r="F941" s="9"/>
      <c r="G941" s="59"/>
      <c r="H941" s="9"/>
    </row>
    <row r="942">
      <c r="A942" s="9"/>
      <c r="B942" s="9"/>
      <c r="C942" s="9"/>
      <c r="D942" s="9"/>
      <c r="E942" s="9"/>
      <c r="F942" s="9"/>
      <c r="G942" s="59"/>
      <c r="H942" s="9"/>
    </row>
    <row r="943">
      <c r="A943" s="9"/>
      <c r="B943" s="9"/>
      <c r="C943" s="9"/>
      <c r="D943" s="9"/>
      <c r="E943" s="9"/>
      <c r="F943" s="9"/>
      <c r="G943" s="59"/>
      <c r="H943" s="9"/>
    </row>
    <row r="944">
      <c r="A944" s="9"/>
      <c r="B944" s="9"/>
      <c r="C944" s="9"/>
      <c r="D944" s="9"/>
      <c r="E944" s="9"/>
      <c r="F944" s="9"/>
      <c r="G944" s="59"/>
      <c r="H944" s="9"/>
    </row>
    <row r="945">
      <c r="A945" s="9"/>
      <c r="B945" s="9"/>
      <c r="C945" s="9"/>
      <c r="D945" s="9"/>
      <c r="E945" s="9"/>
      <c r="F945" s="9"/>
      <c r="G945" s="59"/>
      <c r="H945" s="9"/>
    </row>
    <row r="946">
      <c r="A946" s="9"/>
      <c r="B946" s="9"/>
      <c r="C946" s="9"/>
      <c r="D946" s="9"/>
      <c r="E946" s="9"/>
      <c r="F946" s="9"/>
      <c r="G946" s="59"/>
      <c r="H946" s="9"/>
    </row>
    <row r="947">
      <c r="A947" s="9"/>
      <c r="B947" s="9"/>
      <c r="C947" s="9"/>
      <c r="D947" s="9"/>
      <c r="E947" s="9"/>
      <c r="F947" s="9"/>
      <c r="G947" s="59"/>
      <c r="H947" s="9"/>
    </row>
    <row r="948">
      <c r="A948" s="9"/>
      <c r="B948" s="9"/>
      <c r="C948" s="9"/>
      <c r="D948" s="9"/>
      <c r="E948" s="9"/>
      <c r="F948" s="9"/>
      <c r="G948" s="59"/>
      <c r="H948" s="9"/>
    </row>
    <row r="949">
      <c r="A949" s="9"/>
      <c r="B949" s="9"/>
      <c r="C949" s="9"/>
      <c r="D949" s="9"/>
      <c r="E949" s="9"/>
      <c r="F949" s="9"/>
      <c r="G949" s="59"/>
      <c r="H949" s="9"/>
    </row>
    <row r="950">
      <c r="A950" s="9"/>
      <c r="B950" s="9"/>
      <c r="C950" s="9"/>
      <c r="D950" s="9"/>
      <c r="E950" s="9"/>
      <c r="F950" s="9"/>
      <c r="G950" s="59"/>
      <c r="H950" s="9"/>
    </row>
    <row r="951">
      <c r="A951" s="9"/>
      <c r="B951" s="9"/>
      <c r="C951" s="9"/>
      <c r="D951" s="9"/>
      <c r="E951" s="9"/>
      <c r="F951" s="9"/>
      <c r="G951" s="59"/>
      <c r="H951" s="9"/>
    </row>
    <row r="952">
      <c r="A952" s="9"/>
      <c r="B952" s="9"/>
      <c r="C952" s="9"/>
      <c r="D952" s="9"/>
      <c r="E952" s="9"/>
      <c r="F952" s="9"/>
      <c r="G952" s="59"/>
      <c r="H952" s="9"/>
    </row>
    <row r="953">
      <c r="A953" s="9"/>
      <c r="B953" s="9"/>
      <c r="C953" s="9"/>
      <c r="D953" s="9"/>
      <c r="E953" s="9"/>
      <c r="F953" s="9"/>
      <c r="G953" s="59"/>
      <c r="H953" s="9"/>
    </row>
    <row r="954">
      <c r="A954" s="9"/>
      <c r="B954" s="9"/>
      <c r="C954" s="9"/>
      <c r="D954" s="9"/>
      <c r="E954" s="9"/>
      <c r="F954" s="9"/>
      <c r="G954" s="59"/>
      <c r="H954" s="9"/>
    </row>
    <row r="955">
      <c r="A955" s="9"/>
      <c r="B955" s="9"/>
      <c r="C955" s="9"/>
      <c r="D955" s="9"/>
      <c r="E955" s="9"/>
      <c r="F955" s="9"/>
      <c r="G955" s="59"/>
      <c r="H955" s="9"/>
    </row>
    <row r="956">
      <c r="A956" s="9"/>
      <c r="B956" s="9"/>
      <c r="C956" s="9"/>
      <c r="D956" s="9"/>
      <c r="E956" s="9"/>
      <c r="F956" s="9"/>
      <c r="G956" s="59"/>
      <c r="H956" s="9"/>
    </row>
    <row r="957">
      <c r="A957" s="9"/>
      <c r="B957" s="9"/>
      <c r="C957" s="9"/>
      <c r="D957" s="9"/>
      <c r="E957" s="9"/>
      <c r="F957" s="9"/>
      <c r="G957" s="59"/>
      <c r="H957" s="9"/>
    </row>
    <row r="958">
      <c r="A958" s="9"/>
      <c r="B958" s="9"/>
      <c r="C958" s="9"/>
      <c r="D958" s="9"/>
      <c r="E958" s="9"/>
      <c r="F958" s="9"/>
      <c r="G958" s="59"/>
      <c r="H958" s="9"/>
    </row>
    <row r="959">
      <c r="A959" s="9"/>
      <c r="B959" s="9"/>
      <c r="C959" s="9"/>
      <c r="D959" s="9"/>
      <c r="E959" s="9"/>
      <c r="F959" s="9"/>
      <c r="G959" s="59"/>
      <c r="H959" s="9"/>
    </row>
    <row r="960">
      <c r="A960" s="9"/>
      <c r="B960" s="9"/>
      <c r="C960" s="9"/>
      <c r="D960" s="9"/>
      <c r="E960" s="9"/>
      <c r="F960" s="9"/>
      <c r="G960" s="59"/>
      <c r="H960" s="9"/>
    </row>
    <row r="961">
      <c r="A961" s="9"/>
      <c r="B961" s="9"/>
      <c r="C961" s="9"/>
      <c r="D961" s="9"/>
      <c r="E961" s="9"/>
      <c r="F961" s="9"/>
      <c r="G961" s="59"/>
      <c r="H961" s="9"/>
    </row>
    <row r="962">
      <c r="A962" s="9"/>
      <c r="B962" s="9"/>
      <c r="C962" s="9"/>
      <c r="D962" s="9"/>
      <c r="E962" s="9"/>
      <c r="F962" s="9"/>
      <c r="G962" s="59"/>
      <c r="H962" s="9"/>
    </row>
    <row r="963">
      <c r="A963" s="9"/>
      <c r="B963" s="9"/>
      <c r="C963" s="9"/>
      <c r="D963" s="9"/>
      <c r="E963" s="9"/>
      <c r="F963" s="9"/>
      <c r="G963" s="59"/>
      <c r="H963" s="9"/>
    </row>
    <row r="964">
      <c r="A964" s="9"/>
      <c r="B964" s="9"/>
      <c r="C964" s="9"/>
      <c r="D964" s="9"/>
      <c r="E964" s="9"/>
      <c r="F964" s="9"/>
      <c r="G964" s="59"/>
      <c r="H964" s="9"/>
    </row>
    <row r="965">
      <c r="A965" s="9"/>
      <c r="B965" s="9"/>
      <c r="C965" s="9"/>
      <c r="D965" s="9"/>
      <c r="E965" s="9"/>
      <c r="F965" s="9"/>
      <c r="G965" s="59"/>
      <c r="H965" s="9"/>
    </row>
    <row r="966">
      <c r="A966" s="9"/>
      <c r="B966" s="9"/>
      <c r="C966" s="9"/>
      <c r="D966" s="9"/>
      <c r="E966" s="9"/>
      <c r="F966" s="9"/>
      <c r="G966" s="59"/>
      <c r="H966" s="9"/>
    </row>
    <row r="967">
      <c r="A967" s="9"/>
      <c r="B967" s="9"/>
      <c r="C967" s="9"/>
      <c r="D967" s="9"/>
      <c r="E967" s="9"/>
      <c r="F967" s="9"/>
      <c r="G967" s="59"/>
      <c r="H967" s="9"/>
    </row>
    <row r="968">
      <c r="A968" s="9"/>
      <c r="B968" s="9"/>
      <c r="C968" s="9"/>
      <c r="D968" s="9"/>
      <c r="E968" s="9"/>
      <c r="F968" s="9"/>
      <c r="G968" s="59"/>
      <c r="H968" s="9"/>
    </row>
    <row r="969">
      <c r="A969" s="9"/>
      <c r="B969" s="9"/>
      <c r="C969" s="9"/>
      <c r="D969" s="9"/>
      <c r="E969" s="9"/>
      <c r="F969" s="9"/>
      <c r="G969" s="59"/>
      <c r="H969" s="9"/>
    </row>
    <row r="970">
      <c r="A970" s="9"/>
      <c r="B970" s="9"/>
      <c r="C970" s="9"/>
      <c r="D970" s="9"/>
      <c r="E970" s="9"/>
      <c r="F970" s="9"/>
      <c r="G970" s="59"/>
      <c r="H970" s="9"/>
    </row>
    <row r="971">
      <c r="A971" s="9"/>
      <c r="B971" s="9"/>
      <c r="C971" s="9"/>
      <c r="D971" s="9"/>
      <c r="E971" s="9"/>
      <c r="F971" s="9"/>
      <c r="G971" s="59"/>
      <c r="H971" s="9"/>
    </row>
    <row r="972">
      <c r="A972" s="9"/>
      <c r="B972" s="9"/>
      <c r="C972" s="9"/>
      <c r="D972" s="9"/>
      <c r="E972" s="9"/>
      <c r="F972" s="9"/>
      <c r="G972" s="59"/>
      <c r="H972" s="9"/>
    </row>
    <row r="973">
      <c r="A973" s="9"/>
      <c r="B973" s="9"/>
      <c r="C973" s="9"/>
      <c r="D973" s="9"/>
      <c r="E973" s="9"/>
      <c r="F973" s="9"/>
      <c r="G973" s="59"/>
      <c r="H973" s="9"/>
    </row>
    <row r="974">
      <c r="A974" s="9"/>
      <c r="B974" s="9"/>
      <c r="C974" s="9"/>
      <c r="D974" s="9"/>
      <c r="E974" s="9"/>
      <c r="F974" s="9"/>
      <c r="G974" s="59"/>
      <c r="H974" s="9"/>
    </row>
    <row r="975">
      <c r="A975" s="9"/>
      <c r="B975" s="9"/>
      <c r="C975" s="9"/>
      <c r="D975" s="9"/>
      <c r="E975" s="9"/>
      <c r="F975" s="9"/>
      <c r="G975" s="59"/>
      <c r="H975" s="9"/>
    </row>
    <row r="976">
      <c r="A976" s="9"/>
      <c r="B976" s="9"/>
      <c r="C976" s="9"/>
      <c r="D976" s="9"/>
      <c r="E976" s="9"/>
      <c r="F976" s="9"/>
      <c r="G976" s="59"/>
      <c r="H976" s="9"/>
    </row>
    <row r="977">
      <c r="A977" s="9"/>
      <c r="B977" s="9"/>
      <c r="C977" s="9"/>
      <c r="D977" s="9"/>
      <c r="E977" s="9"/>
      <c r="F977" s="9"/>
      <c r="G977" s="59"/>
      <c r="H977" s="9"/>
    </row>
    <row r="978">
      <c r="A978" s="9"/>
      <c r="B978" s="9"/>
      <c r="C978" s="9"/>
      <c r="D978" s="9"/>
      <c r="E978" s="9"/>
      <c r="F978" s="9"/>
      <c r="G978" s="59"/>
      <c r="H978" s="9"/>
    </row>
    <row r="979">
      <c r="A979" s="9"/>
      <c r="B979" s="9"/>
      <c r="C979" s="9"/>
      <c r="D979" s="9"/>
      <c r="E979" s="9"/>
      <c r="F979" s="9"/>
      <c r="G979" s="59"/>
      <c r="H979" s="9"/>
    </row>
    <row r="980">
      <c r="A980" s="9"/>
      <c r="B980" s="9"/>
      <c r="C980" s="9"/>
      <c r="D980" s="9"/>
      <c r="E980" s="9"/>
      <c r="F980" s="9"/>
      <c r="G980" s="59"/>
      <c r="H980" s="9"/>
    </row>
    <row r="981">
      <c r="A981" s="9"/>
      <c r="B981" s="9"/>
      <c r="C981" s="9"/>
      <c r="D981" s="9"/>
      <c r="E981" s="9"/>
      <c r="F981" s="9"/>
      <c r="G981" s="59"/>
      <c r="H981" s="9"/>
    </row>
    <row r="982">
      <c r="A982" s="9"/>
      <c r="B982" s="9"/>
      <c r="C982" s="9"/>
      <c r="D982" s="9"/>
      <c r="E982" s="9"/>
      <c r="F982" s="9"/>
      <c r="G982" s="59"/>
      <c r="H982" s="9"/>
    </row>
    <row r="983">
      <c r="A983" s="9"/>
      <c r="B983" s="9"/>
      <c r="C983" s="9"/>
      <c r="D983" s="9"/>
      <c r="E983" s="9"/>
      <c r="F983" s="9"/>
      <c r="G983" s="59"/>
      <c r="H983" s="9"/>
    </row>
    <row r="984">
      <c r="A984" s="9"/>
      <c r="B984" s="9"/>
      <c r="C984" s="9"/>
      <c r="D984" s="9"/>
      <c r="E984" s="9"/>
      <c r="F984" s="9"/>
      <c r="G984" s="59"/>
      <c r="H984" s="9"/>
    </row>
    <row r="985">
      <c r="A985" s="9"/>
      <c r="B985" s="9"/>
      <c r="C985" s="9"/>
      <c r="D985" s="9"/>
      <c r="E985" s="9"/>
      <c r="F985" s="9"/>
      <c r="G985" s="59"/>
      <c r="H985" s="9"/>
    </row>
    <row r="986">
      <c r="A986" s="9"/>
      <c r="B986" s="9"/>
      <c r="C986" s="9"/>
      <c r="D986" s="9"/>
      <c r="E986" s="9"/>
      <c r="F986" s="9"/>
      <c r="G986" s="59"/>
      <c r="H986" s="9"/>
    </row>
    <row r="987">
      <c r="A987" s="9"/>
      <c r="B987" s="9"/>
      <c r="C987" s="9"/>
      <c r="D987" s="9"/>
      <c r="E987" s="9"/>
      <c r="F987" s="9"/>
      <c r="G987" s="59"/>
      <c r="H987" s="9"/>
    </row>
    <row r="988">
      <c r="A988" s="9"/>
      <c r="B988" s="9"/>
      <c r="C988" s="9"/>
      <c r="D988" s="9"/>
      <c r="E988" s="9"/>
      <c r="F988" s="9"/>
      <c r="G988" s="59"/>
      <c r="H988" s="9"/>
    </row>
    <row r="989">
      <c r="A989" s="9"/>
      <c r="B989" s="9"/>
      <c r="C989" s="9"/>
      <c r="D989" s="9"/>
      <c r="E989" s="9"/>
      <c r="F989" s="9"/>
      <c r="G989" s="59"/>
      <c r="H989" s="9"/>
    </row>
    <row r="990">
      <c r="A990" s="9"/>
      <c r="B990" s="9"/>
      <c r="C990" s="9"/>
      <c r="D990" s="9"/>
      <c r="E990" s="9"/>
      <c r="F990" s="9"/>
      <c r="G990" s="59"/>
      <c r="H990" s="9"/>
    </row>
    <row r="991">
      <c r="A991" s="9"/>
      <c r="B991" s="9"/>
      <c r="C991" s="9"/>
      <c r="D991" s="9"/>
      <c r="E991" s="9"/>
      <c r="F991" s="9"/>
      <c r="G991" s="59"/>
      <c r="H991" s="9"/>
    </row>
    <row r="992">
      <c r="A992" s="9"/>
      <c r="B992" s="9"/>
      <c r="C992" s="9"/>
      <c r="D992" s="9"/>
      <c r="E992" s="9"/>
      <c r="F992" s="9"/>
      <c r="G992" s="59"/>
      <c r="H992" s="9"/>
    </row>
  </sheetData>
  <mergeCells count="3">
    <mergeCell ref="A1:F1"/>
    <mergeCell ref="J4:Q8"/>
    <mergeCell ref="A5:A6"/>
  </mergeCells>
  <dataValidations>
    <dataValidation type="list" allowBlank="1" showErrorMessage="1" sqref="L10:L14">
      <formula1>Data!E4:E992</formula1>
    </dataValidation>
    <dataValidation type="list" allowBlank="1" showErrorMessage="1" sqref="B9:B323">
      <formula1>"🕹 Lucky Draw,เข้าร่วมทุกคน,รอแก้ไขข้อมูล"</formula1>
    </dataValidation>
    <dataValidation type="list" allowBlank="1" showErrorMessage="1" sqref="E9:E310">
      <formula1>"🌐 เว็บไซต์,💌 จดหมายภายในเกม,📱 ข้อความ sms,📦 จัดส่งพัสดุ"</formula1>
    </dataValidation>
    <dataValidation type="list" allowBlank="1" showErrorMessage="1" sqref="F311:F323">
      <formula1>"เปิดรับยืนยันตัวตน,ปิดรับยืนยันตัวตน,⚙️ กำลังดำเนินการ,✅ จัดส่งแล้ว,🟡 ติดต่อแก้ข้อมูล"</formula1>
    </dataValidation>
    <dataValidation type="list" allowBlank="1" showErrorMessage="1" sqref="B3">
      <formula1>"⚙️ กำลังดำเนินการ,✅ จัดส่งเรียบร้อย"</formula1>
    </dataValidation>
    <dataValidation type="list" allowBlank="1" showErrorMessage="1" sqref="D3">
      <formula1>"ทีมสีเหลือง,ทีมสีฟ้า,MKT,BD"</formula1>
    </dataValidation>
    <dataValidation type="list" allowBlank="1" showErrorMessage="1" sqref="F9:F310">
      <formula1>"เปิดรับยืนยันตัวตน,ปิดรับยืนยันตัวตน,⚙️ กำลังดำเนินการ,✅ จัดส่งแล้ว"</formula1>
    </dataValidation>
  </dataValidations>
  <hyperlinks>
    <hyperlink r:id="rId1" ref="C3"/>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41.25"/>
    <col customWidth="1" min="3" max="3" width="37.25"/>
    <col customWidth="1" min="4" max="4" width="27.5"/>
    <col customWidth="1" min="5" max="5" width="24.63"/>
    <col customWidth="1" min="6" max="6" width="19.25"/>
    <col customWidth="1" min="7" max="7" width="6.75"/>
    <col customWidth="1" min="9" max="9" width="15.0"/>
  </cols>
  <sheetData>
    <row r="1">
      <c r="A1" s="92" t="s">
        <v>36</v>
      </c>
      <c r="G1" s="59"/>
    </row>
    <row r="2">
      <c r="A2" s="60" t="s">
        <v>46</v>
      </c>
      <c r="B2" s="93">
        <v>46183.0</v>
      </c>
      <c r="C2" s="60" t="s">
        <v>47</v>
      </c>
      <c r="D2" s="62" t="s">
        <v>48</v>
      </c>
      <c r="E2" s="63" t="s">
        <v>49</v>
      </c>
      <c r="F2" s="9"/>
      <c r="G2" s="59"/>
    </row>
    <row r="3">
      <c r="A3" s="60" t="s">
        <v>51</v>
      </c>
      <c r="B3" s="65" t="s">
        <v>27</v>
      </c>
      <c r="C3" s="113" t="s">
        <v>52</v>
      </c>
      <c r="D3" s="65" t="s">
        <v>53</v>
      </c>
      <c r="E3" s="67" t="s">
        <v>54</v>
      </c>
      <c r="F3" s="9"/>
      <c r="G3" s="59"/>
      <c r="I3" s="172" t="s">
        <v>1757</v>
      </c>
    </row>
    <row r="4">
      <c r="A4" s="105"/>
      <c r="B4" s="65"/>
      <c r="C4" s="66"/>
      <c r="D4" s="65"/>
      <c r="E4" s="67"/>
      <c r="F4" s="9"/>
      <c r="G4" s="59"/>
    </row>
    <row r="5">
      <c r="A5" s="70" t="s">
        <v>1758</v>
      </c>
      <c r="B5" s="71" t="s">
        <v>58</v>
      </c>
      <c r="C5" s="72" t="s">
        <v>59</v>
      </c>
      <c r="D5" s="9"/>
      <c r="E5" s="9"/>
      <c r="F5" s="9"/>
      <c r="G5" s="59"/>
    </row>
    <row r="6">
      <c r="B6" s="71" t="s">
        <v>60</v>
      </c>
      <c r="C6" s="72" t="s">
        <v>1759</v>
      </c>
      <c r="D6" s="9"/>
      <c r="E6" s="9"/>
      <c r="F6" s="9"/>
      <c r="G6" s="59"/>
      <c r="I6" s="173" t="s">
        <v>55</v>
      </c>
      <c r="J6" s="121" t="s">
        <v>71</v>
      </c>
      <c r="K6" s="121" t="s">
        <v>72</v>
      </c>
      <c r="L6" s="121" t="s">
        <v>73</v>
      </c>
      <c r="M6" s="162" t="s">
        <v>74</v>
      </c>
      <c r="N6" s="121" t="s">
        <v>75</v>
      </c>
      <c r="O6" s="121" t="s">
        <v>76</v>
      </c>
      <c r="P6" s="121" t="s">
        <v>77</v>
      </c>
      <c r="Q6" s="124" t="s">
        <v>78</v>
      </c>
      <c r="R6" s="174"/>
    </row>
    <row r="7">
      <c r="A7" s="9"/>
      <c r="B7" s="175" t="s">
        <v>1760</v>
      </c>
      <c r="C7" s="9"/>
      <c r="D7" s="9"/>
      <c r="E7" s="9"/>
      <c r="F7" s="9"/>
      <c r="G7" s="59"/>
      <c r="I7" s="176">
        <v>1200.0</v>
      </c>
      <c r="J7" s="82" t="str">
        <f t="array" ref="J7">IFERROR(INDEX(Data!$A$4:$O1006, MATCH($L7, INDEX(Data!$A$4:$O1006, 0, MATCH("Item EN", Data!$A$3:$O$3, FALSE)), FALSE), MATCH("Image", Data!$A$3:$O$3, FALSE)
),"")</f>
        <v/>
      </c>
      <c r="K7" s="83">
        <f t="array" ref="K7">IFERROR(INDEX(Data!$A$4:$O1006, MATCH($L7, INDEX(Data!$A$4:$O1006, 0, MATCH("Item EN", Data!$A$3:$O$3, FALSE)), FALSE), MATCH("Item ID", Data!$A$3:$O$3, FALSE)
),"")</f>
        <v>101055</v>
      </c>
      <c r="L7" s="138" t="s">
        <v>1761</v>
      </c>
      <c r="M7" s="103"/>
      <c r="N7" s="83" t="str">
        <f t="array" ref="N7">IFERROR(INDEX(Data!$A$4:$O1006, MATCH($L7, INDEX(Data!$A$4:$O1006, 0, MATCH("Item EN", Data!$A$3:$O$3, FALSE)), FALSE), MATCH("Item Type", Data!$A$3:$O$3, FALSE)
),"")</f>
        <v>Weapon</v>
      </c>
      <c r="O7" s="102">
        <v>1.0</v>
      </c>
      <c r="P7" s="87">
        <f t="array" ref="P7">IF(O7="",,IFERROR(INDEX(Data!$A$4:$O1006, MATCH($L7, INDEX(Data!$A$4:$O1006, 0, MATCH("Item EN", Data!$A$3:$O$3, FALSE)), FALSE), MATCH("Price", Data!$A$3:$O$3, FALSE)
),"")*O7)</f>
        <v>15</v>
      </c>
      <c r="Q7" s="88" t="str">
        <f t="array" ref="Q7">IFERROR(INDEX(Data!$A$4:$O1006, MATCH($L7, INDEX(Data!$A$4:$O1006, 0, MATCH("Item EN", Data!$A$3:$O$3, FALSE)), FALSE), MATCH("Image URL", Data!$A$3:$O$3, FALSE)
),"")</f>
        <v>https://cdn.exe.in.th/marketing/WarzTH_LE/Item%20Dict/m4.png</v>
      </c>
      <c r="R7" s="174"/>
    </row>
    <row r="8">
      <c r="A8" s="9"/>
      <c r="B8" s="106" t="s">
        <v>1762</v>
      </c>
      <c r="C8" s="9"/>
      <c r="D8" s="9"/>
      <c r="E8" s="9"/>
      <c r="F8" s="9"/>
      <c r="G8" s="59"/>
      <c r="I8" s="177" t="s">
        <v>519</v>
      </c>
      <c r="J8" s="82" t="str">
        <f t="array" ref="J8">IFERROR(INDEX(Data!$A$4:$O1006, MATCH($L8, INDEX(Data!$A$4:$O1006, 0, MATCH("Item EN", Data!$A$3:$O$3, FALSE)), FALSE), MATCH("Image", Data!$A$3:$O$3, FALSE)
),"")</f>
        <v/>
      </c>
      <c r="K8" s="83">
        <f t="array" ref="K8">IFERROR(INDEX(Data!$A$4:$O1006, MATCH($L8, INDEX(Data!$A$4:$O1006, 0, MATCH("Item EN", Data!$A$3:$O$3, FALSE)), FALSE), MATCH("Item ID", Data!$A$3:$O$3, FALSE)
),"")</f>
        <v>400010</v>
      </c>
      <c r="L8" s="138" t="s">
        <v>120</v>
      </c>
      <c r="M8" s="103"/>
      <c r="N8" s="83" t="str">
        <f t="array" ref="N8">IFERROR(INDEX(Data!$A$4:$O1006, MATCH($L8, INDEX(Data!$A$4:$O1006, 0, MATCH("Item EN", Data!$A$3:$O$3, FALSE)), FALSE), MATCH("Item Type", Data!$A$3:$O$3, FALSE)
),"")</f>
        <v>Ammo</v>
      </c>
      <c r="O8" s="102">
        <v>2.0</v>
      </c>
      <c r="P8" s="87">
        <f t="array" ref="P8">IF(O8="",,IFERROR(INDEX(Data!$A$4:$O1006, MATCH($L8, INDEX(Data!$A$4:$O1006, 0, MATCH("Item EN", Data!$A$3:$O$3, FALSE)), FALSE), MATCH("Price", Data!$A$3:$O$3, FALSE)
),"")*O8)</f>
        <v>2</v>
      </c>
      <c r="Q8" s="88" t="str">
        <f t="array" ref="Q8">IFERROR(INDEX(Data!$A$4:$O1006, MATCH($L8, INDEX(Data!$A$4:$O1006, 0, MATCH("Item EN", Data!$A$3:$O$3, FALSE)), FALSE), MATCH("Image URL", Data!$A$3:$O$3, FALSE)
),"")</f>
        <v>https://cdn.exe.in.th/marketing/WarzTH_LE/Item%20Dict/stanag_60.png</v>
      </c>
      <c r="R8" s="174"/>
    </row>
    <row r="9">
      <c r="A9" s="9"/>
      <c r="B9" s="106" t="s">
        <v>91</v>
      </c>
      <c r="C9" s="9"/>
      <c r="D9" s="9"/>
      <c r="E9" s="9"/>
      <c r="F9" s="9"/>
      <c r="G9" s="59"/>
      <c r="I9" s="9"/>
      <c r="J9" s="82" t="str">
        <f t="array" ref="J9">IFERROR(INDEX(Data!$A$4:$O1006, MATCH($L9, INDEX(Data!$A$4:$O1006, 0, MATCH("Item EN", Data!$A$3:$O$3, FALSE)), FALSE), MATCH("Image", Data!$A$3:$O$3, FALSE)
),"")</f>
        <v/>
      </c>
      <c r="K9" s="83">
        <f t="array" ref="K9">IFERROR(INDEX(Data!$A$4:$O1006, MATCH($L9, INDEX(Data!$A$4:$O1006, 0, MATCH("Item EN", Data!$A$3:$O$3, FALSE)), FALSE), MATCH("Item ID", Data!$A$3:$O$3, FALSE)
),"")</f>
        <v>20015</v>
      </c>
      <c r="L9" s="138" t="s">
        <v>126</v>
      </c>
      <c r="M9" s="103"/>
      <c r="N9" s="83" t="str">
        <f t="array" ref="N9">IFERROR(INDEX(Data!$A$4:$O1006, MATCH($L9, INDEX(Data!$A$4:$O1006, 0, MATCH("Item EN", Data!$A$3:$O$3, FALSE)), FALSE), MATCH("Item Type", Data!$A$3:$O$3, FALSE)
),"")</f>
        <v>Equipment</v>
      </c>
      <c r="O9" s="102">
        <v>1.0</v>
      </c>
      <c r="P9" s="87">
        <f t="array" ref="P9">IF(O9="",,IFERROR(INDEX(Data!$A$4:$O1006, MATCH($L9, INDEX(Data!$A$4:$O1006, 0, MATCH("Item EN", Data!$A$3:$O$3, FALSE)), FALSE), MATCH("Price", Data!$A$3:$O$3, FALSE)
),"")*O9)</f>
        <v>1.5</v>
      </c>
      <c r="Q9" s="88" t="str">
        <f t="array" ref="Q9">IFERROR(INDEX(Data!$A$4:$O1006, MATCH($L9, INDEX(Data!$A$4:$O1006, 0, MATCH("Item EN", Data!$A$3:$O$3, FALSE)), FALSE), MATCH("Image URL", Data!$A$3:$O$3, FALSE)
),"")</f>
        <v>https://cdn.exe.in.th/marketing/WarzTH_LE/Item%20Dict/custom_guerilla.png</v>
      </c>
      <c r="R9" s="174"/>
    </row>
    <row r="10">
      <c r="A10" s="9"/>
      <c r="B10" s="106" t="s">
        <v>1763</v>
      </c>
      <c r="C10" s="9"/>
      <c r="D10" s="9"/>
      <c r="E10" s="9"/>
      <c r="F10" s="9"/>
      <c r="G10" s="59"/>
      <c r="I10" s="9"/>
      <c r="J10" s="82" t="str">
        <f t="array" ref="J10">IFERROR(INDEX(Data!$A$4:$O1006, MATCH($L10, INDEX(Data!$A$4:$O1006, 0, MATCH("Item EN", Data!$A$3:$O$3, FALSE)), FALSE), MATCH("Image", Data!$A$3:$O$3, FALSE)
),"")</f>
        <v/>
      </c>
      <c r="K10" s="83">
        <f t="array" ref="K10">IFERROR(INDEX(Data!$A$4:$O1006, MATCH($L10, INDEX(Data!$A$4:$O1006, 0, MATCH("Item EN", Data!$A$3:$O$3, FALSE)), FALSE), MATCH("Item ID", Data!$A$3:$O$3, FALSE)
),"")</f>
        <v>20067</v>
      </c>
      <c r="L10" s="138" t="s">
        <v>123</v>
      </c>
      <c r="M10" s="103"/>
      <c r="N10" s="83" t="str">
        <f t="array" ref="N10">IFERROR(INDEX(Data!$A$4:$O1006, MATCH($L10, INDEX(Data!$A$4:$O1006, 0, MATCH("Item EN", Data!$A$3:$O$3, FALSE)), FALSE), MATCH("Item Type", Data!$A$3:$O$3, FALSE)
),"")</f>
        <v>Equipment</v>
      </c>
      <c r="O10" s="102">
        <v>1.0</v>
      </c>
      <c r="P10" s="87">
        <f t="array" ref="P10">IF(O10="",,IFERROR(INDEX(Data!$A$4:$O1006, MATCH($L10, INDEX(Data!$A$4:$O1006, 0, MATCH("Item EN", Data!$A$3:$O$3, FALSE)), FALSE), MATCH("Price", Data!$A$3:$O$3, FALSE)
),"")*O10)</f>
        <v>2</v>
      </c>
      <c r="Q10" s="88" t="str">
        <f t="array" ref="Q10">IFERROR(INDEX(Data!$A$4:$O1006, MATCH($L10, INDEX(Data!$A$4:$O1006, 0, MATCH("Item EN", Data!$A$3:$O$3, FALSE)), FALSE), MATCH("Image URL", Data!$A$3:$O$3, FALSE)
),"")</f>
        <v>https://cdn.exe.in.th/marketing/WarzTH_LE/Item%20Dict/nvg_goggles.png</v>
      </c>
      <c r="R10" s="174"/>
    </row>
    <row r="11">
      <c r="A11" s="73" t="s">
        <v>62</v>
      </c>
      <c r="B11" s="178" t="s">
        <v>1764</v>
      </c>
      <c r="C11" s="178"/>
      <c r="D11" s="73"/>
      <c r="E11" s="73"/>
      <c r="F11" s="73"/>
      <c r="G11" s="59"/>
      <c r="I11" s="9"/>
      <c r="J11" s="82" t="str">
        <f t="array" ref="J11">IFERROR(INDEX(Data!$A$4:$O1006, MATCH($L11, INDEX(Data!$A$4:$O1006, 0, MATCH("Item EN", Data!$A$3:$O$3, FALSE)), FALSE), MATCH("Image", Data!$A$3:$O$3, FALSE)
),"")</f>
        <v/>
      </c>
      <c r="K11" s="83">
        <f t="array" ref="K11">IFERROR(INDEX(Data!$A$4:$O1006, MATCH($L11, INDEX(Data!$A$4:$O1006, 0, MATCH("Item EN", Data!$A$3:$O$3, FALSE)), FALSE), MATCH("Item ID", Data!$A$3:$O$3, FALSE)
),"")</f>
        <v>20185</v>
      </c>
      <c r="L11" s="138" t="s">
        <v>129</v>
      </c>
      <c r="M11" s="103"/>
      <c r="N11" s="83" t="str">
        <f t="array" ref="N11">IFERROR(INDEX(Data!$A$4:$O1006, MATCH($L11, INDEX(Data!$A$4:$O1006, 0, MATCH("Item EN", Data!$A$3:$O$3, FALSE)), FALSE), MATCH("Item Type", Data!$A$3:$O$3, FALSE)
),"")</f>
        <v>Equipment</v>
      </c>
      <c r="O11" s="102">
        <v>1.0</v>
      </c>
      <c r="P11" s="87">
        <f t="array" ref="P11">IF(O11="",,IFERROR(INDEX(Data!$A$4:$O1006, MATCH($L11, INDEX(Data!$A$4:$O1006, 0, MATCH("Item EN", Data!$A$3:$O$3, FALSE)), FALSE), MATCH("Price", Data!$A$3:$O$3, FALSE)
),"")*O11)</f>
        <v>2.5</v>
      </c>
      <c r="Q11" s="88" t="str">
        <f t="array" ref="Q11">IFERROR(INDEX(Data!$A$4:$O1006, MATCH($L11, INDEX(Data!$A$4:$O1006, 0, MATCH("Item EN", Data!$A$3:$O$3, FALSE)), FALSE), MATCH("Image URL", Data!$A$3:$O$3, FALSE)
),"")</f>
        <v>https://cdn.exe.in.th/marketing/WarzTH_LE/Item%20Dict/alice_rucksack.png</v>
      </c>
    </row>
    <row r="12">
      <c r="A12" s="179">
        <v>1.0</v>
      </c>
      <c r="B12" s="40" t="s">
        <v>1765</v>
      </c>
      <c r="D12" s="9"/>
      <c r="E12" s="75"/>
      <c r="F12" s="75"/>
      <c r="G12" s="59"/>
      <c r="I12" s="9"/>
      <c r="J12" s="82" t="str">
        <f t="array" ref="J12">IFERROR(INDEX(Data!$A$4:$O1006, MATCH($L12, INDEX(Data!$A$4:$O1006, 0, MATCH("Item EN", Data!$A$3:$O$3, FALSE)), FALSE), MATCH("Image", Data!$A$3:$O$3, FALSE)
),"")</f>
        <v/>
      </c>
      <c r="K12" s="83">
        <f t="array" ref="K12">IFERROR(INDEX(Data!$A$4:$O1006, MATCH($L12, INDEX(Data!$A$4:$O1006, 0, MATCH("Item EN", Data!$A$3:$O$3, FALSE)), FALSE), MATCH("Item ID", Data!$A$3:$O$3, FALSE)
),"")</f>
        <v>101262</v>
      </c>
      <c r="L12" s="138" t="s">
        <v>530</v>
      </c>
      <c r="M12" s="103"/>
      <c r="N12" s="83" t="str">
        <f t="array" ref="N12">IFERROR(INDEX(Data!$A$4:$O1006, MATCH($L12, INDEX(Data!$A$4:$O1006, 0, MATCH("Item EN", Data!$A$3:$O$3, FALSE)), FALSE), MATCH("Item Type", Data!$A$3:$O$3, FALSE)
),"")</f>
        <v>Consumable</v>
      </c>
      <c r="O12" s="102">
        <v>3.0</v>
      </c>
      <c r="P12" s="87">
        <f t="array" ref="P12">IF(O12="",,IFERROR(INDEX(Data!$A$4:$O1006, MATCH($L12, INDEX(Data!$A$4:$O1006, 0, MATCH("Item EN", Data!$A$3:$O$3, FALSE)), FALSE), MATCH("Price", Data!$A$3:$O$3, FALSE)
),"")*O12)</f>
        <v>2.4</v>
      </c>
      <c r="Q12" s="88" t="str">
        <f t="array" ref="Q12">IFERROR(INDEX(Data!$A$4:$O1006, MATCH($L12, INDEX(Data!$A$4:$O1006, 0, MATCH("Item EN", Data!$A$3:$O$3, FALSE)), FALSE), MATCH("Image URL", Data!$A$3:$O$3, FALSE)
),"")</f>
        <v>https://cdn.exe.in.th/marketing/WarzTH_LE/Item%20Dict/bandages_dx.png</v>
      </c>
    </row>
    <row r="13">
      <c r="A13" s="179">
        <v>2.0</v>
      </c>
      <c r="B13" s="40" t="s">
        <v>1766</v>
      </c>
      <c r="D13" s="9"/>
      <c r="E13" s="9"/>
      <c r="F13" s="9"/>
      <c r="G13" s="59"/>
      <c r="I13" s="9"/>
      <c r="J13" s="82" t="str">
        <f t="array" ref="J13">IFERROR(INDEX(Data!$A$4:$O1006, MATCH($L13, INDEX(Data!$A$4:$O1006, 0, MATCH("Item EN", Data!$A$3:$O$3, FALSE)), FALSE), MATCH("Image", Data!$A$3:$O$3, FALSE)
),"")</f>
        <v/>
      </c>
      <c r="K13" s="83">
        <f t="array" ref="K13">IFERROR(INDEX(Data!$A$4:$O1006, MATCH($L13, INDEX(Data!$A$4:$O1006, 0, MATCH("Item EN", Data!$A$3:$O$3, FALSE)), FALSE), MATCH("Item ID", Data!$A$3:$O$3, FALSE)
),"")</f>
        <v>301255</v>
      </c>
      <c r="L13" s="138" t="s">
        <v>536</v>
      </c>
      <c r="M13" s="103"/>
      <c r="N13" s="83" t="str">
        <f t="array" ref="N13">IFERROR(INDEX(Data!$A$4:$O1006, MATCH($L13, INDEX(Data!$A$4:$O1006, 0, MATCH("Item EN", Data!$A$3:$O$3, FALSE)), FALSE), MATCH("Item Type", Data!$A$3:$O$3, FALSE)
),"")</f>
        <v>Consumable</v>
      </c>
      <c r="O13" s="102">
        <v>1.0</v>
      </c>
      <c r="P13" s="87">
        <f t="array" ref="P13">IF(O13="",,IFERROR(INDEX(Data!$A$4:$O1006, MATCH($L13, INDEX(Data!$A$4:$O1006, 0, MATCH("Item EN", Data!$A$3:$O$3, FALSE)), FALSE), MATCH("Price", Data!$A$3:$O$3, FALSE)
),"")*O13)</f>
        <v>20</v>
      </c>
      <c r="Q13" s="88" t="str">
        <f t="array" ref="Q13">IFERROR(INDEX(Data!$A$4:$O1006, MATCH($L13, INDEX(Data!$A$4:$O1006, 0, MATCH("Item EN", Data!$A$3:$O$3, FALSE)), FALSE), MATCH("Image URL", Data!$A$3:$O$3, FALSE)
),"")</f>
        <v>https://cdn.exe.in.th/marketing/WarzTH_LE/Item%20Dict/1Days.png</v>
      </c>
    </row>
    <row r="14">
      <c r="A14" s="179">
        <v>3.0</v>
      </c>
      <c r="B14" s="40" t="s">
        <v>1767</v>
      </c>
      <c r="C14" s="9"/>
      <c r="D14" s="9"/>
      <c r="E14" s="9"/>
      <c r="F14" s="9"/>
      <c r="G14" s="59"/>
      <c r="I14" s="9"/>
    </row>
    <row r="15">
      <c r="A15" s="179">
        <v>4.0</v>
      </c>
      <c r="B15" s="40" t="s">
        <v>1768</v>
      </c>
      <c r="C15" s="9"/>
      <c r="D15" s="9"/>
      <c r="E15" s="9"/>
      <c r="F15" s="9"/>
      <c r="G15" s="59"/>
    </row>
    <row r="16">
      <c r="A16" s="179">
        <v>5.0</v>
      </c>
      <c r="B16" s="40" t="s">
        <v>1769</v>
      </c>
      <c r="C16" s="9"/>
      <c r="D16" s="9"/>
      <c r="E16" s="9"/>
      <c r="F16" s="9"/>
      <c r="G16" s="59"/>
    </row>
    <row r="17">
      <c r="A17" s="179">
        <v>6.0</v>
      </c>
      <c r="B17" s="40" t="s">
        <v>1770</v>
      </c>
      <c r="C17" s="9"/>
      <c r="D17" s="9"/>
      <c r="E17" s="9"/>
      <c r="F17" s="9"/>
      <c r="G17" s="59"/>
      <c r="H17" s="9"/>
    </row>
    <row r="18">
      <c r="A18" s="179">
        <v>7.0</v>
      </c>
      <c r="B18" s="40" t="s">
        <v>1771</v>
      </c>
      <c r="C18" s="9"/>
      <c r="D18" s="9"/>
      <c r="E18" s="9"/>
      <c r="F18" s="9"/>
      <c r="G18" s="59"/>
      <c r="H18" s="9"/>
    </row>
    <row r="19">
      <c r="A19" s="179">
        <v>8.0</v>
      </c>
      <c r="B19" s="40" t="s">
        <v>1772</v>
      </c>
      <c r="C19" s="9"/>
      <c r="D19" s="9"/>
      <c r="E19" s="9"/>
      <c r="F19" s="9"/>
      <c r="G19" s="59"/>
      <c r="H19" s="9"/>
    </row>
    <row r="20">
      <c r="A20" s="179">
        <v>9.0</v>
      </c>
      <c r="B20" s="40" t="s">
        <v>1773</v>
      </c>
      <c r="C20" s="9"/>
      <c r="D20" s="9"/>
      <c r="E20" s="9"/>
      <c r="F20" s="9"/>
      <c r="G20" s="59"/>
      <c r="H20" s="9"/>
    </row>
    <row r="21">
      <c r="A21" s="179">
        <v>10.0</v>
      </c>
      <c r="B21" s="40" t="s">
        <v>1774</v>
      </c>
      <c r="C21" s="9"/>
      <c r="D21" s="9"/>
      <c r="E21" s="9"/>
      <c r="F21" s="9"/>
      <c r="G21" s="59"/>
      <c r="H21" s="9"/>
    </row>
    <row r="22">
      <c r="A22" s="179">
        <v>11.0</v>
      </c>
      <c r="B22" s="40" t="s">
        <v>1775</v>
      </c>
      <c r="C22" s="9"/>
      <c r="D22" s="9"/>
      <c r="E22" s="9"/>
      <c r="F22" s="9"/>
      <c r="G22" s="59"/>
      <c r="H22" s="9"/>
    </row>
    <row r="23">
      <c r="A23" s="179">
        <v>12.0</v>
      </c>
      <c r="B23" s="40" t="s">
        <v>1776</v>
      </c>
      <c r="C23" s="9"/>
      <c r="D23" s="9"/>
      <c r="E23" s="9"/>
      <c r="F23" s="9"/>
      <c r="G23" s="59"/>
      <c r="H23" s="9"/>
    </row>
    <row r="24">
      <c r="A24" s="179">
        <v>13.0</v>
      </c>
      <c r="B24" s="40" t="s">
        <v>1777</v>
      </c>
      <c r="C24" s="91"/>
      <c r="D24" s="9"/>
      <c r="E24" s="9"/>
      <c r="F24" s="9"/>
      <c r="G24" s="59"/>
      <c r="H24" s="9"/>
    </row>
    <row r="25">
      <c r="A25" s="179">
        <v>14.0</v>
      </c>
      <c r="B25" s="40" t="s">
        <v>1778</v>
      </c>
      <c r="C25" s="9"/>
      <c r="D25" s="9"/>
      <c r="E25" s="9"/>
      <c r="F25" s="9"/>
      <c r="G25" s="59"/>
      <c r="H25" s="9"/>
    </row>
    <row r="26">
      <c r="A26" s="179">
        <v>15.0</v>
      </c>
      <c r="B26" s="40" t="s">
        <v>1779</v>
      </c>
      <c r="C26" s="9"/>
      <c r="D26" s="9"/>
      <c r="E26" s="9"/>
      <c r="F26" s="9"/>
      <c r="G26" s="59"/>
      <c r="H26" s="9"/>
    </row>
    <row r="27">
      <c r="A27" s="179">
        <v>16.0</v>
      </c>
      <c r="B27" s="40" t="s">
        <v>1780</v>
      </c>
      <c r="C27" s="9"/>
      <c r="D27" s="9"/>
      <c r="E27" s="9"/>
      <c r="F27" s="9"/>
      <c r="G27" s="59"/>
      <c r="H27" s="9"/>
    </row>
    <row r="28">
      <c r="A28" s="179">
        <v>17.0</v>
      </c>
      <c r="B28" s="40" t="s">
        <v>1781</v>
      </c>
      <c r="C28" s="9"/>
      <c r="D28" s="9"/>
      <c r="E28" s="9"/>
      <c r="F28" s="9"/>
      <c r="G28" s="59"/>
      <c r="H28" s="9"/>
    </row>
    <row r="29">
      <c r="A29" s="179">
        <v>18.0</v>
      </c>
      <c r="B29" s="40" t="s">
        <v>1782</v>
      </c>
      <c r="C29" s="9"/>
      <c r="D29" s="9"/>
      <c r="E29" s="9"/>
      <c r="F29" s="9"/>
      <c r="G29" s="59"/>
      <c r="H29" s="9"/>
    </row>
    <row r="30">
      <c r="A30" s="179">
        <v>19.0</v>
      </c>
      <c r="B30" s="40" t="s">
        <v>1783</v>
      </c>
      <c r="C30" s="9"/>
      <c r="D30" s="9"/>
      <c r="E30" s="9"/>
      <c r="F30" s="9"/>
      <c r="G30" s="59"/>
      <c r="H30" s="9"/>
    </row>
    <row r="31">
      <c r="A31" s="179">
        <v>20.0</v>
      </c>
      <c r="B31" s="40" t="s">
        <v>1784</v>
      </c>
      <c r="C31" s="9"/>
      <c r="D31" s="9"/>
      <c r="E31" s="9"/>
      <c r="F31" s="9"/>
      <c r="G31" s="59"/>
      <c r="H31" s="9"/>
    </row>
    <row r="32">
      <c r="A32" s="179">
        <v>21.0</v>
      </c>
      <c r="B32" s="40" t="s">
        <v>1785</v>
      </c>
      <c r="C32" s="9"/>
      <c r="D32" s="9"/>
      <c r="E32" s="9"/>
      <c r="F32" s="9"/>
      <c r="G32" s="59"/>
      <c r="H32" s="9"/>
    </row>
    <row r="33">
      <c r="A33" s="179">
        <v>22.0</v>
      </c>
      <c r="B33" s="40" t="s">
        <v>1786</v>
      </c>
      <c r="C33" s="9"/>
      <c r="D33" s="9"/>
      <c r="E33" s="9"/>
      <c r="F33" s="9"/>
      <c r="G33" s="59"/>
      <c r="H33" s="9"/>
    </row>
    <row r="34">
      <c r="A34" s="179">
        <v>23.0</v>
      </c>
      <c r="B34" s="40" t="s">
        <v>1787</v>
      </c>
      <c r="C34" s="9"/>
      <c r="D34" s="9"/>
      <c r="E34" s="9"/>
      <c r="F34" s="9"/>
      <c r="G34" s="59"/>
      <c r="H34" s="9"/>
    </row>
    <row r="35">
      <c r="A35" s="179">
        <v>24.0</v>
      </c>
      <c r="B35" s="40" t="s">
        <v>1788</v>
      </c>
      <c r="C35" s="9"/>
      <c r="D35" s="9"/>
      <c r="E35" s="9"/>
      <c r="F35" s="9"/>
      <c r="G35" s="59"/>
      <c r="H35" s="9"/>
    </row>
    <row r="36">
      <c r="A36" s="179">
        <v>25.0</v>
      </c>
      <c r="B36" s="40" t="s">
        <v>1789</v>
      </c>
      <c r="C36" s="9"/>
      <c r="D36" s="9"/>
      <c r="E36" s="9"/>
      <c r="F36" s="9"/>
      <c r="G36" s="59"/>
      <c r="H36" s="9"/>
    </row>
    <row r="37">
      <c r="A37" s="179">
        <v>26.0</v>
      </c>
      <c r="B37" s="40" t="s">
        <v>1790</v>
      </c>
      <c r="C37" s="9"/>
      <c r="D37" s="9"/>
      <c r="E37" s="9"/>
      <c r="F37" s="9"/>
      <c r="G37" s="59"/>
      <c r="H37" s="9"/>
    </row>
    <row r="38">
      <c r="A38" s="179">
        <v>27.0</v>
      </c>
      <c r="B38" s="40" t="s">
        <v>1791</v>
      </c>
      <c r="C38" s="9"/>
      <c r="D38" s="9"/>
      <c r="E38" s="9"/>
      <c r="F38" s="9"/>
      <c r="G38" s="59"/>
      <c r="H38" s="9"/>
    </row>
    <row r="39">
      <c r="A39" s="179">
        <v>28.0</v>
      </c>
      <c r="B39" s="40" t="s">
        <v>1792</v>
      </c>
      <c r="C39" s="9"/>
      <c r="D39" s="9"/>
      <c r="E39" s="9"/>
      <c r="F39" s="9"/>
      <c r="G39" s="59"/>
      <c r="H39" s="9"/>
    </row>
    <row r="40">
      <c r="A40" s="179">
        <v>29.0</v>
      </c>
      <c r="B40" s="40" t="s">
        <v>1793</v>
      </c>
      <c r="C40" s="9"/>
      <c r="D40" s="9"/>
      <c r="E40" s="9"/>
      <c r="F40" s="9"/>
      <c r="G40" s="59"/>
      <c r="H40" s="9"/>
    </row>
    <row r="41">
      <c r="A41" s="180">
        <v>30.0</v>
      </c>
      <c r="B41" s="181" t="s">
        <v>1794</v>
      </c>
      <c r="C41" s="182"/>
      <c r="D41" s="182"/>
      <c r="E41" s="182"/>
      <c r="F41" s="182"/>
      <c r="G41" s="59"/>
      <c r="H41" s="9"/>
    </row>
    <row r="42">
      <c r="A42" s="183">
        <v>31.0</v>
      </c>
      <c r="B42" s="40" t="s">
        <v>1795</v>
      </c>
      <c r="C42" s="9"/>
      <c r="D42" s="9"/>
      <c r="E42" s="9"/>
      <c r="F42" s="9"/>
      <c r="G42" s="59"/>
      <c r="H42" s="9"/>
    </row>
    <row r="43">
      <c r="A43" s="183">
        <v>32.0</v>
      </c>
      <c r="B43" s="40" t="s">
        <v>1796</v>
      </c>
      <c r="C43" s="9"/>
      <c r="D43" s="9"/>
      <c r="E43" s="9"/>
      <c r="F43" s="9"/>
      <c r="G43" s="59"/>
      <c r="H43" s="9"/>
    </row>
    <row r="44">
      <c r="A44" s="183">
        <v>33.0</v>
      </c>
      <c r="B44" s="40" t="s">
        <v>1797</v>
      </c>
      <c r="C44" s="9"/>
      <c r="D44" s="9"/>
      <c r="E44" s="9"/>
      <c r="F44" s="9"/>
      <c r="G44" s="59"/>
      <c r="H44" s="9"/>
    </row>
    <row r="45">
      <c r="A45" s="183">
        <v>34.0</v>
      </c>
      <c r="B45" s="40" t="s">
        <v>1798</v>
      </c>
      <c r="C45" s="9"/>
      <c r="D45" s="9"/>
      <c r="E45" s="9"/>
      <c r="F45" s="9"/>
      <c r="G45" s="59"/>
      <c r="H45" s="9"/>
    </row>
    <row r="46">
      <c r="A46" s="183">
        <v>35.0</v>
      </c>
      <c r="B46" s="40" t="s">
        <v>1799</v>
      </c>
      <c r="C46" s="9"/>
      <c r="D46" s="9"/>
      <c r="E46" s="9"/>
      <c r="F46" s="9"/>
      <c r="G46" s="59"/>
      <c r="H46" s="9"/>
    </row>
    <row r="47">
      <c r="A47" s="183">
        <v>36.0</v>
      </c>
      <c r="B47" s="40" t="s">
        <v>1800</v>
      </c>
      <c r="C47" s="9"/>
      <c r="D47" s="9"/>
      <c r="E47" s="9"/>
      <c r="F47" s="9"/>
      <c r="G47" s="59"/>
      <c r="H47" s="9"/>
    </row>
    <row r="48">
      <c r="A48" s="183">
        <v>37.0</v>
      </c>
      <c r="B48" s="40" t="s">
        <v>1801</v>
      </c>
      <c r="C48" s="9"/>
      <c r="D48" s="9"/>
      <c r="E48" s="9"/>
      <c r="F48" s="9"/>
      <c r="G48" s="59"/>
      <c r="H48" s="9"/>
    </row>
    <row r="49">
      <c r="A49" s="183">
        <v>38.0</v>
      </c>
      <c r="B49" s="40" t="s">
        <v>1802</v>
      </c>
      <c r="C49" s="9"/>
      <c r="D49" s="9"/>
      <c r="E49" s="9"/>
      <c r="F49" s="9"/>
      <c r="G49" s="59"/>
      <c r="H49" s="9"/>
    </row>
    <row r="50">
      <c r="A50" s="183">
        <v>39.0</v>
      </c>
      <c r="B50" s="40" t="s">
        <v>1803</v>
      </c>
      <c r="C50" s="9"/>
      <c r="D50" s="9"/>
      <c r="E50" s="9"/>
      <c r="F50" s="9"/>
      <c r="G50" s="59"/>
      <c r="H50" s="9"/>
    </row>
    <row r="51">
      <c r="A51" s="183">
        <v>40.0</v>
      </c>
      <c r="B51" s="40" t="s">
        <v>1804</v>
      </c>
      <c r="C51" s="9"/>
      <c r="D51" s="9"/>
      <c r="E51" s="9"/>
      <c r="F51" s="9"/>
      <c r="G51" s="59"/>
      <c r="H51" s="9"/>
    </row>
    <row r="52">
      <c r="A52" s="183">
        <v>41.0</v>
      </c>
      <c r="B52" s="40" t="s">
        <v>1805</v>
      </c>
      <c r="C52" s="9"/>
      <c r="D52" s="9"/>
      <c r="E52" s="9"/>
      <c r="F52" s="9"/>
      <c r="G52" s="59"/>
      <c r="H52" s="9"/>
    </row>
    <row r="53">
      <c r="A53" s="183">
        <v>42.0</v>
      </c>
      <c r="B53" s="40" t="s">
        <v>1806</v>
      </c>
      <c r="C53" s="9"/>
      <c r="D53" s="9"/>
      <c r="E53" s="9"/>
      <c r="F53" s="9"/>
      <c r="G53" s="59"/>
      <c r="H53" s="9"/>
    </row>
    <row r="54">
      <c r="A54" s="183">
        <v>43.0</v>
      </c>
      <c r="B54" s="40" t="s">
        <v>1807</v>
      </c>
      <c r="C54" s="9"/>
      <c r="D54" s="9"/>
      <c r="E54" s="9"/>
      <c r="F54" s="9"/>
      <c r="G54" s="59"/>
      <c r="H54" s="9"/>
    </row>
    <row r="55">
      <c r="A55" s="183">
        <v>44.0</v>
      </c>
      <c r="B55" s="40" t="s">
        <v>1808</v>
      </c>
      <c r="C55" s="9"/>
      <c r="D55" s="9"/>
      <c r="E55" s="9"/>
      <c r="F55" s="9"/>
      <c r="G55" s="59"/>
      <c r="H55" s="9"/>
    </row>
    <row r="56">
      <c r="A56" s="183">
        <v>45.0</v>
      </c>
      <c r="B56" s="40" t="s">
        <v>1809</v>
      </c>
      <c r="C56" s="9"/>
      <c r="D56" s="9"/>
      <c r="E56" s="9"/>
      <c r="F56" s="9"/>
      <c r="G56" s="59"/>
      <c r="H56" s="9"/>
    </row>
    <row r="57">
      <c r="A57" s="183">
        <v>46.0</v>
      </c>
      <c r="B57" s="40" t="s">
        <v>1810</v>
      </c>
      <c r="C57" s="9"/>
      <c r="D57" s="9"/>
      <c r="E57" s="9"/>
      <c r="F57" s="9"/>
      <c r="G57" s="59"/>
      <c r="H57" s="9"/>
    </row>
    <row r="58">
      <c r="A58" s="183">
        <v>47.0</v>
      </c>
      <c r="B58" s="40" t="s">
        <v>1811</v>
      </c>
      <c r="C58" s="9"/>
      <c r="D58" s="9"/>
      <c r="E58" s="9"/>
      <c r="F58" s="9"/>
      <c r="G58" s="59"/>
      <c r="H58" s="9"/>
    </row>
    <row r="59">
      <c r="A59" s="183">
        <v>48.0</v>
      </c>
      <c r="B59" s="40" t="s">
        <v>1812</v>
      </c>
      <c r="C59" s="9"/>
      <c r="D59" s="9"/>
      <c r="E59" s="9"/>
      <c r="F59" s="9"/>
      <c r="G59" s="59"/>
      <c r="H59" s="9"/>
    </row>
    <row r="60">
      <c r="A60" s="183">
        <v>49.0</v>
      </c>
      <c r="B60" s="40" t="s">
        <v>1813</v>
      </c>
      <c r="C60" s="9"/>
      <c r="D60" s="9"/>
      <c r="E60" s="9"/>
      <c r="F60" s="9"/>
      <c r="G60" s="59"/>
      <c r="H60" s="9"/>
    </row>
    <row r="61">
      <c r="A61" s="183">
        <v>50.0</v>
      </c>
      <c r="B61" s="40" t="s">
        <v>1814</v>
      </c>
      <c r="C61" s="9"/>
      <c r="D61" s="9"/>
      <c r="E61" s="9"/>
      <c r="F61" s="9"/>
      <c r="G61" s="59"/>
      <c r="H61" s="9"/>
    </row>
    <row r="62">
      <c r="A62" s="183">
        <v>51.0</v>
      </c>
      <c r="B62" s="40" t="s">
        <v>1815</v>
      </c>
      <c r="C62" s="9"/>
      <c r="D62" s="9"/>
      <c r="E62" s="9"/>
      <c r="F62" s="9"/>
      <c r="G62" s="59"/>
      <c r="H62" s="9"/>
    </row>
    <row r="63">
      <c r="A63" s="183">
        <v>52.0</v>
      </c>
      <c r="B63" s="40" t="s">
        <v>1816</v>
      </c>
      <c r="C63" s="9"/>
      <c r="D63" s="9"/>
      <c r="E63" s="9"/>
      <c r="F63" s="9"/>
      <c r="G63" s="59"/>
      <c r="H63" s="9"/>
    </row>
    <row r="64">
      <c r="A64" s="183">
        <v>53.0</v>
      </c>
      <c r="B64" s="40" t="s">
        <v>1817</v>
      </c>
      <c r="C64" s="9"/>
      <c r="D64" s="9"/>
      <c r="E64" s="9"/>
      <c r="F64" s="9"/>
      <c r="G64" s="59"/>
      <c r="H64" s="9"/>
    </row>
    <row r="65">
      <c r="A65" s="183">
        <v>54.0</v>
      </c>
      <c r="B65" s="40" t="s">
        <v>1818</v>
      </c>
      <c r="C65" s="9"/>
      <c r="D65" s="9"/>
      <c r="E65" s="9"/>
      <c r="F65" s="9"/>
      <c r="G65" s="59"/>
      <c r="H65" s="9"/>
    </row>
    <row r="66">
      <c r="A66" s="183">
        <v>55.0</v>
      </c>
      <c r="B66" s="40" t="s">
        <v>1819</v>
      </c>
      <c r="C66" s="9"/>
      <c r="D66" s="9"/>
      <c r="E66" s="9"/>
      <c r="F66" s="9"/>
      <c r="G66" s="59"/>
      <c r="H66" s="9"/>
    </row>
    <row r="67">
      <c r="A67" s="183">
        <v>56.0</v>
      </c>
      <c r="B67" s="40" t="s">
        <v>1820</v>
      </c>
      <c r="C67" s="9"/>
      <c r="D67" s="9"/>
      <c r="E67" s="9"/>
      <c r="F67" s="9"/>
      <c r="G67" s="59"/>
      <c r="H67" s="9"/>
    </row>
    <row r="68">
      <c r="A68" s="183">
        <v>57.0</v>
      </c>
      <c r="B68" s="40" t="s">
        <v>1821</v>
      </c>
      <c r="C68" s="9"/>
      <c r="D68" s="9"/>
      <c r="E68" s="9"/>
      <c r="F68" s="9"/>
      <c r="G68" s="59"/>
      <c r="H68" s="9"/>
    </row>
    <row r="69">
      <c r="A69" s="183">
        <v>58.0</v>
      </c>
      <c r="B69" s="40" t="s">
        <v>1822</v>
      </c>
      <c r="C69" s="9"/>
      <c r="D69" s="9"/>
      <c r="E69" s="9"/>
      <c r="F69" s="9"/>
      <c r="G69" s="59"/>
      <c r="H69" s="9"/>
    </row>
    <row r="70">
      <c r="A70" s="183">
        <v>59.0</v>
      </c>
      <c r="B70" s="40" t="s">
        <v>1823</v>
      </c>
      <c r="C70" s="9"/>
      <c r="D70" s="9"/>
      <c r="E70" s="9"/>
      <c r="F70" s="9"/>
      <c r="G70" s="59"/>
      <c r="H70" s="9"/>
    </row>
    <row r="71">
      <c r="A71" s="184">
        <v>60.0</v>
      </c>
      <c r="B71" s="181" t="s">
        <v>1824</v>
      </c>
      <c r="C71" s="182"/>
      <c r="D71" s="182"/>
      <c r="E71" s="182"/>
      <c r="F71" s="182"/>
      <c r="G71" s="59"/>
      <c r="H71" s="9"/>
    </row>
    <row r="72">
      <c r="A72" s="185">
        <v>61.0</v>
      </c>
      <c r="B72" s="40" t="s">
        <v>1825</v>
      </c>
      <c r="C72" s="9"/>
      <c r="D72" s="9"/>
      <c r="E72" s="9"/>
      <c r="F72" s="9"/>
      <c r="G72" s="59"/>
      <c r="H72" s="9"/>
    </row>
    <row r="73">
      <c r="A73" s="185">
        <v>62.0</v>
      </c>
      <c r="B73" s="40" t="s">
        <v>1826</v>
      </c>
      <c r="C73" s="9"/>
      <c r="D73" s="9"/>
      <c r="E73" s="9"/>
      <c r="F73" s="9"/>
      <c r="G73" s="59"/>
      <c r="H73" s="9"/>
    </row>
    <row r="74">
      <c r="A74" s="185">
        <v>63.0</v>
      </c>
      <c r="B74" s="40" t="s">
        <v>1827</v>
      </c>
      <c r="C74" s="9"/>
      <c r="D74" s="9"/>
      <c r="E74" s="9"/>
      <c r="F74" s="9"/>
      <c r="G74" s="59"/>
      <c r="H74" s="9"/>
    </row>
    <row r="75">
      <c r="A75" s="185">
        <v>64.0</v>
      </c>
      <c r="B75" s="40" t="s">
        <v>1828</v>
      </c>
      <c r="C75" s="9"/>
      <c r="D75" s="9"/>
      <c r="E75" s="9"/>
      <c r="F75" s="9"/>
      <c r="G75" s="59"/>
      <c r="H75" s="9"/>
    </row>
    <row r="76">
      <c r="A76" s="185">
        <v>65.0</v>
      </c>
      <c r="B76" s="40" t="s">
        <v>1829</v>
      </c>
      <c r="C76" s="9"/>
      <c r="D76" s="9"/>
      <c r="E76" s="9"/>
      <c r="F76" s="9"/>
      <c r="G76" s="59"/>
      <c r="H76" s="9"/>
    </row>
    <row r="77">
      <c r="A77" s="185">
        <v>66.0</v>
      </c>
      <c r="B77" s="40" t="s">
        <v>1830</v>
      </c>
      <c r="C77" s="9"/>
      <c r="D77" s="9"/>
      <c r="E77" s="9"/>
      <c r="F77" s="9"/>
      <c r="G77" s="59"/>
      <c r="H77" s="9"/>
    </row>
    <row r="78">
      <c r="A78" s="185">
        <v>67.0</v>
      </c>
      <c r="B78" s="40" t="s">
        <v>1831</v>
      </c>
      <c r="C78" s="9"/>
      <c r="D78" s="9"/>
      <c r="E78" s="9"/>
      <c r="F78" s="9"/>
      <c r="G78" s="59"/>
      <c r="H78" s="9"/>
    </row>
    <row r="79">
      <c r="A79" s="185">
        <v>68.0</v>
      </c>
      <c r="B79" s="40" t="s">
        <v>1832</v>
      </c>
      <c r="C79" s="9"/>
      <c r="D79" s="9"/>
      <c r="E79" s="9"/>
      <c r="F79" s="9"/>
      <c r="G79" s="59"/>
      <c r="H79" s="9"/>
    </row>
    <row r="80">
      <c r="A80" s="185">
        <v>69.0</v>
      </c>
      <c r="B80" s="40" t="s">
        <v>1833</v>
      </c>
      <c r="C80" s="9"/>
      <c r="D80" s="9"/>
      <c r="E80" s="9"/>
      <c r="F80" s="9"/>
      <c r="G80" s="59"/>
      <c r="H80" s="9"/>
    </row>
    <row r="81">
      <c r="A81" s="185">
        <v>70.0</v>
      </c>
      <c r="B81" s="40" t="s">
        <v>1834</v>
      </c>
      <c r="C81" s="9"/>
      <c r="D81" s="9"/>
      <c r="E81" s="9"/>
      <c r="F81" s="9"/>
      <c r="G81" s="59"/>
      <c r="H81" s="9"/>
    </row>
    <row r="82">
      <c r="A82" s="185">
        <v>71.0</v>
      </c>
      <c r="B82" s="40" t="s">
        <v>1835</v>
      </c>
      <c r="C82" s="9"/>
      <c r="D82" s="9"/>
      <c r="E82" s="9"/>
      <c r="F82" s="9"/>
      <c r="G82" s="59"/>
      <c r="H82" s="9"/>
    </row>
    <row r="83">
      <c r="A83" s="185">
        <v>72.0</v>
      </c>
      <c r="B83" s="40" t="s">
        <v>1836</v>
      </c>
      <c r="C83" s="9"/>
      <c r="D83" s="9"/>
      <c r="E83" s="9"/>
      <c r="F83" s="9"/>
      <c r="G83" s="59"/>
      <c r="H83" s="9"/>
    </row>
    <row r="84">
      <c r="A84" s="185">
        <v>73.0</v>
      </c>
      <c r="B84" s="40" t="s">
        <v>1837</v>
      </c>
      <c r="C84" s="9"/>
      <c r="D84" s="9"/>
      <c r="E84" s="9"/>
      <c r="F84" s="9"/>
      <c r="G84" s="59"/>
      <c r="H84" s="9"/>
    </row>
    <row r="85">
      <c r="A85" s="185">
        <v>74.0</v>
      </c>
      <c r="B85" s="40" t="s">
        <v>1838</v>
      </c>
      <c r="C85" s="9"/>
      <c r="D85" s="9"/>
      <c r="E85" s="9"/>
      <c r="F85" s="9"/>
      <c r="G85" s="59"/>
      <c r="H85" s="9"/>
    </row>
    <row r="86">
      <c r="A86" s="185">
        <v>75.0</v>
      </c>
      <c r="B86" s="40" t="s">
        <v>1839</v>
      </c>
      <c r="C86" s="9"/>
      <c r="D86" s="9"/>
      <c r="E86" s="9"/>
      <c r="F86" s="9"/>
      <c r="G86" s="59"/>
      <c r="H86" s="9"/>
    </row>
    <row r="87">
      <c r="A87" s="185">
        <v>76.0</v>
      </c>
      <c r="B87" s="40" t="s">
        <v>1840</v>
      </c>
      <c r="C87" s="9"/>
      <c r="D87" s="9"/>
      <c r="E87" s="9"/>
      <c r="F87" s="9"/>
      <c r="G87" s="59"/>
      <c r="H87" s="9"/>
    </row>
    <row r="88">
      <c r="A88" s="185">
        <v>77.0</v>
      </c>
      <c r="B88" s="40" t="s">
        <v>1841</v>
      </c>
      <c r="C88" s="9"/>
      <c r="D88" s="9"/>
      <c r="E88" s="9"/>
      <c r="F88" s="9"/>
      <c r="G88" s="59"/>
      <c r="H88" s="9"/>
    </row>
    <row r="89">
      <c r="A89" s="185">
        <v>78.0</v>
      </c>
      <c r="B89" s="40" t="s">
        <v>1842</v>
      </c>
      <c r="C89" s="9"/>
      <c r="D89" s="9"/>
      <c r="E89" s="9"/>
      <c r="F89" s="9"/>
      <c r="G89" s="59"/>
      <c r="H89" s="9"/>
    </row>
    <row r="90">
      <c r="A90" s="185">
        <v>79.0</v>
      </c>
      <c r="B90" s="40" t="s">
        <v>1843</v>
      </c>
      <c r="C90" s="9"/>
      <c r="D90" s="9"/>
      <c r="E90" s="9"/>
      <c r="F90" s="9"/>
      <c r="G90" s="59"/>
      <c r="H90" s="9"/>
    </row>
    <row r="91">
      <c r="A91" s="185">
        <v>80.0</v>
      </c>
      <c r="B91" s="40" t="s">
        <v>1844</v>
      </c>
      <c r="C91" s="9"/>
      <c r="D91" s="9"/>
      <c r="E91" s="9"/>
      <c r="F91" s="9"/>
      <c r="G91" s="59"/>
      <c r="H91" s="9"/>
    </row>
    <row r="92">
      <c r="A92" s="185">
        <v>81.0</v>
      </c>
      <c r="B92" s="40" t="s">
        <v>1845</v>
      </c>
      <c r="C92" s="9"/>
      <c r="D92" s="9"/>
      <c r="E92" s="9"/>
      <c r="F92" s="9"/>
      <c r="G92" s="59"/>
      <c r="H92" s="9"/>
    </row>
    <row r="93">
      <c r="A93" s="185">
        <v>82.0</v>
      </c>
      <c r="B93" s="40" t="s">
        <v>1846</v>
      </c>
      <c r="C93" s="9"/>
      <c r="D93" s="9"/>
      <c r="E93" s="9"/>
      <c r="F93" s="9"/>
      <c r="G93" s="59"/>
      <c r="H93" s="9"/>
    </row>
    <row r="94">
      <c r="A94" s="185">
        <v>83.0</v>
      </c>
      <c r="B94" s="40" t="s">
        <v>1847</v>
      </c>
      <c r="C94" s="9"/>
      <c r="D94" s="9"/>
      <c r="E94" s="9"/>
      <c r="F94" s="9"/>
      <c r="G94" s="59"/>
      <c r="H94" s="9"/>
    </row>
    <row r="95">
      <c r="A95" s="185">
        <v>84.0</v>
      </c>
      <c r="B95" s="40" t="s">
        <v>1848</v>
      </c>
      <c r="C95" s="9"/>
      <c r="D95" s="9"/>
      <c r="E95" s="9"/>
      <c r="F95" s="9"/>
      <c r="G95" s="59"/>
      <c r="H95" s="9"/>
    </row>
    <row r="96">
      <c r="A96" s="185">
        <v>85.0</v>
      </c>
      <c r="B96" s="40" t="s">
        <v>1849</v>
      </c>
      <c r="C96" s="9"/>
      <c r="D96" s="9"/>
      <c r="E96" s="9"/>
      <c r="F96" s="9"/>
      <c r="G96" s="59"/>
      <c r="H96" s="9"/>
    </row>
    <row r="97">
      <c r="A97" s="185">
        <v>86.0</v>
      </c>
      <c r="B97" s="40" t="s">
        <v>1850</v>
      </c>
      <c r="C97" s="9"/>
      <c r="D97" s="9"/>
      <c r="E97" s="9"/>
      <c r="F97" s="9"/>
      <c r="G97" s="59"/>
      <c r="H97" s="9"/>
    </row>
    <row r="98">
      <c r="A98" s="185">
        <v>87.0</v>
      </c>
      <c r="B98" s="40" t="s">
        <v>1851</v>
      </c>
      <c r="C98" s="9"/>
      <c r="D98" s="9"/>
      <c r="E98" s="9"/>
      <c r="F98" s="9"/>
      <c r="G98" s="59"/>
      <c r="H98" s="9"/>
    </row>
    <row r="99">
      <c r="A99" s="185">
        <v>88.0</v>
      </c>
      <c r="B99" s="40" t="s">
        <v>1852</v>
      </c>
      <c r="C99" s="9"/>
      <c r="D99" s="9"/>
      <c r="E99" s="9"/>
      <c r="F99" s="9"/>
      <c r="G99" s="59"/>
      <c r="H99" s="9"/>
    </row>
    <row r="100">
      <c r="A100" s="185">
        <v>89.0</v>
      </c>
      <c r="B100" s="40" t="s">
        <v>1853</v>
      </c>
      <c r="C100" s="9"/>
      <c r="D100" s="9"/>
      <c r="E100" s="9"/>
      <c r="F100" s="9"/>
      <c r="G100" s="59"/>
      <c r="H100" s="9"/>
    </row>
    <row r="101">
      <c r="A101" s="186">
        <v>90.0</v>
      </c>
      <c r="B101" s="181" t="s">
        <v>1854</v>
      </c>
      <c r="C101" s="182"/>
      <c r="D101" s="182"/>
      <c r="E101" s="182"/>
      <c r="F101" s="182"/>
      <c r="G101" s="59"/>
      <c r="H101" s="9"/>
    </row>
    <row r="102">
      <c r="A102" s="187">
        <v>91.0</v>
      </c>
      <c r="B102" s="40" t="s">
        <v>1855</v>
      </c>
      <c r="C102" s="9"/>
      <c r="D102" s="9"/>
      <c r="E102" s="9"/>
      <c r="F102" s="9"/>
      <c r="G102" s="59"/>
      <c r="H102" s="9"/>
    </row>
    <row r="103">
      <c r="A103" s="187">
        <v>92.0</v>
      </c>
      <c r="B103" s="40" t="s">
        <v>1856</v>
      </c>
      <c r="C103" s="9"/>
      <c r="D103" s="9"/>
      <c r="E103" s="9"/>
      <c r="F103" s="9"/>
      <c r="G103" s="59"/>
      <c r="H103" s="9"/>
    </row>
    <row r="104">
      <c r="A104" s="187">
        <v>93.0</v>
      </c>
      <c r="B104" s="40" t="s">
        <v>1857</v>
      </c>
      <c r="C104" s="9"/>
      <c r="D104" s="9"/>
      <c r="E104" s="9"/>
      <c r="F104" s="9"/>
      <c r="G104" s="59"/>
      <c r="H104" s="9"/>
    </row>
    <row r="105">
      <c r="A105" s="187">
        <v>94.0</v>
      </c>
      <c r="B105" s="40" t="s">
        <v>1858</v>
      </c>
      <c r="C105" s="9"/>
      <c r="D105" s="9"/>
      <c r="E105" s="9"/>
      <c r="F105" s="9"/>
      <c r="G105" s="59"/>
      <c r="H105" s="9"/>
    </row>
    <row r="106">
      <c r="A106" s="187">
        <v>95.0</v>
      </c>
      <c r="B106" s="40" t="s">
        <v>1859</v>
      </c>
      <c r="C106" s="9"/>
      <c r="D106" s="9"/>
      <c r="E106" s="9"/>
      <c r="F106" s="9"/>
      <c r="G106" s="59"/>
      <c r="H106" s="9"/>
    </row>
    <row r="107">
      <c r="A107" s="187">
        <v>96.0</v>
      </c>
      <c r="B107" s="40" t="s">
        <v>1860</v>
      </c>
      <c r="C107" s="9"/>
      <c r="D107" s="9"/>
      <c r="E107" s="9"/>
      <c r="F107" s="9"/>
      <c r="G107" s="59"/>
      <c r="H107" s="9"/>
    </row>
    <row r="108">
      <c r="A108" s="187">
        <v>97.0</v>
      </c>
      <c r="B108" s="40" t="s">
        <v>1861</v>
      </c>
      <c r="C108" s="9"/>
      <c r="D108" s="9"/>
      <c r="E108" s="9"/>
      <c r="F108" s="9"/>
      <c r="G108" s="59"/>
      <c r="H108" s="9"/>
    </row>
    <row r="109">
      <c r="A109" s="187">
        <v>98.0</v>
      </c>
      <c r="B109" s="40" t="s">
        <v>1862</v>
      </c>
      <c r="C109" s="9"/>
      <c r="D109" s="9"/>
      <c r="E109" s="9"/>
      <c r="F109" s="9"/>
      <c r="G109" s="59"/>
      <c r="H109" s="9"/>
    </row>
    <row r="110">
      <c r="A110" s="187">
        <v>99.0</v>
      </c>
      <c r="B110" s="40" t="s">
        <v>1863</v>
      </c>
      <c r="C110" s="9"/>
      <c r="D110" s="9"/>
      <c r="E110" s="9"/>
      <c r="F110" s="9"/>
      <c r="G110" s="59"/>
      <c r="H110" s="9"/>
    </row>
    <row r="111">
      <c r="A111" s="187">
        <v>100.0</v>
      </c>
      <c r="B111" s="40" t="s">
        <v>1864</v>
      </c>
      <c r="C111" s="9"/>
      <c r="D111" s="9"/>
      <c r="E111" s="9"/>
      <c r="F111" s="9"/>
      <c r="G111" s="59"/>
      <c r="H111" s="9"/>
    </row>
    <row r="112">
      <c r="A112" s="188" t="s">
        <v>1865</v>
      </c>
      <c r="B112" s="189" t="s">
        <v>1866</v>
      </c>
      <c r="C112" s="190"/>
      <c r="D112" s="9"/>
      <c r="E112" s="9"/>
      <c r="F112" s="9"/>
      <c r="G112" s="59"/>
      <c r="H112" s="9"/>
    </row>
    <row r="113">
      <c r="A113" s="191"/>
      <c r="B113" s="192" t="s">
        <v>1867</v>
      </c>
      <c r="C113" s="193"/>
      <c r="D113" s="9"/>
      <c r="E113" s="9"/>
      <c r="F113" s="9"/>
      <c r="G113" s="59"/>
      <c r="H113" s="9"/>
    </row>
    <row r="114">
      <c r="A114" s="191"/>
      <c r="B114" s="194" t="s">
        <v>1868</v>
      </c>
      <c r="C114" s="193"/>
      <c r="D114" s="9"/>
      <c r="E114" s="9"/>
      <c r="F114" s="9"/>
      <c r="G114" s="59"/>
      <c r="H114" s="9"/>
    </row>
    <row r="115">
      <c r="A115" s="191"/>
      <c r="B115" s="194" t="s">
        <v>1869</v>
      </c>
      <c r="C115" s="193"/>
      <c r="D115" s="9"/>
      <c r="E115" s="9"/>
      <c r="F115" s="9"/>
      <c r="G115" s="59"/>
      <c r="H115" s="9"/>
    </row>
    <row r="116">
      <c r="A116" s="195"/>
      <c r="B116" s="196" t="s">
        <v>1870</v>
      </c>
      <c r="C116" s="197" t="s">
        <v>1871</v>
      </c>
      <c r="D116" s="9"/>
      <c r="E116" s="9"/>
      <c r="F116" s="9"/>
      <c r="G116" s="59"/>
      <c r="H116" s="9"/>
    </row>
    <row r="117">
      <c r="A117" s="9"/>
      <c r="B117" s="9"/>
      <c r="C117" s="9"/>
      <c r="D117" s="9"/>
      <c r="E117" s="9"/>
      <c r="F117" s="9"/>
      <c r="G117" s="59"/>
      <c r="H117" s="9"/>
    </row>
    <row r="118">
      <c r="A118" s="9"/>
      <c r="B118" s="9"/>
      <c r="C118" s="9"/>
      <c r="D118" s="9"/>
      <c r="E118" s="9"/>
      <c r="F118" s="9"/>
      <c r="G118" s="59"/>
      <c r="H118" s="9"/>
    </row>
    <row r="119">
      <c r="A119" s="9"/>
      <c r="B119" s="9"/>
      <c r="C119" s="9"/>
      <c r="D119" s="9"/>
      <c r="E119" s="9"/>
      <c r="F119" s="9"/>
      <c r="G119" s="59"/>
      <c r="H119" s="9"/>
    </row>
    <row r="120">
      <c r="A120" s="9"/>
      <c r="B120" s="9"/>
      <c r="C120" s="9"/>
      <c r="D120" s="9"/>
      <c r="E120" s="9"/>
      <c r="F120" s="9"/>
      <c r="G120" s="59"/>
      <c r="H120" s="9"/>
    </row>
    <row r="121">
      <c r="A121" s="9"/>
      <c r="B121" s="9"/>
      <c r="C121" s="9"/>
      <c r="D121" s="9"/>
      <c r="E121" s="9"/>
      <c r="F121" s="9"/>
      <c r="G121" s="59"/>
      <c r="H121" s="9"/>
    </row>
    <row r="122">
      <c r="A122" s="9"/>
      <c r="B122" s="9"/>
      <c r="C122" s="9"/>
      <c r="D122" s="9"/>
      <c r="E122" s="9"/>
      <c r="F122" s="9"/>
      <c r="G122" s="59"/>
      <c r="H122" s="9"/>
    </row>
    <row r="123">
      <c r="A123" s="9"/>
      <c r="B123" s="9"/>
      <c r="C123" s="9"/>
      <c r="D123" s="9"/>
      <c r="E123" s="9"/>
      <c r="F123" s="9"/>
      <c r="G123" s="59"/>
      <c r="H123" s="9"/>
    </row>
    <row r="124">
      <c r="A124" s="9"/>
      <c r="B124" s="9"/>
      <c r="C124" s="9"/>
      <c r="D124" s="9"/>
      <c r="E124" s="9"/>
      <c r="F124" s="9"/>
      <c r="G124" s="59"/>
      <c r="H124" s="9"/>
    </row>
    <row r="125">
      <c r="A125" s="9"/>
      <c r="B125" s="9"/>
      <c r="C125" s="9"/>
      <c r="D125" s="9"/>
      <c r="E125" s="9"/>
      <c r="F125" s="9"/>
      <c r="G125" s="59"/>
      <c r="H125" s="9"/>
    </row>
    <row r="126">
      <c r="A126" s="9"/>
      <c r="B126" s="9"/>
      <c r="C126" s="9"/>
      <c r="D126" s="9"/>
      <c r="E126" s="9"/>
      <c r="F126" s="9"/>
      <c r="G126" s="59"/>
      <c r="H126" s="9"/>
    </row>
    <row r="127">
      <c r="A127" s="9"/>
      <c r="B127" s="9"/>
      <c r="C127" s="9"/>
      <c r="D127" s="9"/>
      <c r="E127" s="9"/>
      <c r="F127" s="9"/>
      <c r="G127" s="59"/>
      <c r="H127" s="9"/>
    </row>
    <row r="128">
      <c r="A128" s="9"/>
      <c r="B128" s="9"/>
      <c r="C128" s="9"/>
      <c r="D128" s="9"/>
      <c r="E128" s="9"/>
      <c r="F128" s="9"/>
      <c r="G128" s="59"/>
      <c r="H128" s="9"/>
    </row>
    <row r="129">
      <c r="A129" s="9"/>
      <c r="B129" s="9"/>
      <c r="C129" s="9"/>
      <c r="D129" s="9"/>
      <c r="E129" s="9"/>
      <c r="F129" s="9"/>
      <c r="G129" s="59"/>
      <c r="H129" s="9"/>
    </row>
    <row r="130">
      <c r="A130" s="9"/>
      <c r="B130" s="9"/>
      <c r="C130" s="9"/>
      <c r="D130" s="9"/>
      <c r="E130" s="9"/>
      <c r="F130" s="9"/>
      <c r="G130" s="59"/>
      <c r="H130" s="9"/>
    </row>
    <row r="131">
      <c r="A131" s="9"/>
      <c r="B131" s="9"/>
      <c r="C131" s="9"/>
      <c r="D131" s="9"/>
      <c r="E131" s="9"/>
      <c r="F131" s="9"/>
      <c r="G131" s="59"/>
      <c r="H131" s="9"/>
    </row>
    <row r="132">
      <c r="A132" s="9"/>
      <c r="B132" s="9"/>
      <c r="C132" s="9"/>
      <c r="D132" s="9"/>
      <c r="E132" s="9"/>
      <c r="F132" s="9"/>
      <c r="G132" s="59"/>
      <c r="H132" s="9"/>
    </row>
    <row r="133">
      <c r="A133" s="9"/>
      <c r="B133" s="9"/>
      <c r="C133" s="9"/>
      <c r="D133" s="9"/>
      <c r="E133" s="9"/>
      <c r="F133" s="9"/>
      <c r="G133" s="59"/>
      <c r="H133" s="9"/>
    </row>
    <row r="134">
      <c r="A134" s="9"/>
      <c r="B134" s="9"/>
      <c r="C134" s="9"/>
      <c r="D134" s="9"/>
      <c r="E134" s="9"/>
      <c r="F134" s="9"/>
      <c r="G134" s="59"/>
      <c r="H134" s="9"/>
    </row>
    <row r="135">
      <c r="A135" s="9"/>
      <c r="B135" s="9"/>
      <c r="C135" s="9"/>
      <c r="D135" s="9"/>
      <c r="E135" s="9"/>
      <c r="F135" s="9"/>
      <c r="G135" s="59"/>
      <c r="H135" s="9"/>
    </row>
    <row r="136">
      <c r="A136" s="9"/>
      <c r="B136" s="9"/>
      <c r="C136" s="9"/>
      <c r="D136" s="9"/>
      <c r="E136" s="9"/>
      <c r="F136" s="9"/>
      <c r="G136" s="59"/>
      <c r="H136" s="9"/>
    </row>
    <row r="137">
      <c r="A137" s="9"/>
      <c r="B137" s="9"/>
      <c r="C137" s="9"/>
      <c r="D137" s="9"/>
      <c r="E137" s="9"/>
      <c r="F137" s="9"/>
      <c r="G137" s="59"/>
      <c r="H137" s="9"/>
    </row>
    <row r="138">
      <c r="A138" s="9"/>
      <c r="B138" s="9"/>
      <c r="C138" s="9"/>
      <c r="D138" s="9"/>
      <c r="E138" s="9"/>
      <c r="F138" s="9"/>
      <c r="G138" s="59"/>
      <c r="H138" s="9"/>
    </row>
    <row r="139">
      <c r="A139" s="9"/>
      <c r="B139" s="9"/>
      <c r="C139" s="9"/>
      <c r="D139" s="9"/>
      <c r="E139" s="9"/>
      <c r="F139" s="9"/>
      <c r="G139" s="59"/>
      <c r="H139" s="9"/>
    </row>
    <row r="140">
      <c r="A140" s="9"/>
      <c r="B140" s="9"/>
      <c r="C140" s="9"/>
      <c r="D140" s="9"/>
      <c r="E140" s="9"/>
      <c r="F140" s="9"/>
      <c r="G140" s="59"/>
      <c r="H140" s="9"/>
    </row>
    <row r="141">
      <c r="A141" s="9"/>
      <c r="B141" s="9"/>
      <c r="C141" s="9"/>
      <c r="D141" s="9"/>
      <c r="E141" s="9"/>
      <c r="F141" s="9"/>
      <c r="G141" s="59"/>
      <c r="H141" s="9"/>
    </row>
    <row r="142">
      <c r="A142" s="9"/>
      <c r="B142" s="9"/>
      <c r="C142" s="9"/>
      <c r="D142" s="9"/>
      <c r="E142" s="9"/>
      <c r="F142" s="9"/>
      <c r="G142" s="59"/>
      <c r="H142" s="9"/>
    </row>
    <row r="143">
      <c r="A143" s="9"/>
      <c r="B143" s="9"/>
      <c r="C143" s="9"/>
      <c r="D143" s="9"/>
      <c r="E143" s="9"/>
      <c r="F143" s="9"/>
      <c r="G143" s="59"/>
      <c r="H143" s="9"/>
    </row>
    <row r="144">
      <c r="A144" s="9"/>
      <c r="B144" s="9"/>
      <c r="C144" s="9"/>
      <c r="D144" s="9"/>
      <c r="E144" s="9"/>
      <c r="F144" s="9"/>
      <c r="G144" s="59"/>
      <c r="H144" s="9"/>
    </row>
    <row r="145">
      <c r="A145" s="9"/>
      <c r="B145" s="9"/>
      <c r="C145" s="9"/>
      <c r="D145" s="9"/>
      <c r="E145" s="9"/>
      <c r="F145" s="9"/>
      <c r="G145" s="59"/>
      <c r="H145" s="9"/>
    </row>
    <row r="146">
      <c r="A146" s="9"/>
      <c r="B146" s="9"/>
      <c r="C146" s="9"/>
      <c r="D146" s="9"/>
      <c r="E146" s="9"/>
      <c r="F146" s="9"/>
      <c r="G146" s="59"/>
      <c r="H146" s="9"/>
    </row>
    <row r="147">
      <c r="A147" s="9"/>
      <c r="B147" s="9"/>
      <c r="C147" s="9"/>
      <c r="D147" s="9"/>
      <c r="E147" s="9"/>
      <c r="F147" s="9"/>
      <c r="G147" s="59"/>
      <c r="H147" s="9"/>
    </row>
    <row r="148">
      <c r="A148" s="9"/>
      <c r="B148" s="9"/>
      <c r="C148" s="9"/>
      <c r="D148" s="9"/>
      <c r="E148" s="9"/>
      <c r="F148" s="9"/>
      <c r="G148" s="59"/>
      <c r="H148" s="9"/>
    </row>
    <row r="149">
      <c r="A149" s="9"/>
      <c r="B149" s="9"/>
      <c r="C149" s="9"/>
      <c r="D149" s="9"/>
      <c r="E149" s="9"/>
      <c r="F149" s="9"/>
      <c r="G149" s="59"/>
      <c r="H149" s="9"/>
    </row>
    <row r="150">
      <c r="A150" s="9"/>
      <c r="B150" s="9"/>
      <c r="C150" s="9"/>
      <c r="D150" s="9"/>
      <c r="E150" s="9"/>
      <c r="F150" s="9"/>
      <c r="G150" s="59"/>
      <c r="H150" s="9"/>
    </row>
    <row r="151">
      <c r="A151" s="9"/>
      <c r="B151" s="9"/>
      <c r="C151" s="9"/>
      <c r="D151" s="9"/>
      <c r="E151" s="9"/>
      <c r="F151" s="9"/>
      <c r="G151" s="59"/>
      <c r="H151" s="9"/>
    </row>
    <row r="152">
      <c r="A152" s="9"/>
      <c r="B152" s="9"/>
      <c r="C152" s="9"/>
      <c r="D152" s="9"/>
      <c r="E152" s="9"/>
      <c r="F152" s="9"/>
      <c r="G152" s="59"/>
      <c r="H152" s="9"/>
    </row>
    <row r="153">
      <c r="A153" s="9"/>
      <c r="B153" s="9"/>
      <c r="C153" s="9"/>
      <c r="D153" s="9"/>
      <c r="E153" s="9"/>
      <c r="F153" s="9"/>
      <c r="G153" s="59"/>
      <c r="H153" s="9"/>
    </row>
    <row r="154">
      <c r="A154" s="9"/>
      <c r="B154" s="9"/>
      <c r="C154" s="9"/>
      <c r="D154" s="9"/>
      <c r="E154" s="9"/>
      <c r="F154" s="9"/>
      <c r="G154" s="59"/>
      <c r="H154" s="9"/>
    </row>
    <row r="155">
      <c r="A155" s="9"/>
      <c r="B155" s="9"/>
      <c r="C155" s="9"/>
      <c r="D155" s="9"/>
      <c r="E155" s="9"/>
      <c r="F155" s="9"/>
      <c r="G155" s="59"/>
      <c r="H155" s="9"/>
    </row>
    <row r="156">
      <c r="A156" s="9"/>
      <c r="B156" s="9"/>
      <c r="C156" s="9"/>
      <c r="D156" s="9"/>
      <c r="E156" s="9"/>
      <c r="F156" s="9"/>
      <c r="G156" s="59"/>
      <c r="H156" s="9"/>
    </row>
    <row r="157">
      <c r="A157" s="9"/>
      <c r="B157" s="9"/>
      <c r="C157" s="9"/>
      <c r="D157" s="9"/>
      <c r="E157" s="9"/>
      <c r="F157" s="9"/>
      <c r="G157" s="59"/>
      <c r="H157" s="9"/>
    </row>
    <row r="158">
      <c r="A158" s="9"/>
      <c r="B158" s="9"/>
      <c r="C158" s="9"/>
      <c r="D158" s="9"/>
      <c r="E158" s="9"/>
      <c r="F158" s="9"/>
      <c r="G158" s="59"/>
      <c r="H158" s="9"/>
    </row>
    <row r="159">
      <c r="A159" s="9"/>
      <c r="B159" s="9"/>
      <c r="C159" s="9"/>
      <c r="D159" s="9"/>
      <c r="E159" s="9"/>
      <c r="F159" s="9"/>
      <c r="G159" s="59"/>
      <c r="H159" s="9"/>
    </row>
    <row r="160">
      <c r="A160" s="9"/>
      <c r="B160" s="9"/>
      <c r="C160" s="9"/>
      <c r="D160" s="9"/>
      <c r="E160" s="9"/>
      <c r="F160" s="9"/>
      <c r="G160" s="59"/>
      <c r="H160" s="9"/>
    </row>
    <row r="161">
      <c r="A161" s="9"/>
      <c r="B161" s="9"/>
      <c r="C161" s="9"/>
      <c r="D161" s="9"/>
      <c r="E161" s="9"/>
      <c r="F161" s="9"/>
      <c r="G161" s="59"/>
      <c r="H161" s="9"/>
    </row>
    <row r="162">
      <c r="A162" s="9"/>
      <c r="B162" s="9"/>
      <c r="C162" s="9"/>
      <c r="D162" s="9"/>
      <c r="E162" s="9"/>
      <c r="F162" s="9"/>
      <c r="G162" s="59"/>
      <c r="H162" s="9"/>
    </row>
    <row r="163">
      <c r="A163" s="9"/>
      <c r="B163" s="9"/>
      <c r="C163" s="9"/>
      <c r="D163" s="9"/>
      <c r="E163" s="9"/>
      <c r="F163" s="9"/>
      <c r="G163" s="59"/>
      <c r="H163" s="9"/>
    </row>
    <row r="164">
      <c r="A164" s="9"/>
      <c r="B164" s="9"/>
      <c r="C164" s="9"/>
      <c r="D164" s="9"/>
      <c r="E164" s="9"/>
      <c r="F164" s="9"/>
      <c r="G164" s="59"/>
      <c r="H164" s="9"/>
    </row>
    <row r="165">
      <c r="A165" s="9"/>
      <c r="B165" s="9"/>
      <c r="C165" s="9"/>
      <c r="D165" s="9"/>
      <c r="E165" s="9"/>
      <c r="F165" s="9"/>
      <c r="G165" s="59"/>
      <c r="H165" s="9"/>
    </row>
    <row r="166">
      <c r="A166" s="9"/>
      <c r="B166" s="9"/>
      <c r="C166" s="9"/>
      <c r="D166" s="9"/>
      <c r="E166" s="9"/>
      <c r="F166" s="9"/>
      <c r="G166" s="59"/>
      <c r="H166" s="9"/>
    </row>
    <row r="167">
      <c r="A167" s="9"/>
      <c r="B167" s="9"/>
      <c r="C167" s="9"/>
      <c r="D167" s="9"/>
      <c r="E167" s="9"/>
      <c r="F167" s="9"/>
      <c r="G167" s="59"/>
      <c r="H167" s="9"/>
    </row>
    <row r="168">
      <c r="A168" s="9"/>
      <c r="B168" s="9"/>
      <c r="C168" s="9"/>
      <c r="D168" s="9"/>
      <c r="E168" s="9"/>
      <c r="F168" s="9"/>
      <c r="G168" s="59"/>
      <c r="H168" s="9"/>
    </row>
    <row r="169">
      <c r="A169" s="9"/>
      <c r="B169" s="9"/>
      <c r="C169" s="9"/>
      <c r="D169" s="9"/>
      <c r="E169" s="9"/>
      <c r="F169" s="9"/>
      <c r="G169" s="59"/>
      <c r="H169" s="9"/>
    </row>
    <row r="170">
      <c r="A170" s="9"/>
      <c r="B170" s="9"/>
      <c r="C170" s="9"/>
      <c r="D170" s="9"/>
      <c r="E170" s="9"/>
      <c r="F170" s="9"/>
      <c r="G170" s="59"/>
      <c r="H170" s="9"/>
    </row>
    <row r="171">
      <c r="A171" s="9"/>
      <c r="B171" s="9"/>
      <c r="C171" s="9"/>
      <c r="D171" s="9"/>
      <c r="E171" s="9"/>
      <c r="F171" s="9"/>
      <c r="G171" s="59"/>
      <c r="H171" s="9"/>
    </row>
    <row r="172">
      <c r="A172" s="9"/>
      <c r="B172" s="9"/>
      <c r="C172" s="9"/>
      <c r="D172" s="9"/>
      <c r="E172" s="9"/>
      <c r="F172" s="9"/>
      <c r="G172" s="59"/>
      <c r="H172" s="9"/>
    </row>
    <row r="173">
      <c r="A173" s="9"/>
      <c r="B173" s="9"/>
      <c r="C173" s="9"/>
      <c r="D173" s="9"/>
      <c r="E173" s="9"/>
      <c r="F173" s="9"/>
      <c r="G173" s="59"/>
      <c r="H173" s="9"/>
    </row>
    <row r="174">
      <c r="A174" s="9"/>
      <c r="B174" s="9"/>
      <c r="C174" s="9"/>
      <c r="D174" s="9"/>
      <c r="E174" s="9"/>
      <c r="F174" s="9"/>
      <c r="G174" s="59"/>
      <c r="H174" s="9"/>
    </row>
    <row r="175">
      <c r="A175" s="9"/>
      <c r="B175" s="9"/>
      <c r="C175" s="9"/>
      <c r="D175" s="9"/>
      <c r="E175" s="9"/>
      <c r="F175" s="9"/>
      <c r="G175" s="59"/>
      <c r="H175" s="9"/>
    </row>
    <row r="176">
      <c r="A176" s="9"/>
      <c r="B176" s="9"/>
      <c r="C176" s="9"/>
      <c r="D176" s="9"/>
      <c r="E176" s="9"/>
      <c r="F176" s="9"/>
      <c r="G176" s="59"/>
      <c r="H176" s="9"/>
    </row>
    <row r="177">
      <c r="A177" s="9"/>
      <c r="B177" s="9"/>
      <c r="C177" s="9"/>
      <c r="D177" s="9"/>
      <c r="E177" s="9"/>
      <c r="F177" s="9"/>
      <c r="G177" s="59"/>
      <c r="H177" s="9"/>
    </row>
    <row r="178">
      <c r="A178" s="9"/>
      <c r="B178" s="9"/>
      <c r="C178" s="9"/>
      <c r="D178" s="9"/>
      <c r="E178" s="9"/>
      <c r="F178" s="9"/>
      <c r="G178" s="59"/>
      <c r="H178" s="9"/>
    </row>
    <row r="179">
      <c r="A179" s="9"/>
      <c r="B179" s="9"/>
      <c r="C179" s="9"/>
      <c r="D179" s="9"/>
      <c r="E179" s="9"/>
      <c r="F179" s="9"/>
      <c r="G179" s="59"/>
      <c r="H179" s="9"/>
    </row>
    <row r="180">
      <c r="A180" s="9"/>
      <c r="B180" s="9"/>
      <c r="C180" s="9"/>
      <c r="D180" s="9"/>
      <c r="E180" s="9"/>
      <c r="F180" s="9"/>
      <c r="G180" s="59"/>
      <c r="H180" s="9"/>
    </row>
    <row r="181">
      <c r="A181" s="9"/>
      <c r="B181" s="9"/>
      <c r="C181" s="9"/>
      <c r="D181" s="9"/>
      <c r="E181" s="9"/>
      <c r="F181" s="9"/>
      <c r="G181" s="59"/>
      <c r="H181" s="9"/>
    </row>
    <row r="182">
      <c r="A182" s="9"/>
      <c r="B182" s="9"/>
      <c r="C182" s="9"/>
      <c r="D182" s="9"/>
      <c r="E182" s="9"/>
      <c r="F182" s="9"/>
      <c r="G182" s="59"/>
      <c r="H182" s="9"/>
    </row>
    <row r="183">
      <c r="A183" s="9"/>
      <c r="B183" s="9"/>
      <c r="C183" s="9"/>
      <c r="D183" s="9"/>
      <c r="E183" s="9"/>
      <c r="F183" s="9"/>
      <c r="G183" s="59"/>
      <c r="H183" s="9"/>
    </row>
    <row r="184">
      <c r="A184" s="9"/>
      <c r="B184" s="9"/>
      <c r="C184" s="9"/>
      <c r="D184" s="9"/>
      <c r="E184" s="9"/>
      <c r="F184" s="9"/>
      <c r="G184" s="59"/>
      <c r="H184" s="9"/>
    </row>
    <row r="185">
      <c r="A185" s="9"/>
      <c r="B185" s="9"/>
      <c r="C185" s="9"/>
      <c r="D185" s="9"/>
      <c r="E185" s="9"/>
      <c r="F185" s="9"/>
      <c r="G185" s="59"/>
      <c r="H185" s="9"/>
    </row>
    <row r="186">
      <c r="A186" s="9"/>
      <c r="B186" s="9"/>
      <c r="C186" s="9"/>
      <c r="D186" s="9"/>
      <c r="E186" s="9"/>
      <c r="F186" s="9"/>
      <c r="G186" s="59"/>
      <c r="H186" s="9"/>
    </row>
    <row r="187">
      <c r="A187" s="9"/>
      <c r="B187" s="9"/>
      <c r="C187" s="9"/>
      <c r="D187" s="9"/>
      <c r="E187" s="9"/>
      <c r="F187" s="9"/>
      <c r="G187" s="59"/>
      <c r="H187" s="9"/>
    </row>
    <row r="188">
      <c r="A188" s="9"/>
      <c r="B188" s="9"/>
      <c r="C188" s="9"/>
      <c r="D188" s="9"/>
      <c r="E188" s="9"/>
      <c r="F188" s="9"/>
      <c r="G188" s="59"/>
      <c r="H188" s="9"/>
    </row>
    <row r="189">
      <c r="A189" s="9"/>
      <c r="B189" s="9"/>
      <c r="C189" s="9"/>
      <c r="D189" s="9"/>
      <c r="E189" s="9"/>
      <c r="F189" s="9"/>
      <c r="G189" s="59"/>
      <c r="H189" s="9"/>
    </row>
    <row r="190">
      <c r="A190" s="9"/>
      <c r="B190" s="9"/>
      <c r="C190" s="9"/>
      <c r="D190" s="9"/>
      <c r="E190" s="9"/>
      <c r="F190" s="9"/>
      <c r="G190" s="59"/>
      <c r="H190" s="9"/>
    </row>
    <row r="191">
      <c r="A191" s="9"/>
      <c r="B191" s="9"/>
      <c r="C191" s="9"/>
      <c r="D191" s="9"/>
      <c r="E191" s="9"/>
      <c r="F191" s="9"/>
      <c r="G191" s="59"/>
      <c r="H191" s="9"/>
    </row>
    <row r="192">
      <c r="A192" s="9"/>
      <c r="B192" s="9"/>
      <c r="C192" s="9"/>
      <c r="D192" s="9"/>
      <c r="E192" s="9"/>
      <c r="F192" s="9"/>
      <c r="G192" s="59"/>
      <c r="H192" s="9"/>
    </row>
    <row r="193">
      <c r="A193" s="9"/>
      <c r="B193" s="9"/>
      <c r="C193" s="9"/>
      <c r="D193" s="9"/>
      <c r="E193" s="9"/>
      <c r="F193" s="9"/>
      <c r="G193" s="59"/>
      <c r="H193" s="9"/>
    </row>
    <row r="194">
      <c r="A194" s="9"/>
      <c r="B194" s="9"/>
      <c r="C194" s="9"/>
      <c r="D194" s="9"/>
      <c r="E194" s="9"/>
      <c r="F194" s="9"/>
      <c r="G194" s="59"/>
      <c r="H194" s="9"/>
    </row>
    <row r="195">
      <c r="A195" s="9"/>
      <c r="B195" s="9"/>
      <c r="C195" s="9"/>
      <c r="D195" s="9"/>
      <c r="E195" s="9"/>
      <c r="F195" s="9"/>
      <c r="G195" s="59"/>
      <c r="H195" s="9"/>
    </row>
    <row r="196">
      <c r="A196" s="9"/>
      <c r="B196" s="9"/>
      <c r="C196" s="9"/>
      <c r="D196" s="9"/>
      <c r="E196" s="9"/>
      <c r="F196" s="9"/>
      <c r="G196" s="59"/>
      <c r="H196" s="9"/>
    </row>
    <row r="197">
      <c r="A197" s="9"/>
      <c r="B197" s="9"/>
      <c r="C197" s="9"/>
      <c r="D197" s="9"/>
      <c r="E197" s="9"/>
      <c r="F197" s="9"/>
      <c r="G197" s="59"/>
      <c r="H197" s="9"/>
    </row>
    <row r="198">
      <c r="A198" s="9"/>
      <c r="B198" s="9"/>
      <c r="C198" s="9"/>
      <c r="D198" s="9"/>
      <c r="E198" s="9"/>
      <c r="F198" s="9"/>
      <c r="G198" s="59"/>
      <c r="H198" s="9"/>
    </row>
    <row r="199">
      <c r="A199" s="9"/>
      <c r="B199" s="9"/>
      <c r="C199" s="9"/>
      <c r="D199" s="9"/>
      <c r="E199" s="9"/>
      <c r="F199" s="9"/>
      <c r="G199" s="59"/>
      <c r="H199" s="9"/>
    </row>
    <row r="200">
      <c r="A200" s="9"/>
      <c r="B200" s="9"/>
      <c r="C200" s="9"/>
      <c r="D200" s="9"/>
      <c r="E200" s="9"/>
      <c r="F200" s="9"/>
      <c r="G200" s="59"/>
      <c r="H200" s="9"/>
    </row>
    <row r="201">
      <c r="A201" s="9"/>
      <c r="B201" s="9"/>
      <c r="C201" s="9"/>
      <c r="D201" s="9"/>
      <c r="E201" s="9"/>
      <c r="F201" s="9"/>
      <c r="G201" s="59"/>
      <c r="H201" s="9"/>
    </row>
    <row r="202">
      <c r="A202" s="9"/>
      <c r="B202" s="9"/>
      <c r="C202" s="9"/>
      <c r="D202" s="9"/>
      <c r="E202" s="9"/>
      <c r="F202" s="9"/>
      <c r="G202" s="59"/>
      <c r="H202" s="9"/>
    </row>
    <row r="203">
      <c r="A203" s="9"/>
      <c r="B203" s="9"/>
      <c r="C203" s="9"/>
      <c r="D203" s="9"/>
      <c r="E203" s="9"/>
      <c r="F203" s="9"/>
      <c r="G203" s="59"/>
      <c r="H203" s="9"/>
    </row>
    <row r="204">
      <c r="A204" s="9"/>
      <c r="B204" s="9"/>
      <c r="C204" s="9"/>
      <c r="D204" s="9"/>
      <c r="E204" s="9"/>
      <c r="F204" s="9"/>
      <c r="G204" s="59"/>
      <c r="H204" s="9"/>
    </row>
    <row r="205">
      <c r="A205" s="9"/>
      <c r="B205" s="9"/>
      <c r="C205" s="9"/>
      <c r="D205" s="9"/>
      <c r="E205" s="9"/>
      <c r="F205" s="9"/>
      <c r="G205" s="59"/>
      <c r="H205" s="9"/>
    </row>
    <row r="206">
      <c r="A206" s="9"/>
      <c r="B206" s="9"/>
      <c r="C206" s="9"/>
      <c r="D206" s="9"/>
      <c r="E206" s="9"/>
      <c r="F206" s="9"/>
      <c r="G206" s="59"/>
      <c r="H206" s="9"/>
    </row>
    <row r="207">
      <c r="A207" s="9"/>
      <c r="B207" s="9"/>
      <c r="C207" s="9"/>
      <c r="D207" s="9"/>
      <c r="E207" s="9"/>
      <c r="F207" s="9"/>
      <c r="G207" s="59"/>
      <c r="H207" s="9"/>
    </row>
    <row r="208">
      <c r="A208" s="9"/>
      <c r="B208" s="9"/>
      <c r="C208" s="9"/>
      <c r="D208" s="9"/>
      <c r="E208" s="9"/>
      <c r="F208" s="9"/>
      <c r="G208" s="59"/>
      <c r="H208" s="9"/>
    </row>
    <row r="209">
      <c r="A209" s="9"/>
      <c r="B209" s="9"/>
      <c r="C209" s="9"/>
      <c r="D209" s="9"/>
      <c r="E209" s="9"/>
      <c r="F209" s="9"/>
      <c r="G209" s="59"/>
      <c r="H209" s="9"/>
    </row>
    <row r="210">
      <c r="A210" s="9"/>
      <c r="B210" s="9"/>
      <c r="C210" s="9"/>
      <c r="D210" s="9"/>
      <c r="E210" s="9"/>
      <c r="F210" s="9"/>
      <c r="G210" s="59"/>
      <c r="H210" s="9"/>
    </row>
    <row r="211">
      <c r="A211" s="9"/>
      <c r="B211" s="9"/>
      <c r="C211" s="9"/>
      <c r="D211" s="9"/>
      <c r="E211" s="9"/>
      <c r="F211" s="9"/>
      <c r="G211" s="59"/>
      <c r="H211" s="9"/>
    </row>
    <row r="212">
      <c r="A212" s="9"/>
      <c r="B212" s="9"/>
      <c r="C212" s="9"/>
      <c r="D212" s="9"/>
      <c r="E212" s="9"/>
      <c r="F212" s="9"/>
      <c r="G212" s="59"/>
      <c r="H212" s="9"/>
    </row>
    <row r="213">
      <c r="A213" s="9"/>
      <c r="B213" s="9"/>
      <c r="C213" s="9"/>
      <c r="D213" s="9"/>
      <c r="E213" s="9"/>
      <c r="F213" s="9"/>
      <c r="G213" s="59"/>
      <c r="H213" s="9"/>
    </row>
    <row r="214">
      <c r="A214" s="9"/>
      <c r="B214" s="9"/>
      <c r="C214" s="9"/>
      <c r="D214" s="9"/>
      <c r="E214" s="9"/>
      <c r="F214" s="9"/>
      <c r="G214" s="59"/>
      <c r="H214" s="9"/>
    </row>
    <row r="215">
      <c r="A215" s="9"/>
      <c r="B215" s="9"/>
      <c r="C215" s="9"/>
      <c r="D215" s="9"/>
      <c r="E215" s="9"/>
      <c r="F215" s="9"/>
      <c r="G215" s="59"/>
      <c r="H215" s="9"/>
    </row>
    <row r="216">
      <c r="A216" s="9"/>
      <c r="B216" s="9"/>
      <c r="C216" s="9"/>
      <c r="D216" s="9"/>
      <c r="E216" s="9"/>
      <c r="F216" s="9"/>
      <c r="G216" s="59"/>
      <c r="H216" s="9"/>
    </row>
    <row r="217">
      <c r="A217" s="9"/>
      <c r="B217" s="9"/>
      <c r="C217" s="9"/>
      <c r="D217" s="9"/>
      <c r="E217" s="9"/>
      <c r="F217" s="9"/>
      <c r="G217" s="59"/>
      <c r="H217" s="9"/>
    </row>
    <row r="218">
      <c r="A218" s="9"/>
      <c r="B218" s="9"/>
      <c r="C218" s="9"/>
      <c r="D218" s="9"/>
      <c r="E218" s="9"/>
      <c r="F218" s="9"/>
      <c r="G218" s="59"/>
      <c r="H218" s="9"/>
    </row>
    <row r="219">
      <c r="A219" s="9"/>
      <c r="B219" s="9"/>
      <c r="C219" s="9"/>
      <c r="D219" s="9"/>
      <c r="E219" s="9"/>
      <c r="F219" s="9"/>
      <c r="G219" s="59"/>
      <c r="H219" s="9"/>
    </row>
    <row r="220">
      <c r="A220" s="9"/>
      <c r="B220" s="9"/>
      <c r="C220" s="9"/>
      <c r="D220" s="9"/>
      <c r="E220" s="9"/>
      <c r="F220" s="9"/>
      <c r="G220" s="59"/>
      <c r="H220" s="9"/>
    </row>
    <row r="221">
      <c r="A221" s="9"/>
      <c r="B221" s="9"/>
      <c r="C221" s="9"/>
      <c r="D221" s="9"/>
      <c r="E221" s="9"/>
      <c r="F221" s="9"/>
      <c r="G221" s="59"/>
      <c r="H221" s="9"/>
    </row>
    <row r="222">
      <c r="A222" s="9"/>
      <c r="B222" s="9"/>
      <c r="C222" s="9"/>
      <c r="D222" s="9"/>
      <c r="E222" s="9"/>
      <c r="F222" s="9"/>
      <c r="G222" s="59"/>
      <c r="H222" s="9"/>
    </row>
    <row r="223">
      <c r="A223" s="9"/>
      <c r="B223" s="9"/>
      <c r="C223" s="9"/>
      <c r="D223" s="9"/>
      <c r="E223" s="9"/>
      <c r="F223" s="9"/>
      <c r="G223" s="59"/>
      <c r="H223" s="9"/>
    </row>
    <row r="224">
      <c r="A224" s="9"/>
      <c r="B224" s="9"/>
      <c r="C224" s="9"/>
      <c r="D224" s="9"/>
      <c r="E224" s="9"/>
      <c r="F224" s="9"/>
      <c r="G224" s="59"/>
      <c r="H224" s="9"/>
    </row>
    <row r="225">
      <c r="A225" s="9"/>
      <c r="B225" s="9"/>
      <c r="C225" s="9"/>
      <c r="D225" s="9"/>
      <c r="E225" s="9"/>
      <c r="F225" s="9"/>
      <c r="G225" s="59"/>
      <c r="H225" s="9"/>
    </row>
    <row r="226">
      <c r="A226" s="9"/>
      <c r="B226" s="9"/>
      <c r="C226" s="9"/>
      <c r="D226" s="9"/>
      <c r="E226" s="9"/>
      <c r="F226" s="9"/>
      <c r="G226" s="59"/>
      <c r="H226" s="9"/>
    </row>
    <row r="227">
      <c r="A227" s="9"/>
      <c r="B227" s="9"/>
      <c r="C227" s="9"/>
      <c r="D227" s="9"/>
      <c r="E227" s="9"/>
      <c r="F227" s="9"/>
      <c r="G227" s="59"/>
      <c r="H227" s="9"/>
    </row>
    <row r="228">
      <c r="A228" s="9"/>
      <c r="B228" s="9"/>
      <c r="C228" s="9"/>
      <c r="D228" s="9"/>
      <c r="E228" s="9"/>
      <c r="F228" s="9"/>
      <c r="G228" s="59"/>
      <c r="H228" s="9"/>
    </row>
    <row r="229">
      <c r="A229" s="9"/>
      <c r="B229" s="9"/>
      <c r="C229" s="9"/>
      <c r="D229" s="9"/>
      <c r="E229" s="9"/>
      <c r="F229" s="9"/>
      <c r="G229" s="59"/>
      <c r="H229" s="9"/>
    </row>
    <row r="230">
      <c r="A230" s="9"/>
      <c r="B230" s="9"/>
      <c r="C230" s="9"/>
      <c r="D230" s="9"/>
      <c r="E230" s="9"/>
      <c r="F230" s="9"/>
      <c r="G230" s="59"/>
      <c r="H230" s="9"/>
    </row>
    <row r="231">
      <c r="A231" s="9"/>
      <c r="B231" s="9"/>
      <c r="C231" s="9"/>
      <c r="D231" s="9"/>
      <c r="E231" s="9"/>
      <c r="F231" s="9"/>
      <c r="G231" s="59"/>
      <c r="H231" s="9"/>
    </row>
    <row r="232">
      <c r="A232" s="9"/>
      <c r="B232" s="9"/>
      <c r="C232" s="9"/>
      <c r="D232" s="9"/>
      <c r="E232" s="9"/>
      <c r="F232" s="9"/>
      <c r="G232" s="59"/>
      <c r="H232" s="9"/>
    </row>
    <row r="233">
      <c r="A233" s="9"/>
      <c r="B233" s="9"/>
      <c r="C233" s="9"/>
      <c r="D233" s="9"/>
      <c r="E233" s="9"/>
      <c r="F233" s="9"/>
      <c r="G233" s="59"/>
      <c r="H233" s="9"/>
    </row>
    <row r="234">
      <c r="A234" s="9"/>
      <c r="B234" s="9"/>
      <c r="C234" s="9"/>
      <c r="D234" s="9"/>
      <c r="E234" s="9"/>
      <c r="F234" s="9"/>
      <c r="G234" s="59"/>
      <c r="H234" s="9"/>
    </row>
    <row r="235">
      <c r="A235" s="9"/>
      <c r="B235" s="9"/>
      <c r="C235" s="9"/>
      <c r="D235" s="9"/>
      <c r="E235" s="9"/>
      <c r="F235" s="9"/>
      <c r="G235" s="59"/>
      <c r="H235" s="9"/>
    </row>
    <row r="236">
      <c r="A236" s="9"/>
      <c r="B236" s="9"/>
      <c r="C236" s="9"/>
      <c r="D236" s="9"/>
      <c r="E236" s="9"/>
      <c r="F236" s="9"/>
      <c r="G236" s="59"/>
      <c r="H236" s="9"/>
    </row>
    <row r="237">
      <c r="A237" s="9"/>
      <c r="B237" s="9"/>
      <c r="C237" s="9"/>
      <c r="D237" s="9"/>
      <c r="E237" s="9"/>
      <c r="F237" s="9"/>
      <c r="G237" s="59"/>
      <c r="H237" s="9"/>
    </row>
    <row r="238">
      <c r="A238" s="9"/>
      <c r="B238" s="9"/>
      <c r="C238" s="9"/>
      <c r="D238" s="9"/>
      <c r="E238" s="9"/>
      <c r="F238" s="9"/>
      <c r="G238" s="59"/>
      <c r="H238" s="9"/>
    </row>
    <row r="239">
      <c r="A239" s="9"/>
      <c r="B239" s="9"/>
      <c r="C239" s="9"/>
      <c r="D239" s="9"/>
      <c r="E239" s="9"/>
      <c r="F239" s="9"/>
      <c r="G239" s="59"/>
      <c r="H239" s="9"/>
    </row>
    <row r="240">
      <c r="A240" s="9"/>
      <c r="B240" s="9"/>
      <c r="C240" s="9"/>
      <c r="D240" s="9"/>
      <c r="E240" s="9"/>
      <c r="F240" s="9"/>
      <c r="G240" s="59"/>
      <c r="H240" s="9"/>
    </row>
    <row r="241">
      <c r="A241" s="9"/>
      <c r="B241" s="9"/>
      <c r="C241" s="9"/>
      <c r="D241" s="9"/>
      <c r="E241" s="9"/>
      <c r="F241" s="9"/>
      <c r="G241" s="59"/>
      <c r="H241" s="9"/>
    </row>
    <row r="242">
      <c r="A242" s="9"/>
      <c r="B242" s="9"/>
      <c r="C242" s="9"/>
      <c r="D242" s="9"/>
      <c r="E242" s="9"/>
      <c r="F242" s="9"/>
      <c r="G242" s="59"/>
      <c r="H242" s="9"/>
    </row>
    <row r="243">
      <c r="A243" s="9"/>
      <c r="B243" s="9"/>
      <c r="C243" s="9"/>
      <c r="D243" s="9"/>
      <c r="E243" s="9"/>
      <c r="F243" s="9"/>
      <c r="G243" s="59"/>
      <c r="H243" s="9"/>
    </row>
    <row r="244">
      <c r="A244" s="9"/>
      <c r="B244" s="9"/>
      <c r="C244" s="9"/>
      <c r="D244" s="9"/>
      <c r="E244" s="9"/>
      <c r="F244" s="9"/>
      <c r="G244" s="59"/>
      <c r="H244" s="9"/>
    </row>
    <row r="245">
      <c r="A245" s="9"/>
      <c r="B245" s="9"/>
      <c r="C245" s="9"/>
      <c r="D245" s="9"/>
      <c r="E245" s="9"/>
      <c r="F245" s="9"/>
      <c r="G245" s="59"/>
      <c r="H245" s="9"/>
    </row>
    <row r="246">
      <c r="A246" s="9"/>
      <c r="B246" s="9"/>
      <c r="C246" s="9"/>
      <c r="D246" s="9"/>
      <c r="E246" s="9"/>
      <c r="F246" s="9"/>
      <c r="G246" s="59"/>
      <c r="H246" s="9"/>
    </row>
    <row r="247">
      <c r="A247" s="9"/>
      <c r="B247" s="9"/>
      <c r="C247" s="9"/>
      <c r="D247" s="9"/>
      <c r="E247" s="9"/>
      <c r="F247" s="9"/>
      <c r="G247" s="59"/>
      <c r="H247" s="9"/>
    </row>
    <row r="248">
      <c r="A248" s="9"/>
      <c r="B248" s="9"/>
      <c r="C248" s="9"/>
      <c r="D248" s="9"/>
      <c r="E248" s="9"/>
      <c r="F248" s="9"/>
      <c r="G248" s="59"/>
      <c r="H248" s="9"/>
    </row>
    <row r="249">
      <c r="A249" s="9"/>
      <c r="B249" s="9"/>
      <c r="C249" s="9"/>
      <c r="D249" s="9"/>
      <c r="E249" s="9"/>
      <c r="F249" s="9"/>
      <c r="G249" s="59"/>
      <c r="H249" s="9"/>
    </row>
    <row r="250">
      <c r="A250" s="9"/>
      <c r="B250" s="9"/>
      <c r="C250" s="9"/>
      <c r="D250" s="9"/>
      <c r="E250" s="9"/>
      <c r="F250" s="9"/>
      <c r="G250" s="59"/>
      <c r="H250" s="9"/>
    </row>
    <row r="251">
      <c r="A251" s="9"/>
      <c r="B251" s="9"/>
      <c r="C251" s="9"/>
      <c r="D251" s="9"/>
      <c r="E251" s="9"/>
      <c r="F251" s="9"/>
      <c r="G251" s="59"/>
      <c r="H251" s="9"/>
    </row>
    <row r="252">
      <c r="A252" s="9"/>
      <c r="B252" s="9"/>
      <c r="C252" s="9"/>
      <c r="D252" s="9"/>
      <c r="E252" s="9"/>
      <c r="F252" s="9"/>
      <c r="G252" s="59"/>
      <c r="H252" s="9"/>
    </row>
    <row r="253">
      <c r="A253" s="9"/>
      <c r="B253" s="9"/>
      <c r="C253" s="9"/>
      <c r="D253" s="9"/>
      <c r="E253" s="9"/>
      <c r="F253" s="9"/>
      <c r="G253" s="59"/>
      <c r="H253" s="9"/>
    </row>
    <row r="254">
      <c r="A254" s="9"/>
      <c r="B254" s="9"/>
      <c r="C254" s="9"/>
      <c r="D254" s="9"/>
      <c r="E254" s="9"/>
      <c r="F254" s="9"/>
      <c r="G254" s="59"/>
      <c r="H254" s="9"/>
    </row>
    <row r="255">
      <c r="A255" s="9"/>
      <c r="B255" s="9"/>
      <c r="C255" s="9"/>
      <c r="D255" s="9"/>
      <c r="E255" s="9"/>
      <c r="F255" s="9"/>
      <c r="G255" s="59"/>
      <c r="H255" s="9"/>
    </row>
    <row r="256">
      <c r="A256" s="9"/>
      <c r="B256" s="9"/>
      <c r="C256" s="9"/>
      <c r="D256" s="9"/>
      <c r="E256" s="9"/>
      <c r="F256" s="9"/>
      <c r="G256" s="59"/>
      <c r="H256" s="9"/>
    </row>
    <row r="257">
      <c r="A257" s="9"/>
      <c r="B257" s="9"/>
      <c r="C257" s="9"/>
      <c r="D257" s="9"/>
      <c r="E257" s="9"/>
      <c r="F257" s="9"/>
      <c r="G257" s="59"/>
      <c r="H257" s="9"/>
    </row>
    <row r="258">
      <c r="A258" s="9"/>
      <c r="B258" s="9"/>
      <c r="C258" s="9"/>
      <c r="D258" s="9"/>
      <c r="E258" s="9"/>
      <c r="F258" s="9"/>
      <c r="G258" s="59"/>
      <c r="H258" s="9"/>
    </row>
    <row r="259">
      <c r="A259" s="9"/>
      <c r="B259" s="9"/>
      <c r="C259" s="9"/>
      <c r="D259" s="9"/>
      <c r="E259" s="9"/>
      <c r="F259" s="9"/>
      <c r="G259" s="59"/>
      <c r="H259" s="9"/>
    </row>
    <row r="260">
      <c r="A260" s="9"/>
      <c r="B260" s="9"/>
      <c r="C260" s="9"/>
      <c r="D260" s="9"/>
      <c r="E260" s="9"/>
      <c r="F260" s="9"/>
      <c r="G260" s="59"/>
      <c r="H260" s="9"/>
    </row>
    <row r="261">
      <c r="A261" s="9"/>
      <c r="B261" s="9"/>
      <c r="C261" s="9"/>
      <c r="D261" s="9"/>
      <c r="E261" s="9"/>
      <c r="F261" s="9"/>
      <c r="G261" s="59"/>
      <c r="H261" s="9"/>
    </row>
    <row r="262">
      <c r="A262" s="9"/>
      <c r="B262" s="9"/>
      <c r="C262" s="9"/>
      <c r="D262" s="9"/>
      <c r="E262" s="9"/>
      <c r="F262" s="9"/>
      <c r="G262" s="59"/>
      <c r="H262" s="9"/>
    </row>
    <row r="263">
      <c r="A263" s="9"/>
      <c r="B263" s="9"/>
      <c r="C263" s="9"/>
      <c r="D263" s="9"/>
      <c r="E263" s="9"/>
      <c r="F263" s="9"/>
      <c r="G263" s="59"/>
      <c r="H263" s="9"/>
    </row>
    <row r="264">
      <c r="A264" s="9"/>
      <c r="B264" s="9"/>
      <c r="C264" s="9"/>
      <c r="D264" s="9"/>
      <c r="E264" s="9"/>
      <c r="F264" s="9"/>
      <c r="G264" s="59"/>
      <c r="H264" s="9"/>
    </row>
    <row r="265">
      <c r="A265" s="9"/>
      <c r="B265" s="9"/>
      <c r="C265" s="9"/>
      <c r="D265" s="9"/>
      <c r="E265" s="9"/>
      <c r="F265" s="9"/>
      <c r="G265" s="59"/>
      <c r="H265" s="9"/>
    </row>
    <row r="266">
      <c r="A266" s="9"/>
      <c r="B266" s="9"/>
      <c r="C266" s="9"/>
      <c r="D266" s="9"/>
      <c r="E266" s="9"/>
      <c r="F266" s="9"/>
      <c r="G266" s="59"/>
      <c r="H266" s="9"/>
    </row>
    <row r="267">
      <c r="A267" s="9"/>
      <c r="B267" s="9"/>
      <c r="C267" s="9"/>
      <c r="D267" s="9"/>
      <c r="E267" s="9"/>
      <c r="F267" s="9"/>
      <c r="G267" s="59"/>
      <c r="H267" s="9"/>
    </row>
    <row r="268">
      <c r="A268" s="9"/>
      <c r="B268" s="9"/>
      <c r="C268" s="9"/>
      <c r="D268" s="9"/>
      <c r="E268" s="9"/>
      <c r="F268" s="9"/>
      <c r="G268" s="59"/>
      <c r="H268" s="9"/>
    </row>
    <row r="269">
      <c r="A269" s="9"/>
      <c r="B269" s="9"/>
      <c r="C269" s="9"/>
      <c r="D269" s="9"/>
      <c r="E269" s="9"/>
      <c r="F269" s="9"/>
      <c r="G269" s="59"/>
      <c r="H269" s="9"/>
    </row>
    <row r="270">
      <c r="A270" s="9"/>
      <c r="B270" s="9"/>
      <c r="C270" s="9"/>
      <c r="D270" s="9"/>
      <c r="E270" s="9"/>
      <c r="F270" s="9"/>
      <c r="G270" s="59"/>
      <c r="H270" s="9"/>
    </row>
    <row r="271">
      <c r="A271" s="9"/>
      <c r="B271" s="9"/>
      <c r="C271" s="9"/>
      <c r="D271" s="9"/>
      <c r="E271" s="9"/>
      <c r="F271" s="9"/>
      <c r="G271" s="59"/>
      <c r="H271" s="9"/>
    </row>
    <row r="272">
      <c r="A272" s="9"/>
      <c r="B272" s="9"/>
      <c r="C272" s="9"/>
      <c r="D272" s="9"/>
      <c r="E272" s="9"/>
      <c r="F272" s="9"/>
      <c r="G272" s="59"/>
      <c r="H272" s="9"/>
    </row>
    <row r="273">
      <c r="A273" s="9"/>
      <c r="B273" s="9"/>
      <c r="C273" s="9"/>
      <c r="D273" s="9"/>
      <c r="E273" s="9"/>
      <c r="F273" s="9"/>
      <c r="G273" s="59"/>
      <c r="H273" s="9"/>
    </row>
    <row r="274">
      <c r="A274" s="9"/>
      <c r="B274" s="9"/>
      <c r="C274" s="9"/>
      <c r="D274" s="9"/>
      <c r="E274" s="9"/>
      <c r="F274" s="9"/>
      <c r="G274" s="59"/>
      <c r="H274" s="9"/>
    </row>
    <row r="275">
      <c r="A275" s="9"/>
      <c r="B275" s="9"/>
      <c r="C275" s="9"/>
      <c r="D275" s="9"/>
      <c r="E275" s="9"/>
      <c r="F275" s="9"/>
      <c r="G275" s="59"/>
      <c r="H275" s="9"/>
    </row>
    <row r="276">
      <c r="A276" s="9"/>
      <c r="B276" s="9"/>
      <c r="C276" s="9"/>
      <c r="D276" s="9"/>
      <c r="E276" s="9"/>
      <c r="F276" s="9"/>
      <c r="G276" s="59"/>
      <c r="H276" s="9"/>
    </row>
    <row r="277">
      <c r="A277" s="9"/>
      <c r="B277" s="9"/>
      <c r="C277" s="9"/>
      <c r="D277" s="9"/>
      <c r="E277" s="9"/>
      <c r="F277" s="9"/>
      <c r="G277" s="59"/>
      <c r="H277" s="9"/>
    </row>
    <row r="278">
      <c r="A278" s="9"/>
      <c r="B278" s="9"/>
      <c r="C278" s="9"/>
      <c r="D278" s="9"/>
      <c r="E278" s="9"/>
      <c r="F278" s="9"/>
      <c r="G278" s="59"/>
      <c r="H278" s="9"/>
    </row>
    <row r="279">
      <c r="A279" s="9"/>
      <c r="B279" s="9"/>
      <c r="C279" s="9"/>
      <c r="D279" s="9"/>
      <c r="E279" s="9"/>
      <c r="F279" s="9"/>
      <c r="G279" s="59"/>
      <c r="H279" s="9"/>
    </row>
    <row r="280">
      <c r="A280" s="9"/>
      <c r="B280" s="9"/>
      <c r="C280" s="9"/>
      <c r="D280" s="9"/>
      <c r="E280" s="9"/>
      <c r="F280" s="9"/>
      <c r="G280" s="59"/>
      <c r="H280" s="9"/>
    </row>
    <row r="281">
      <c r="A281" s="9"/>
      <c r="B281" s="9"/>
      <c r="C281" s="9"/>
      <c r="D281" s="9"/>
      <c r="E281" s="9"/>
      <c r="F281" s="9"/>
      <c r="G281" s="59"/>
      <c r="H281" s="9"/>
    </row>
    <row r="282">
      <c r="A282" s="9"/>
      <c r="B282" s="9"/>
      <c r="C282" s="9"/>
      <c r="D282" s="9"/>
      <c r="E282" s="9"/>
      <c r="F282" s="9"/>
      <c r="G282" s="59"/>
      <c r="H282" s="9"/>
    </row>
    <row r="283">
      <c r="A283" s="9"/>
      <c r="B283" s="9"/>
      <c r="C283" s="9"/>
      <c r="D283" s="9"/>
      <c r="E283" s="9"/>
      <c r="F283" s="9"/>
      <c r="G283" s="59"/>
      <c r="H283" s="9"/>
    </row>
    <row r="284">
      <c r="A284" s="9"/>
      <c r="B284" s="9"/>
      <c r="C284" s="9"/>
      <c r="D284" s="9"/>
      <c r="E284" s="9"/>
      <c r="F284" s="9"/>
      <c r="G284" s="59"/>
      <c r="H284" s="9"/>
    </row>
    <row r="285">
      <c r="A285" s="9"/>
      <c r="B285" s="9"/>
      <c r="C285" s="9"/>
      <c r="D285" s="9"/>
      <c r="E285" s="9"/>
      <c r="F285" s="9"/>
      <c r="G285" s="59"/>
      <c r="H285" s="9"/>
    </row>
    <row r="286">
      <c r="A286" s="9"/>
      <c r="B286" s="9"/>
      <c r="C286" s="9"/>
      <c r="D286" s="9"/>
      <c r="E286" s="9"/>
      <c r="F286" s="9"/>
      <c r="G286" s="59"/>
      <c r="H286" s="9"/>
    </row>
    <row r="287">
      <c r="A287" s="9"/>
      <c r="B287" s="9"/>
      <c r="C287" s="9"/>
      <c r="D287" s="9"/>
      <c r="E287" s="9"/>
      <c r="F287" s="9"/>
      <c r="G287" s="59"/>
      <c r="H287" s="9"/>
    </row>
    <row r="288">
      <c r="A288" s="9"/>
      <c r="B288" s="9"/>
      <c r="C288" s="9"/>
      <c r="D288" s="9"/>
      <c r="E288" s="9"/>
      <c r="F288" s="9"/>
      <c r="G288" s="59"/>
      <c r="H288" s="9"/>
    </row>
    <row r="289">
      <c r="A289" s="9"/>
      <c r="B289" s="9"/>
      <c r="C289" s="9"/>
      <c r="D289" s="9"/>
      <c r="E289" s="9"/>
      <c r="F289" s="9"/>
      <c r="G289" s="59"/>
      <c r="H289" s="9"/>
    </row>
    <row r="290">
      <c r="A290" s="9"/>
      <c r="B290" s="9"/>
      <c r="C290" s="9"/>
      <c r="D290" s="9"/>
      <c r="E290" s="9"/>
      <c r="F290" s="9"/>
      <c r="G290" s="59"/>
      <c r="H290" s="9"/>
    </row>
    <row r="291">
      <c r="A291" s="9"/>
      <c r="B291" s="9"/>
      <c r="C291" s="9"/>
      <c r="D291" s="9"/>
      <c r="E291" s="9"/>
      <c r="F291" s="9"/>
      <c r="G291" s="59"/>
      <c r="H291" s="9"/>
    </row>
    <row r="292">
      <c r="A292" s="9"/>
      <c r="B292" s="9"/>
      <c r="C292" s="9"/>
      <c r="D292" s="9"/>
      <c r="E292" s="9"/>
      <c r="F292" s="9"/>
      <c r="G292" s="59"/>
      <c r="H292" s="9"/>
    </row>
    <row r="293">
      <c r="A293" s="9"/>
      <c r="B293" s="9"/>
      <c r="C293" s="9"/>
      <c r="D293" s="9"/>
      <c r="E293" s="9"/>
      <c r="F293" s="9"/>
      <c r="G293" s="59"/>
      <c r="H293" s="9"/>
    </row>
    <row r="294">
      <c r="A294" s="9"/>
      <c r="B294" s="9"/>
      <c r="C294" s="9"/>
      <c r="D294" s="9"/>
      <c r="E294" s="9"/>
      <c r="F294" s="9"/>
      <c r="G294" s="59"/>
      <c r="H294" s="9"/>
    </row>
    <row r="295">
      <c r="A295" s="9"/>
      <c r="B295" s="9"/>
      <c r="C295" s="9"/>
      <c r="D295" s="9"/>
      <c r="E295" s="9"/>
      <c r="F295" s="9"/>
      <c r="G295" s="59"/>
      <c r="H295" s="9"/>
    </row>
    <row r="296">
      <c r="A296" s="9"/>
      <c r="B296" s="9"/>
      <c r="C296" s="9"/>
      <c r="D296" s="9"/>
      <c r="E296" s="9"/>
      <c r="F296" s="9"/>
      <c r="G296" s="59"/>
      <c r="H296" s="9"/>
    </row>
    <row r="297">
      <c r="A297" s="9"/>
      <c r="B297" s="9"/>
      <c r="C297" s="9"/>
      <c r="D297" s="9"/>
      <c r="E297" s="9"/>
      <c r="F297" s="9"/>
      <c r="G297" s="59"/>
      <c r="H297" s="9"/>
    </row>
    <row r="298">
      <c r="A298" s="9"/>
      <c r="B298" s="9"/>
      <c r="C298" s="9"/>
      <c r="D298" s="9"/>
      <c r="E298" s="9"/>
      <c r="F298" s="9"/>
      <c r="G298" s="59"/>
      <c r="H298" s="9"/>
    </row>
    <row r="299">
      <c r="A299" s="9"/>
      <c r="B299" s="9"/>
      <c r="C299" s="9"/>
      <c r="D299" s="9"/>
      <c r="E299" s="9"/>
      <c r="F299" s="9"/>
      <c r="G299" s="59"/>
      <c r="H299" s="9"/>
    </row>
    <row r="300">
      <c r="A300" s="9"/>
      <c r="B300" s="9"/>
      <c r="C300" s="9"/>
      <c r="D300" s="9"/>
      <c r="E300" s="9"/>
      <c r="F300" s="9"/>
      <c r="G300" s="59"/>
      <c r="H300" s="9"/>
    </row>
    <row r="301">
      <c r="A301" s="9"/>
      <c r="B301" s="9"/>
      <c r="C301" s="9"/>
      <c r="D301" s="9"/>
      <c r="E301" s="9"/>
      <c r="F301" s="9"/>
      <c r="G301" s="59"/>
      <c r="H301" s="9"/>
    </row>
    <row r="302">
      <c r="A302" s="9"/>
      <c r="B302" s="9"/>
      <c r="C302" s="9"/>
      <c r="D302" s="9"/>
      <c r="E302" s="9"/>
      <c r="F302" s="9"/>
      <c r="G302" s="59"/>
      <c r="H302" s="9"/>
    </row>
    <row r="303">
      <c r="A303" s="9"/>
      <c r="B303" s="9"/>
      <c r="C303" s="9"/>
      <c r="D303" s="9"/>
      <c r="E303" s="9"/>
      <c r="F303" s="9"/>
      <c r="G303" s="59"/>
      <c r="H303" s="9"/>
    </row>
    <row r="304">
      <c r="A304" s="9"/>
      <c r="B304" s="9"/>
      <c r="C304" s="9"/>
      <c r="D304" s="9"/>
      <c r="E304" s="9"/>
      <c r="F304" s="9"/>
      <c r="G304" s="59"/>
      <c r="H304" s="9"/>
    </row>
    <row r="305">
      <c r="A305" s="9"/>
      <c r="B305" s="9"/>
      <c r="C305" s="9"/>
      <c r="D305" s="9"/>
      <c r="E305" s="9"/>
      <c r="F305" s="9"/>
      <c r="G305" s="59"/>
      <c r="H305" s="9"/>
    </row>
    <row r="306">
      <c r="A306" s="9"/>
      <c r="B306" s="9"/>
      <c r="C306" s="9"/>
      <c r="D306" s="9"/>
      <c r="E306" s="9"/>
      <c r="F306" s="9"/>
      <c r="G306" s="59"/>
      <c r="H306" s="9"/>
    </row>
    <row r="307">
      <c r="A307" s="9"/>
      <c r="B307" s="9"/>
      <c r="C307" s="9"/>
      <c r="D307" s="9"/>
      <c r="E307" s="9"/>
      <c r="F307" s="9"/>
      <c r="G307" s="59"/>
      <c r="H307" s="9"/>
    </row>
    <row r="308">
      <c r="A308" s="9"/>
      <c r="B308" s="9"/>
      <c r="C308" s="9"/>
      <c r="D308" s="9"/>
      <c r="E308" s="9"/>
      <c r="F308" s="9"/>
      <c r="G308" s="59"/>
      <c r="H308" s="9"/>
    </row>
    <row r="309">
      <c r="A309" s="9"/>
      <c r="B309" s="9"/>
      <c r="C309" s="9"/>
      <c r="D309" s="9"/>
      <c r="E309" s="9"/>
      <c r="F309" s="9"/>
      <c r="G309" s="59"/>
      <c r="H309" s="9"/>
    </row>
    <row r="310">
      <c r="A310" s="9"/>
      <c r="B310" s="9"/>
      <c r="C310" s="9"/>
      <c r="D310" s="9"/>
      <c r="E310" s="9"/>
      <c r="F310" s="9"/>
      <c r="G310" s="59"/>
      <c r="H310" s="9"/>
    </row>
    <row r="311">
      <c r="A311" s="9"/>
      <c r="B311" s="9"/>
      <c r="C311" s="9"/>
      <c r="D311" s="9"/>
      <c r="E311" s="9"/>
      <c r="F311" s="9"/>
      <c r="G311" s="59"/>
      <c r="H311" s="9"/>
    </row>
    <row r="312">
      <c r="A312" s="9"/>
      <c r="B312" s="9"/>
      <c r="C312" s="9"/>
      <c r="D312" s="9"/>
      <c r="E312" s="9"/>
      <c r="F312" s="9"/>
      <c r="G312" s="59"/>
      <c r="H312" s="9"/>
    </row>
    <row r="313">
      <c r="A313" s="9"/>
      <c r="B313" s="9"/>
      <c r="C313" s="9"/>
      <c r="D313" s="9"/>
      <c r="E313" s="9"/>
      <c r="F313" s="9"/>
      <c r="G313" s="59"/>
      <c r="H313" s="9"/>
    </row>
    <row r="314">
      <c r="A314" s="9"/>
      <c r="B314" s="9"/>
      <c r="C314" s="9"/>
      <c r="D314" s="9"/>
      <c r="E314" s="9"/>
      <c r="F314" s="9"/>
      <c r="G314" s="59"/>
      <c r="H314" s="9"/>
    </row>
    <row r="315">
      <c r="A315" s="9"/>
      <c r="B315" s="9"/>
      <c r="C315" s="9"/>
      <c r="D315" s="9"/>
      <c r="E315" s="9"/>
      <c r="F315" s="9"/>
      <c r="G315" s="59"/>
      <c r="H315" s="9"/>
    </row>
    <row r="316">
      <c r="A316" s="9"/>
      <c r="B316" s="9"/>
      <c r="C316" s="9"/>
      <c r="D316" s="9"/>
      <c r="E316" s="9"/>
      <c r="F316" s="9"/>
      <c r="G316" s="59"/>
      <c r="H316" s="9"/>
    </row>
    <row r="317">
      <c r="A317" s="9"/>
      <c r="B317" s="9"/>
      <c r="C317" s="9"/>
      <c r="D317" s="9"/>
      <c r="E317" s="9"/>
      <c r="F317" s="9"/>
      <c r="G317" s="59"/>
      <c r="H317" s="9"/>
    </row>
    <row r="318">
      <c r="A318" s="9"/>
      <c r="B318" s="9"/>
      <c r="C318" s="9"/>
      <c r="D318" s="9"/>
      <c r="E318" s="9"/>
      <c r="F318" s="9"/>
      <c r="G318" s="59"/>
      <c r="H318" s="9"/>
    </row>
    <row r="319">
      <c r="A319" s="9"/>
      <c r="B319" s="9"/>
      <c r="C319" s="9"/>
      <c r="D319" s="9"/>
      <c r="E319" s="9"/>
      <c r="F319" s="9"/>
      <c r="G319" s="59"/>
      <c r="H319" s="9"/>
    </row>
    <row r="320">
      <c r="A320" s="9"/>
      <c r="B320" s="9"/>
      <c r="C320" s="9"/>
      <c r="D320" s="9"/>
      <c r="E320" s="9"/>
      <c r="F320" s="9"/>
      <c r="G320" s="59"/>
      <c r="H320" s="9"/>
    </row>
    <row r="321">
      <c r="A321" s="9"/>
      <c r="B321" s="9"/>
      <c r="C321" s="9"/>
      <c r="D321" s="9"/>
      <c r="E321" s="9"/>
      <c r="F321" s="9"/>
      <c r="G321" s="59"/>
      <c r="H321" s="9"/>
    </row>
    <row r="322">
      <c r="A322" s="9"/>
      <c r="B322" s="9"/>
      <c r="C322" s="9"/>
      <c r="D322" s="9"/>
      <c r="E322" s="9"/>
      <c r="F322" s="9"/>
      <c r="G322" s="59"/>
      <c r="H322" s="9"/>
    </row>
    <row r="323">
      <c r="A323" s="9"/>
      <c r="B323" s="9"/>
      <c r="C323" s="9"/>
      <c r="D323" s="9"/>
      <c r="E323" s="9"/>
      <c r="F323" s="9"/>
      <c r="G323" s="59"/>
      <c r="H323" s="9"/>
    </row>
    <row r="324">
      <c r="A324" s="9"/>
      <c r="B324" s="9"/>
      <c r="C324" s="9"/>
      <c r="D324" s="9"/>
      <c r="E324" s="9"/>
      <c r="F324" s="9"/>
      <c r="G324" s="59"/>
      <c r="H324" s="9"/>
    </row>
    <row r="325">
      <c r="A325" s="9"/>
      <c r="B325" s="9"/>
      <c r="C325" s="9"/>
      <c r="D325" s="9"/>
      <c r="E325" s="9"/>
      <c r="F325" s="9"/>
      <c r="G325" s="59"/>
      <c r="H325" s="9"/>
    </row>
    <row r="326">
      <c r="A326" s="9"/>
      <c r="B326" s="9"/>
      <c r="C326" s="9"/>
      <c r="D326" s="9"/>
      <c r="E326" s="9"/>
      <c r="F326" s="9"/>
      <c r="G326" s="59"/>
      <c r="H326" s="9"/>
    </row>
    <row r="327">
      <c r="A327" s="9"/>
      <c r="B327" s="9"/>
      <c r="C327" s="9"/>
      <c r="D327" s="9"/>
      <c r="E327" s="9"/>
      <c r="F327" s="9"/>
      <c r="G327" s="59"/>
      <c r="H327" s="9"/>
    </row>
    <row r="328">
      <c r="A328" s="9"/>
      <c r="B328" s="9"/>
      <c r="C328" s="9"/>
      <c r="D328" s="9"/>
      <c r="E328" s="9"/>
      <c r="F328" s="9"/>
      <c r="G328" s="59"/>
      <c r="H328" s="9"/>
    </row>
    <row r="329">
      <c r="A329" s="9"/>
      <c r="B329" s="9"/>
      <c r="C329" s="9"/>
      <c r="D329" s="9"/>
      <c r="E329" s="9"/>
      <c r="F329" s="9"/>
      <c r="G329" s="59"/>
      <c r="H329" s="9"/>
    </row>
    <row r="330">
      <c r="A330" s="9"/>
      <c r="B330" s="9"/>
      <c r="C330" s="9"/>
      <c r="D330" s="9"/>
      <c r="E330" s="9"/>
      <c r="F330" s="9"/>
      <c r="G330" s="59"/>
      <c r="H330" s="9"/>
    </row>
    <row r="331">
      <c r="A331" s="9"/>
      <c r="B331" s="9"/>
      <c r="C331" s="9"/>
      <c r="D331" s="9"/>
      <c r="E331" s="9"/>
      <c r="F331" s="9"/>
      <c r="G331" s="59"/>
      <c r="H331" s="9"/>
    </row>
    <row r="332">
      <c r="A332" s="9"/>
      <c r="B332" s="9"/>
      <c r="C332" s="9"/>
      <c r="D332" s="9"/>
      <c r="E332" s="9"/>
      <c r="F332" s="9"/>
      <c r="G332" s="59"/>
      <c r="H332" s="9"/>
    </row>
    <row r="333">
      <c r="A333" s="9"/>
      <c r="B333" s="9"/>
      <c r="C333" s="9"/>
      <c r="D333" s="9"/>
      <c r="E333" s="9"/>
      <c r="F333" s="9"/>
      <c r="G333" s="59"/>
      <c r="H333" s="9"/>
    </row>
    <row r="334">
      <c r="A334" s="9"/>
      <c r="B334" s="9"/>
      <c r="C334" s="9"/>
      <c r="D334" s="9"/>
      <c r="E334" s="9"/>
      <c r="F334" s="9"/>
      <c r="G334" s="59"/>
      <c r="H334" s="9"/>
    </row>
    <row r="335">
      <c r="A335" s="9"/>
      <c r="B335" s="9"/>
      <c r="C335" s="9"/>
      <c r="D335" s="9"/>
      <c r="E335" s="9"/>
      <c r="F335" s="9"/>
      <c r="G335" s="59"/>
      <c r="H335" s="9"/>
    </row>
    <row r="336">
      <c r="A336" s="9"/>
      <c r="B336" s="9"/>
      <c r="C336" s="9"/>
      <c r="D336" s="9"/>
      <c r="E336" s="9"/>
      <c r="F336" s="9"/>
      <c r="G336" s="59"/>
      <c r="H336" s="9"/>
    </row>
    <row r="337">
      <c r="A337" s="9"/>
      <c r="B337" s="9"/>
      <c r="C337" s="9"/>
      <c r="D337" s="9"/>
      <c r="E337" s="9"/>
      <c r="F337" s="9"/>
      <c r="G337" s="59"/>
      <c r="H337" s="9"/>
    </row>
    <row r="338">
      <c r="A338" s="9"/>
      <c r="B338" s="9"/>
      <c r="C338" s="9"/>
      <c r="D338" s="9"/>
      <c r="E338" s="9"/>
      <c r="F338" s="9"/>
      <c r="G338" s="59"/>
      <c r="H338" s="9"/>
    </row>
    <row r="339">
      <c r="A339" s="9"/>
      <c r="B339" s="9"/>
      <c r="C339" s="9"/>
      <c r="D339" s="9"/>
      <c r="E339" s="9"/>
      <c r="F339" s="9"/>
      <c r="G339" s="59"/>
      <c r="H339" s="9"/>
    </row>
    <row r="340">
      <c r="A340" s="9"/>
      <c r="B340" s="9"/>
      <c r="C340" s="9"/>
      <c r="D340" s="9"/>
      <c r="E340" s="9"/>
      <c r="F340" s="9"/>
      <c r="G340" s="59"/>
      <c r="H340" s="9"/>
    </row>
    <row r="341">
      <c r="A341" s="9"/>
      <c r="B341" s="9"/>
      <c r="C341" s="9"/>
      <c r="D341" s="9"/>
      <c r="E341" s="9"/>
      <c r="F341" s="9"/>
      <c r="G341" s="59"/>
      <c r="H341" s="9"/>
    </row>
    <row r="342">
      <c r="A342" s="9"/>
      <c r="B342" s="9"/>
      <c r="C342" s="9"/>
      <c r="D342" s="9"/>
      <c r="E342" s="9"/>
      <c r="F342" s="9"/>
      <c r="G342" s="59"/>
      <c r="H342" s="9"/>
    </row>
    <row r="343">
      <c r="A343" s="9"/>
      <c r="B343" s="9"/>
      <c r="C343" s="9"/>
      <c r="D343" s="9"/>
      <c r="E343" s="9"/>
      <c r="F343" s="9"/>
      <c r="G343" s="59"/>
      <c r="H343" s="9"/>
    </row>
    <row r="344">
      <c r="A344" s="9"/>
      <c r="B344" s="9"/>
      <c r="C344" s="9"/>
      <c r="D344" s="9"/>
      <c r="E344" s="9"/>
      <c r="F344" s="9"/>
      <c r="G344" s="59"/>
      <c r="H344" s="9"/>
    </row>
    <row r="345">
      <c r="A345" s="9"/>
      <c r="B345" s="9"/>
      <c r="C345" s="9"/>
      <c r="D345" s="9"/>
      <c r="E345" s="9"/>
      <c r="F345" s="9"/>
      <c r="G345" s="59"/>
      <c r="H345" s="9"/>
    </row>
    <row r="346">
      <c r="A346" s="9"/>
      <c r="B346" s="9"/>
      <c r="C346" s="9"/>
      <c r="D346" s="9"/>
      <c r="E346" s="9"/>
      <c r="F346" s="9"/>
      <c r="G346" s="59"/>
      <c r="H346" s="9"/>
    </row>
    <row r="347">
      <c r="A347" s="9"/>
      <c r="B347" s="9"/>
      <c r="C347" s="9"/>
      <c r="D347" s="9"/>
      <c r="E347" s="9"/>
      <c r="F347" s="9"/>
      <c r="G347" s="59"/>
      <c r="H347" s="9"/>
    </row>
    <row r="348">
      <c r="A348" s="9"/>
      <c r="B348" s="9"/>
      <c r="C348" s="9"/>
      <c r="D348" s="9"/>
      <c r="E348" s="9"/>
      <c r="F348" s="9"/>
      <c r="G348" s="59"/>
      <c r="H348" s="9"/>
    </row>
    <row r="349">
      <c r="A349" s="9"/>
      <c r="B349" s="9"/>
      <c r="C349" s="9"/>
      <c r="D349" s="9"/>
      <c r="E349" s="9"/>
      <c r="F349" s="9"/>
      <c r="G349" s="59"/>
      <c r="H349" s="9"/>
    </row>
    <row r="350">
      <c r="A350" s="9"/>
      <c r="B350" s="9"/>
      <c r="C350" s="9"/>
      <c r="D350" s="9"/>
      <c r="E350" s="9"/>
      <c r="F350" s="9"/>
      <c r="G350" s="59"/>
      <c r="H350" s="9"/>
    </row>
    <row r="351">
      <c r="A351" s="9"/>
      <c r="B351" s="9"/>
      <c r="C351" s="9"/>
      <c r="D351" s="9"/>
      <c r="E351" s="9"/>
      <c r="F351" s="9"/>
      <c r="G351" s="59"/>
      <c r="H351" s="9"/>
    </row>
    <row r="352">
      <c r="A352" s="9"/>
      <c r="B352" s="9"/>
      <c r="C352" s="9"/>
      <c r="D352" s="9"/>
      <c r="E352" s="9"/>
      <c r="F352" s="9"/>
      <c r="G352" s="59"/>
      <c r="H352" s="9"/>
    </row>
    <row r="353">
      <c r="A353" s="9"/>
      <c r="B353" s="9"/>
      <c r="C353" s="9"/>
      <c r="D353" s="9"/>
      <c r="E353" s="9"/>
      <c r="F353" s="9"/>
      <c r="G353" s="59"/>
      <c r="H353" s="9"/>
    </row>
    <row r="354">
      <c r="A354" s="9"/>
      <c r="B354" s="9"/>
      <c r="C354" s="9"/>
      <c r="D354" s="9"/>
      <c r="E354" s="9"/>
      <c r="F354" s="9"/>
      <c r="G354" s="59"/>
      <c r="H354" s="9"/>
    </row>
    <row r="355">
      <c r="A355" s="9"/>
      <c r="B355" s="9"/>
      <c r="C355" s="9"/>
      <c r="D355" s="9"/>
      <c r="E355" s="9"/>
      <c r="F355" s="9"/>
      <c r="G355" s="59"/>
      <c r="H355" s="9"/>
    </row>
    <row r="356">
      <c r="A356" s="9"/>
      <c r="B356" s="9"/>
      <c r="C356" s="9"/>
      <c r="D356" s="9"/>
      <c r="E356" s="9"/>
      <c r="F356" s="9"/>
      <c r="G356" s="59"/>
      <c r="H356" s="9"/>
    </row>
    <row r="357">
      <c r="A357" s="9"/>
      <c r="B357" s="9"/>
      <c r="C357" s="9"/>
      <c r="D357" s="9"/>
      <c r="E357" s="9"/>
      <c r="F357" s="9"/>
      <c r="G357" s="59"/>
      <c r="H357" s="9"/>
    </row>
    <row r="358">
      <c r="A358" s="9"/>
      <c r="B358" s="9"/>
      <c r="C358" s="9"/>
      <c r="D358" s="9"/>
      <c r="E358" s="9"/>
      <c r="F358" s="9"/>
      <c r="G358" s="59"/>
      <c r="H358" s="9"/>
    </row>
    <row r="359">
      <c r="A359" s="9"/>
      <c r="B359" s="9"/>
      <c r="C359" s="9"/>
      <c r="D359" s="9"/>
      <c r="E359" s="9"/>
      <c r="F359" s="9"/>
      <c r="G359" s="59"/>
      <c r="H359" s="9"/>
    </row>
    <row r="360">
      <c r="A360" s="9"/>
      <c r="B360" s="9"/>
      <c r="C360" s="9"/>
      <c r="D360" s="9"/>
      <c r="E360" s="9"/>
      <c r="F360" s="9"/>
      <c r="G360" s="59"/>
      <c r="H360" s="9"/>
    </row>
    <row r="361">
      <c r="A361" s="9"/>
      <c r="B361" s="9"/>
      <c r="C361" s="9"/>
      <c r="D361" s="9"/>
      <c r="E361" s="9"/>
      <c r="F361" s="9"/>
      <c r="G361" s="59"/>
      <c r="H361" s="9"/>
    </row>
    <row r="362">
      <c r="A362" s="9"/>
      <c r="B362" s="9"/>
      <c r="C362" s="9"/>
      <c r="D362" s="9"/>
      <c r="E362" s="9"/>
      <c r="F362" s="9"/>
      <c r="G362" s="59"/>
      <c r="H362" s="9"/>
    </row>
    <row r="363">
      <c r="A363" s="9"/>
      <c r="B363" s="9"/>
      <c r="C363" s="9"/>
      <c r="D363" s="9"/>
      <c r="E363" s="9"/>
      <c r="F363" s="9"/>
      <c r="G363" s="59"/>
      <c r="H363" s="9"/>
    </row>
    <row r="364">
      <c r="A364" s="9"/>
      <c r="B364" s="9"/>
      <c r="C364" s="9"/>
      <c r="D364" s="9"/>
      <c r="E364" s="9"/>
      <c r="F364" s="9"/>
      <c r="G364" s="59"/>
      <c r="H364" s="9"/>
    </row>
    <row r="365">
      <c r="A365" s="9"/>
      <c r="B365" s="9"/>
      <c r="C365" s="9"/>
      <c r="D365" s="9"/>
      <c r="E365" s="9"/>
      <c r="F365" s="9"/>
      <c r="G365" s="59"/>
      <c r="H365" s="9"/>
    </row>
    <row r="366">
      <c r="A366" s="9"/>
      <c r="B366" s="9"/>
      <c r="C366" s="9"/>
      <c r="D366" s="9"/>
      <c r="E366" s="9"/>
      <c r="F366" s="9"/>
      <c r="G366" s="59"/>
      <c r="H366" s="9"/>
    </row>
    <row r="367">
      <c r="A367" s="9"/>
      <c r="B367" s="9"/>
      <c r="C367" s="9"/>
      <c r="D367" s="9"/>
      <c r="E367" s="9"/>
      <c r="F367" s="9"/>
      <c r="G367" s="59"/>
      <c r="H367" s="9"/>
    </row>
    <row r="368">
      <c r="A368" s="9"/>
      <c r="B368" s="9"/>
      <c r="C368" s="9"/>
      <c r="D368" s="9"/>
      <c r="E368" s="9"/>
      <c r="F368" s="9"/>
      <c r="G368" s="59"/>
      <c r="H368" s="9"/>
    </row>
    <row r="369">
      <c r="A369" s="9"/>
      <c r="B369" s="9"/>
      <c r="C369" s="9"/>
      <c r="D369" s="9"/>
      <c r="E369" s="9"/>
      <c r="F369" s="9"/>
      <c r="G369" s="59"/>
      <c r="H369" s="9"/>
    </row>
    <row r="370">
      <c r="A370" s="9"/>
      <c r="B370" s="9"/>
      <c r="C370" s="9"/>
      <c r="D370" s="9"/>
      <c r="E370" s="9"/>
      <c r="F370" s="9"/>
      <c r="G370" s="59"/>
      <c r="H370" s="9"/>
    </row>
    <row r="371">
      <c r="A371" s="9"/>
      <c r="B371" s="9"/>
      <c r="C371" s="9"/>
      <c r="D371" s="9"/>
      <c r="E371" s="9"/>
      <c r="F371" s="9"/>
      <c r="G371" s="59"/>
      <c r="H371" s="9"/>
    </row>
    <row r="372">
      <c r="A372" s="9"/>
      <c r="B372" s="9"/>
      <c r="C372" s="9"/>
      <c r="D372" s="9"/>
      <c r="E372" s="9"/>
      <c r="F372" s="9"/>
      <c r="G372" s="59"/>
      <c r="H372" s="9"/>
    </row>
    <row r="373">
      <c r="A373" s="9"/>
      <c r="B373" s="9"/>
      <c r="C373" s="9"/>
      <c r="D373" s="9"/>
      <c r="E373" s="9"/>
      <c r="F373" s="9"/>
      <c r="G373" s="59"/>
      <c r="H373" s="9"/>
    </row>
    <row r="374">
      <c r="A374" s="9"/>
      <c r="B374" s="9"/>
      <c r="C374" s="9"/>
      <c r="D374" s="9"/>
      <c r="E374" s="9"/>
      <c r="F374" s="9"/>
      <c r="G374" s="59"/>
      <c r="H374" s="9"/>
    </row>
    <row r="375">
      <c r="A375" s="9"/>
      <c r="B375" s="9"/>
      <c r="C375" s="9"/>
      <c r="D375" s="9"/>
      <c r="E375" s="9"/>
      <c r="F375" s="9"/>
      <c r="G375" s="59"/>
      <c r="H375" s="9"/>
    </row>
    <row r="376">
      <c r="A376" s="9"/>
      <c r="B376" s="9"/>
      <c r="C376" s="9"/>
      <c r="D376" s="9"/>
      <c r="E376" s="9"/>
      <c r="F376" s="9"/>
      <c r="G376" s="59"/>
      <c r="H376" s="9"/>
    </row>
    <row r="377">
      <c r="A377" s="9"/>
      <c r="B377" s="9"/>
      <c r="C377" s="9"/>
      <c r="D377" s="9"/>
      <c r="E377" s="9"/>
      <c r="F377" s="9"/>
      <c r="G377" s="59"/>
      <c r="H377" s="9"/>
    </row>
    <row r="378">
      <c r="A378" s="9"/>
      <c r="B378" s="9"/>
      <c r="C378" s="9"/>
      <c r="D378" s="9"/>
      <c r="E378" s="9"/>
      <c r="F378" s="9"/>
      <c r="G378" s="59"/>
      <c r="H378" s="9"/>
    </row>
    <row r="379">
      <c r="A379" s="9"/>
      <c r="B379" s="9"/>
      <c r="C379" s="9"/>
      <c r="D379" s="9"/>
      <c r="E379" s="9"/>
      <c r="F379" s="9"/>
      <c r="G379" s="59"/>
      <c r="H379" s="9"/>
    </row>
    <row r="380">
      <c r="A380" s="9"/>
      <c r="B380" s="9"/>
      <c r="C380" s="9"/>
      <c r="D380" s="9"/>
      <c r="E380" s="9"/>
      <c r="F380" s="9"/>
      <c r="G380" s="59"/>
      <c r="H380" s="9"/>
    </row>
    <row r="381">
      <c r="A381" s="9"/>
      <c r="B381" s="9"/>
      <c r="C381" s="9"/>
      <c r="D381" s="9"/>
      <c r="E381" s="9"/>
      <c r="F381" s="9"/>
      <c r="G381" s="59"/>
      <c r="H381" s="9"/>
    </row>
    <row r="382">
      <c r="A382" s="9"/>
      <c r="B382" s="9"/>
      <c r="C382" s="9"/>
      <c r="D382" s="9"/>
      <c r="E382" s="9"/>
      <c r="F382" s="9"/>
      <c r="G382" s="59"/>
      <c r="H382" s="9"/>
    </row>
    <row r="383">
      <c r="A383" s="9"/>
      <c r="B383" s="9"/>
      <c r="C383" s="9"/>
      <c r="D383" s="9"/>
      <c r="E383" s="9"/>
      <c r="F383" s="9"/>
      <c r="G383" s="59"/>
      <c r="H383" s="9"/>
    </row>
    <row r="384">
      <c r="A384" s="9"/>
      <c r="B384" s="9"/>
      <c r="C384" s="9"/>
      <c r="D384" s="9"/>
      <c r="E384" s="9"/>
      <c r="F384" s="9"/>
      <c r="G384" s="59"/>
      <c r="H384" s="9"/>
    </row>
    <row r="385">
      <c r="A385" s="9"/>
      <c r="B385" s="9"/>
      <c r="C385" s="9"/>
      <c r="D385" s="9"/>
      <c r="E385" s="9"/>
      <c r="F385" s="9"/>
      <c r="G385" s="59"/>
      <c r="H385" s="9"/>
    </row>
    <row r="386">
      <c r="A386" s="9"/>
      <c r="B386" s="9"/>
      <c r="C386" s="9"/>
      <c r="D386" s="9"/>
      <c r="E386" s="9"/>
      <c r="F386" s="9"/>
      <c r="G386" s="59"/>
      <c r="H386" s="9"/>
    </row>
    <row r="387">
      <c r="A387" s="9"/>
      <c r="B387" s="9"/>
      <c r="C387" s="9"/>
      <c r="D387" s="9"/>
      <c r="E387" s="9"/>
      <c r="F387" s="9"/>
      <c r="G387" s="59"/>
      <c r="H387" s="9"/>
    </row>
    <row r="388">
      <c r="A388" s="9"/>
      <c r="B388" s="9"/>
      <c r="C388" s="9"/>
      <c r="D388" s="9"/>
      <c r="E388" s="9"/>
      <c r="F388" s="9"/>
      <c r="G388" s="59"/>
      <c r="H388" s="9"/>
    </row>
    <row r="389">
      <c r="A389" s="9"/>
      <c r="B389" s="9"/>
      <c r="C389" s="9"/>
      <c r="D389" s="9"/>
      <c r="E389" s="9"/>
      <c r="F389" s="9"/>
      <c r="G389" s="59"/>
      <c r="H389" s="9"/>
    </row>
    <row r="390">
      <c r="A390" s="9"/>
      <c r="B390" s="9"/>
      <c r="C390" s="9"/>
      <c r="D390" s="9"/>
      <c r="E390" s="9"/>
      <c r="F390" s="9"/>
      <c r="G390" s="59"/>
      <c r="H390" s="9"/>
    </row>
    <row r="391">
      <c r="A391" s="9"/>
      <c r="B391" s="9"/>
      <c r="C391" s="9"/>
      <c r="D391" s="9"/>
      <c r="E391" s="9"/>
      <c r="F391" s="9"/>
      <c r="G391" s="59"/>
      <c r="H391" s="9"/>
    </row>
    <row r="392">
      <c r="A392" s="9"/>
      <c r="B392" s="9"/>
      <c r="C392" s="9"/>
      <c r="D392" s="9"/>
      <c r="E392" s="9"/>
      <c r="F392" s="9"/>
      <c r="G392" s="59"/>
      <c r="H392" s="9"/>
    </row>
    <row r="393">
      <c r="A393" s="9"/>
      <c r="B393" s="9"/>
      <c r="C393" s="9"/>
      <c r="D393" s="9"/>
      <c r="E393" s="9"/>
      <c r="F393" s="9"/>
      <c r="G393" s="59"/>
      <c r="H393" s="9"/>
    </row>
    <row r="394">
      <c r="A394" s="9"/>
      <c r="B394" s="9"/>
      <c r="C394" s="9"/>
      <c r="D394" s="9"/>
      <c r="E394" s="9"/>
      <c r="F394" s="9"/>
      <c r="G394" s="59"/>
      <c r="H394" s="9"/>
    </row>
    <row r="395">
      <c r="A395" s="9"/>
      <c r="B395" s="9"/>
      <c r="C395" s="9"/>
      <c r="D395" s="9"/>
      <c r="E395" s="9"/>
      <c r="F395" s="9"/>
      <c r="G395" s="59"/>
      <c r="H395" s="9"/>
    </row>
    <row r="396">
      <c r="A396" s="9"/>
      <c r="B396" s="9"/>
      <c r="C396" s="9"/>
      <c r="D396" s="9"/>
      <c r="E396" s="9"/>
      <c r="F396" s="9"/>
      <c r="G396" s="59"/>
      <c r="H396" s="9"/>
    </row>
    <row r="397">
      <c r="A397" s="9"/>
      <c r="B397" s="9"/>
      <c r="C397" s="9"/>
      <c r="D397" s="9"/>
      <c r="E397" s="9"/>
      <c r="F397" s="9"/>
      <c r="G397" s="59"/>
      <c r="H397" s="9"/>
    </row>
    <row r="398">
      <c r="A398" s="9"/>
      <c r="B398" s="9"/>
      <c r="C398" s="9"/>
      <c r="D398" s="9"/>
      <c r="E398" s="9"/>
      <c r="F398" s="9"/>
      <c r="G398" s="59"/>
      <c r="H398" s="9"/>
    </row>
    <row r="399">
      <c r="A399" s="9"/>
      <c r="B399" s="9"/>
      <c r="C399" s="9"/>
      <c r="D399" s="9"/>
      <c r="E399" s="9"/>
      <c r="F399" s="9"/>
      <c r="G399" s="59"/>
      <c r="H399" s="9"/>
    </row>
    <row r="400">
      <c r="A400" s="9"/>
      <c r="B400" s="9"/>
      <c r="C400" s="9"/>
      <c r="D400" s="9"/>
      <c r="E400" s="9"/>
      <c r="F400" s="9"/>
      <c r="G400" s="59"/>
      <c r="H400" s="9"/>
    </row>
    <row r="401">
      <c r="A401" s="9"/>
      <c r="B401" s="9"/>
      <c r="C401" s="9"/>
      <c r="D401" s="9"/>
      <c r="E401" s="9"/>
      <c r="F401" s="9"/>
      <c r="G401" s="59"/>
      <c r="H401" s="9"/>
    </row>
    <row r="402">
      <c r="A402" s="9"/>
      <c r="B402" s="9"/>
      <c r="C402" s="9"/>
      <c r="D402" s="9"/>
      <c r="E402" s="9"/>
      <c r="F402" s="9"/>
      <c r="G402" s="59"/>
      <c r="H402" s="9"/>
    </row>
    <row r="403">
      <c r="A403" s="9"/>
      <c r="B403" s="9"/>
      <c r="C403" s="9"/>
      <c r="D403" s="9"/>
      <c r="E403" s="9"/>
      <c r="F403" s="9"/>
      <c r="G403" s="59"/>
      <c r="H403" s="9"/>
    </row>
    <row r="404">
      <c r="A404" s="9"/>
      <c r="B404" s="9"/>
      <c r="C404" s="9"/>
      <c r="D404" s="9"/>
      <c r="E404" s="9"/>
      <c r="F404" s="9"/>
      <c r="G404" s="59"/>
      <c r="H404" s="9"/>
    </row>
    <row r="405">
      <c r="A405" s="9"/>
      <c r="B405" s="9"/>
      <c r="C405" s="9"/>
      <c r="D405" s="9"/>
      <c r="E405" s="9"/>
      <c r="F405" s="9"/>
      <c r="G405" s="59"/>
      <c r="H405" s="9"/>
    </row>
    <row r="406">
      <c r="A406" s="9"/>
      <c r="B406" s="9"/>
      <c r="C406" s="9"/>
      <c r="D406" s="9"/>
      <c r="E406" s="9"/>
      <c r="F406" s="9"/>
      <c r="G406" s="59"/>
      <c r="H406" s="9"/>
    </row>
    <row r="407">
      <c r="A407" s="9"/>
      <c r="B407" s="9"/>
      <c r="C407" s="9"/>
      <c r="D407" s="9"/>
      <c r="E407" s="9"/>
      <c r="F407" s="9"/>
      <c r="G407" s="59"/>
      <c r="H407" s="9"/>
    </row>
    <row r="408">
      <c r="A408" s="9"/>
      <c r="B408" s="9"/>
      <c r="C408" s="9"/>
      <c r="D408" s="9"/>
      <c r="E408" s="9"/>
      <c r="F408" s="9"/>
      <c r="G408" s="59"/>
      <c r="H408" s="9"/>
    </row>
    <row r="409">
      <c r="A409" s="9"/>
      <c r="B409" s="9"/>
      <c r="C409" s="9"/>
      <c r="D409" s="9"/>
      <c r="E409" s="9"/>
      <c r="F409" s="9"/>
      <c r="G409" s="59"/>
      <c r="H409" s="9"/>
    </row>
    <row r="410">
      <c r="A410" s="9"/>
      <c r="B410" s="9"/>
      <c r="C410" s="9"/>
      <c r="D410" s="9"/>
      <c r="E410" s="9"/>
      <c r="F410" s="9"/>
      <c r="G410" s="59"/>
      <c r="H410" s="9"/>
    </row>
    <row r="411">
      <c r="A411" s="9"/>
      <c r="B411" s="9"/>
      <c r="C411" s="9"/>
      <c r="D411" s="9"/>
      <c r="E411" s="9"/>
      <c r="F411" s="9"/>
      <c r="G411" s="59"/>
      <c r="H411" s="9"/>
    </row>
    <row r="412">
      <c r="A412" s="9"/>
      <c r="B412" s="9"/>
      <c r="C412" s="9"/>
      <c r="D412" s="9"/>
      <c r="E412" s="9"/>
      <c r="F412" s="9"/>
      <c r="G412" s="59"/>
      <c r="H412" s="9"/>
    </row>
    <row r="413">
      <c r="A413" s="9"/>
      <c r="B413" s="9"/>
      <c r="C413" s="9"/>
      <c r="D413" s="9"/>
      <c r="E413" s="9"/>
      <c r="F413" s="9"/>
      <c r="G413" s="59"/>
      <c r="H413" s="9"/>
    </row>
    <row r="414">
      <c r="A414" s="9"/>
      <c r="B414" s="9"/>
      <c r="C414" s="9"/>
      <c r="D414" s="9"/>
      <c r="E414" s="9"/>
      <c r="F414" s="9"/>
      <c r="G414" s="59"/>
      <c r="H414" s="9"/>
    </row>
    <row r="415">
      <c r="A415" s="9"/>
      <c r="B415" s="9"/>
      <c r="C415" s="9"/>
      <c r="D415" s="9"/>
      <c r="E415" s="9"/>
      <c r="F415" s="9"/>
      <c r="G415" s="59"/>
      <c r="H415" s="9"/>
    </row>
    <row r="416">
      <c r="A416" s="9"/>
      <c r="B416" s="9"/>
      <c r="C416" s="9"/>
      <c r="D416" s="9"/>
      <c r="E416" s="9"/>
      <c r="F416" s="9"/>
      <c r="G416" s="59"/>
      <c r="H416" s="9"/>
    </row>
    <row r="417">
      <c r="A417" s="9"/>
      <c r="B417" s="9"/>
      <c r="C417" s="9"/>
      <c r="D417" s="9"/>
      <c r="E417" s="9"/>
      <c r="F417" s="9"/>
      <c r="G417" s="59"/>
      <c r="H417" s="9"/>
    </row>
    <row r="418">
      <c r="A418" s="9"/>
      <c r="B418" s="9"/>
      <c r="C418" s="9"/>
      <c r="D418" s="9"/>
      <c r="E418" s="9"/>
      <c r="F418" s="9"/>
      <c r="G418" s="59"/>
      <c r="H418" s="9"/>
    </row>
    <row r="419">
      <c r="A419" s="9"/>
      <c r="B419" s="9"/>
      <c r="C419" s="9"/>
      <c r="D419" s="9"/>
      <c r="E419" s="9"/>
      <c r="F419" s="9"/>
      <c r="G419" s="59"/>
      <c r="H419" s="9"/>
    </row>
    <row r="420">
      <c r="A420" s="9"/>
      <c r="B420" s="9"/>
      <c r="C420" s="9"/>
      <c r="D420" s="9"/>
      <c r="E420" s="9"/>
      <c r="F420" s="9"/>
      <c r="G420" s="59"/>
      <c r="H420" s="9"/>
    </row>
    <row r="421">
      <c r="A421" s="9"/>
      <c r="B421" s="9"/>
      <c r="C421" s="9"/>
      <c r="D421" s="9"/>
      <c r="E421" s="9"/>
      <c r="F421" s="9"/>
      <c r="G421" s="59"/>
      <c r="H421" s="9"/>
    </row>
    <row r="422">
      <c r="A422" s="9"/>
      <c r="B422" s="9"/>
      <c r="C422" s="9"/>
      <c r="D422" s="9"/>
      <c r="E422" s="9"/>
      <c r="F422" s="9"/>
      <c r="G422" s="59"/>
      <c r="H422" s="9"/>
    </row>
    <row r="423">
      <c r="A423" s="9"/>
      <c r="B423" s="9"/>
      <c r="C423" s="9"/>
      <c r="D423" s="9"/>
      <c r="E423" s="9"/>
      <c r="F423" s="9"/>
      <c r="G423" s="59"/>
      <c r="H423" s="9"/>
    </row>
    <row r="424">
      <c r="A424" s="9"/>
      <c r="B424" s="9"/>
      <c r="C424" s="9"/>
      <c r="D424" s="9"/>
      <c r="E424" s="9"/>
      <c r="F424" s="9"/>
      <c r="G424" s="59"/>
      <c r="H424" s="9"/>
    </row>
    <row r="425">
      <c r="A425" s="9"/>
      <c r="B425" s="9"/>
      <c r="C425" s="9"/>
      <c r="D425" s="9"/>
      <c r="E425" s="9"/>
      <c r="F425" s="9"/>
      <c r="G425" s="59"/>
      <c r="H425" s="9"/>
    </row>
    <row r="426">
      <c r="A426" s="9"/>
      <c r="B426" s="9"/>
      <c r="C426" s="9"/>
      <c r="D426" s="9"/>
      <c r="E426" s="9"/>
      <c r="F426" s="9"/>
      <c r="G426" s="59"/>
      <c r="H426" s="9"/>
    </row>
    <row r="427">
      <c r="A427" s="9"/>
      <c r="B427" s="9"/>
      <c r="C427" s="9"/>
      <c r="D427" s="9"/>
      <c r="E427" s="9"/>
      <c r="F427" s="9"/>
      <c r="G427" s="59"/>
      <c r="H427" s="9"/>
    </row>
    <row r="428">
      <c r="A428" s="9"/>
      <c r="B428" s="9"/>
      <c r="C428" s="9"/>
      <c r="D428" s="9"/>
      <c r="E428" s="9"/>
      <c r="F428" s="9"/>
      <c r="G428" s="59"/>
      <c r="H428" s="9"/>
    </row>
    <row r="429">
      <c r="A429" s="9"/>
      <c r="B429" s="9"/>
      <c r="C429" s="9"/>
      <c r="D429" s="9"/>
      <c r="E429" s="9"/>
      <c r="F429" s="9"/>
      <c r="G429" s="59"/>
      <c r="H429" s="9"/>
    </row>
    <row r="430">
      <c r="A430" s="9"/>
      <c r="B430" s="9"/>
      <c r="C430" s="9"/>
      <c r="D430" s="9"/>
      <c r="E430" s="9"/>
      <c r="F430" s="9"/>
      <c r="G430" s="59"/>
      <c r="H430" s="9"/>
    </row>
    <row r="431">
      <c r="A431" s="9"/>
      <c r="B431" s="9"/>
      <c r="C431" s="9"/>
      <c r="D431" s="9"/>
      <c r="E431" s="9"/>
      <c r="F431" s="9"/>
      <c r="G431" s="59"/>
      <c r="H431" s="9"/>
    </row>
    <row r="432">
      <c r="A432" s="9"/>
      <c r="B432" s="9"/>
      <c r="C432" s="9"/>
      <c r="D432" s="9"/>
      <c r="E432" s="9"/>
      <c r="F432" s="9"/>
      <c r="G432" s="59"/>
      <c r="H432" s="9"/>
    </row>
    <row r="433">
      <c r="A433" s="9"/>
      <c r="B433" s="9"/>
      <c r="C433" s="9"/>
      <c r="D433" s="9"/>
      <c r="E433" s="9"/>
      <c r="F433" s="9"/>
      <c r="G433" s="59"/>
      <c r="H433" s="9"/>
    </row>
    <row r="434">
      <c r="A434" s="9"/>
      <c r="B434" s="9"/>
      <c r="C434" s="9"/>
      <c r="D434" s="9"/>
      <c r="E434" s="9"/>
      <c r="F434" s="9"/>
      <c r="G434" s="59"/>
      <c r="H434" s="9"/>
    </row>
    <row r="435">
      <c r="A435" s="9"/>
      <c r="B435" s="9"/>
      <c r="C435" s="9"/>
      <c r="D435" s="9"/>
      <c r="E435" s="9"/>
      <c r="F435" s="9"/>
      <c r="G435" s="59"/>
      <c r="H435" s="9"/>
    </row>
    <row r="436">
      <c r="A436" s="9"/>
      <c r="B436" s="9"/>
      <c r="C436" s="9"/>
      <c r="D436" s="9"/>
      <c r="E436" s="9"/>
      <c r="F436" s="9"/>
      <c r="G436" s="59"/>
      <c r="H436" s="9"/>
    </row>
    <row r="437">
      <c r="A437" s="9"/>
      <c r="B437" s="9"/>
      <c r="C437" s="9"/>
      <c r="D437" s="9"/>
      <c r="E437" s="9"/>
      <c r="F437" s="9"/>
      <c r="G437" s="59"/>
      <c r="H437" s="9"/>
    </row>
    <row r="438">
      <c r="A438" s="9"/>
      <c r="B438" s="9"/>
      <c r="C438" s="9"/>
      <c r="D438" s="9"/>
      <c r="E438" s="9"/>
      <c r="F438" s="9"/>
      <c r="G438" s="59"/>
      <c r="H438" s="9"/>
    </row>
    <row r="439">
      <c r="A439" s="9"/>
      <c r="B439" s="9"/>
      <c r="C439" s="9"/>
      <c r="D439" s="9"/>
      <c r="E439" s="9"/>
      <c r="F439" s="9"/>
      <c r="G439" s="59"/>
      <c r="H439" s="9"/>
    </row>
    <row r="440">
      <c r="A440" s="9"/>
      <c r="B440" s="9"/>
      <c r="C440" s="9"/>
      <c r="D440" s="9"/>
      <c r="E440" s="9"/>
      <c r="F440" s="9"/>
      <c r="G440" s="59"/>
      <c r="H440" s="9"/>
    </row>
    <row r="441">
      <c r="A441" s="9"/>
      <c r="B441" s="9"/>
      <c r="C441" s="9"/>
      <c r="D441" s="9"/>
      <c r="E441" s="9"/>
      <c r="F441" s="9"/>
      <c r="G441" s="59"/>
      <c r="H441" s="9"/>
    </row>
    <row r="442">
      <c r="A442" s="9"/>
      <c r="B442" s="9"/>
      <c r="C442" s="9"/>
      <c r="D442" s="9"/>
      <c r="E442" s="9"/>
      <c r="F442" s="9"/>
      <c r="G442" s="59"/>
      <c r="H442" s="9"/>
    </row>
    <row r="443">
      <c r="A443" s="9"/>
      <c r="B443" s="9"/>
      <c r="C443" s="9"/>
      <c r="D443" s="9"/>
      <c r="E443" s="9"/>
      <c r="F443" s="9"/>
      <c r="G443" s="59"/>
      <c r="H443" s="9"/>
    </row>
    <row r="444">
      <c r="A444" s="9"/>
      <c r="B444" s="9"/>
      <c r="C444" s="9"/>
      <c r="D444" s="9"/>
      <c r="E444" s="9"/>
      <c r="F444" s="9"/>
      <c r="G444" s="59"/>
      <c r="H444" s="9"/>
    </row>
    <row r="445">
      <c r="A445" s="9"/>
      <c r="B445" s="9"/>
      <c r="C445" s="9"/>
      <c r="D445" s="9"/>
      <c r="E445" s="9"/>
      <c r="F445" s="9"/>
      <c r="G445" s="59"/>
      <c r="H445" s="9"/>
    </row>
    <row r="446">
      <c r="A446" s="9"/>
      <c r="B446" s="9"/>
      <c r="C446" s="9"/>
      <c r="D446" s="9"/>
      <c r="E446" s="9"/>
      <c r="F446" s="9"/>
      <c r="G446" s="59"/>
      <c r="H446" s="9"/>
    </row>
    <row r="447">
      <c r="A447" s="9"/>
      <c r="B447" s="9"/>
      <c r="C447" s="9"/>
      <c r="D447" s="9"/>
      <c r="E447" s="9"/>
      <c r="F447" s="9"/>
      <c r="G447" s="59"/>
      <c r="H447" s="9"/>
    </row>
    <row r="448">
      <c r="A448" s="9"/>
      <c r="B448" s="9"/>
      <c r="C448" s="9"/>
      <c r="D448" s="9"/>
      <c r="E448" s="9"/>
      <c r="F448" s="9"/>
      <c r="G448" s="59"/>
      <c r="H448" s="9"/>
    </row>
    <row r="449">
      <c r="A449" s="9"/>
      <c r="B449" s="9"/>
      <c r="C449" s="9"/>
      <c r="D449" s="9"/>
      <c r="E449" s="9"/>
      <c r="F449" s="9"/>
      <c r="G449" s="59"/>
      <c r="H449" s="9"/>
    </row>
    <row r="450">
      <c r="A450" s="9"/>
      <c r="B450" s="9"/>
      <c r="C450" s="9"/>
      <c r="D450" s="9"/>
      <c r="E450" s="9"/>
      <c r="F450" s="9"/>
      <c r="G450" s="59"/>
      <c r="H450" s="9"/>
    </row>
    <row r="451">
      <c r="A451" s="9"/>
      <c r="B451" s="9"/>
      <c r="C451" s="9"/>
      <c r="D451" s="9"/>
      <c r="E451" s="9"/>
      <c r="F451" s="9"/>
      <c r="G451" s="59"/>
      <c r="H451" s="9"/>
    </row>
    <row r="452">
      <c r="A452" s="9"/>
      <c r="B452" s="9"/>
      <c r="C452" s="9"/>
      <c r="D452" s="9"/>
      <c r="E452" s="9"/>
      <c r="F452" s="9"/>
      <c r="G452" s="59"/>
      <c r="H452" s="9"/>
    </row>
    <row r="453">
      <c r="A453" s="9"/>
      <c r="B453" s="9"/>
      <c r="C453" s="9"/>
      <c r="D453" s="9"/>
      <c r="E453" s="9"/>
      <c r="F453" s="9"/>
      <c r="G453" s="59"/>
      <c r="H453" s="9"/>
    </row>
    <row r="454">
      <c r="A454" s="9"/>
      <c r="B454" s="9"/>
      <c r="C454" s="9"/>
      <c r="D454" s="9"/>
      <c r="E454" s="9"/>
      <c r="F454" s="9"/>
      <c r="G454" s="59"/>
      <c r="H454" s="9"/>
    </row>
    <row r="455">
      <c r="A455" s="9"/>
      <c r="B455" s="9"/>
      <c r="C455" s="9"/>
      <c r="D455" s="9"/>
      <c r="E455" s="9"/>
      <c r="F455" s="9"/>
      <c r="G455" s="59"/>
      <c r="H455" s="9"/>
    </row>
    <row r="456">
      <c r="A456" s="9"/>
      <c r="B456" s="9"/>
      <c r="C456" s="9"/>
      <c r="D456" s="9"/>
      <c r="E456" s="9"/>
      <c r="F456" s="9"/>
      <c r="G456" s="59"/>
      <c r="H456" s="9"/>
    </row>
    <row r="457">
      <c r="A457" s="9"/>
      <c r="B457" s="9"/>
      <c r="C457" s="9"/>
      <c r="D457" s="9"/>
      <c r="E457" s="9"/>
      <c r="F457" s="9"/>
      <c r="G457" s="59"/>
      <c r="H457" s="9"/>
    </row>
    <row r="458">
      <c r="A458" s="9"/>
      <c r="B458" s="9"/>
      <c r="C458" s="9"/>
      <c r="D458" s="9"/>
      <c r="E458" s="9"/>
      <c r="F458" s="9"/>
      <c r="G458" s="59"/>
      <c r="H458" s="9"/>
    </row>
    <row r="459">
      <c r="A459" s="9"/>
      <c r="B459" s="9"/>
      <c r="C459" s="9"/>
      <c r="D459" s="9"/>
      <c r="E459" s="9"/>
      <c r="F459" s="9"/>
      <c r="G459" s="59"/>
      <c r="H459" s="9"/>
    </row>
    <row r="460">
      <c r="A460" s="9"/>
      <c r="B460" s="9"/>
      <c r="C460" s="9"/>
      <c r="D460" s="9"/>
      <c r="E460" s="9"/>
      <c r="F460" s="9"/>
      <c r="G460" s="59"/>
      <c r="H460" s="9"/>
    </row>
    <row r="461">
      <c r="A461" s="9"/>
      <c r="B461" s="9"/>
      <c r="C461" s="9"/>
      <c r="D461" s="9"/>
      <c r="E461" s="9"/>
      <c r="F461" s="9"/>
      <c r="G461" s="59"/>
      <c r="H461" s="9"/>
    </row>
    <row r="462">
      <c r="A462" s="9"/>
      <c r="B462" s="9"/>
      <c r="C462" s="9"/>
      <c r="D462" s="9"/>
      <c r="E462" s="9"/>
      <c r="F462" s="9"/>
      <c r="G462" s="59"/>
      <c r="H462" s="9"/>
    </row>
    <row r="463">
      <c r="A463" s="9"/>
      <c r="B463" s="9"/>
      <c r="C463" s="9"/>
      <c r="D463" s="9"/>
      <c r="E463" s="9"/>
      <c r="F463" s="9"/>
      <c r="G463" s="59"/>
      <c r="H463" s="9"/>
    </row>
    <row r="464">
      <c r="A464" s="9"/>
      <c r="B464" s="9"/>
      <c r="C464" s="9"/>
      <c r="D464" s="9"/>
      <c r="E464" s="9"/>
      <c r="F464" s="9"/>
      <c r="G464" s="59"/>
      <c r="H464" s="9"/>
    </row>
    <row r="465">
      <c r="A465" s="9"/>
      <c r="B465" s="9"/>
      <c r="C465" s="9"/>
      <c r="D465" s="9"/>
      <c r="E465" s="9"/>
      <c r="F465" s="9"/>
      <c r="G465" s="59"/>
      <c r="H465" s="9"/>
    </row>
    <row r="466">
      <c r="A466" s="9"/>
      <c r="B466" s="9"/>
      <c r="C466" s="9"/>
      <c r="D466" s="9"/>
      <c r="E466" s="9"/>
      <c r="F466" s="9"/>
      <c r="G466" s="59"/>
      <c r="H466" s="9"/>
    </row>
    <row r="467">
      <c r="A467" s="9"/>
      <c r="B467" s="9"/>
      <c r="C467" s="9"/>
      <c r="D467" s="9"/>
      <c r="E467" s="9"/>
      <c r="F467" s="9"/>
      <c r="G467" s="59"/>
      <c r="H467" s="9"/>
    </row>
    <row r="468">
      <c r="A468" s="9"/>
      <c r="B468" s="9"/>
      <c r="C468" s="9"/>
      <c r="D468" s="9"/>
      <c r="E468" s="9"/>
      <c r="F468" s="9"/>
      <c r="G468" s="59"/>
      <c r="H468" s="9"/>
    </row>
    <row r="469">
      <c r="A469" s="9"/>
      <c r="B469" s="9"/>
      <c r="C469" s="9"/>
      <c r="D469" s="9"/>
      <c r="E469" s="9"/>
      <c r="F469" s="9"/>
      <c r="G469" s="59"/>
      <c r="H469" s="9"/>
    </row>
    <row r="470">
      <c r="A470" s="9"/>
      <c r="B470" s="9"/>
      <c r="C470" s="9"/>
      <c r="D470" s="9"/>
      <c r="E470" s="9"/>
      <c r="F470" s="9"/>
      <c r="G470" s="59"/>
      <c r="H470" s="9"/>
    </row>
    <row r="471">
      <c r="A471" s="9"/>
      <c r="B471" s="9"/>
      <c r="C471" s="9"/>
      <c r="D471" s="9"/>
      <c r="E471" s="9"/>
      <c r="F471" s="9"/>
      <c r="G471" s="59"/>
      <c r="H471" s="9"/>
    </row>
    <row r="472">
      <c r="A472" s="9"/>
      <c r="B472" s="9"/>
      <c r="C472" s="9"/>
      <c r="D472" s="9"/>
      <c r="E472" s="9"/>
      <c r="F472" s="9"/>
      <c r="G472" s="59"/>
      <c r="H472" s="9"/>
    </row>
    <row r="473">
      <c r="A473" s="9"/>
      <c r="B473" s="9"/>
      <c r="C473" s="9"/>
      <c r="D473" s="9"/>
      <c r="E473" s="9"/>
      <c r="F473" s="9"/>
      <c r="G473" s="59"/>
      <c r="H473" s="9"/>
    </row>
    <row r="474">
      <c r="A474" s="9"/>
      <c r="B474" s="9"/>
      <c r="C474" s="9"/>
      <c r="D474" s="9"/>
      <c r="E474" s="9"/>
      <c r="F474" s="9"/>
      <c r="G474" s="59"/>
      <c r="H474" s="9"/>
    </row>
    <row r="475">
      <c r="A475" s="9"/>
      <c r="B475" s="9"/>
      <c r="C475" s="9"/>
      <c r="D475" s="9"/>
      <c r="E475" s="9"/>
      <c r="F475" s="9"/>
      <c r="G475" s="59"/>
      <c r="H475" s="9"/>
    </row>
    <row r="476">
      <c r="A476" s="9"/>
      <c r="B476" s="9"/>
      <c r="C476" s="9"/>
      <c r="D476" s="9"/>
      <c r="E476" s="9"/>
      <c r="F476" s="9"/>
      <c r="G476" s="59"/>
      <c r="H476" s="9"/>
    </row>
    <row r="477">
      <c r="A477" s="9"/>
      <c r="B477" s="9"/>
      <c r="C477" s="9"/>
      <c r="D477" s="9"/>
      <c r="E477" s="9"/>
      <c r="F477" s="9"/>
      <c r="G477" s="59"/>
      <c r="H477" s="9"/>
    </row>
    <row r="478">
      <c r="A478" s="9"/>
      <c r="B478" s="9"/>
      <c r="C478" s="9"/>
      <c r="D478" s="9"/>
      <c r="E478" s="9"/>
      <c r="F478" s="9"/>
      <c r="G478" s="59"/>
      <c r="H478" s="9"/>
    </row>
    <row r="479">
      <c r="A479" s="9"/>
      <c r="B479" s="9"/>
      <c r="C479" s="9"/>
      <c r="D479" s="9"/>
      <c r="E479" s="9"/>
      <c r="F479" s="9"/>
      <c r="G479" s="59"/>
      <c r="H479" s="9"/>
    </row>
    <row r="480">
      <c r="A480" s="9"/>
      <c r="B480" s="9"/>
      <c r="C480" s="9"/>
      <c r="D480" s="9"/>
      <c r="E480" s="9"/>
      <c r="F480" s="9"/>
      <c r="G480" s="59"/>
      <c r="H480" s="9"/>
    </row>
    <row r="481">
      <c r="A481" s="9"/>
      <c r="B481" s="9"/>
      <c r="C481" s="9"/>
      <c r="D481" s="9"/>
      <c r="E481" s="9"/>
      <c r="F481" s="9"/>
      <c r="G481" s="59"/>
      <c r="H481" s="9"/>
    </row>
    <row r="482">
      <c r="A482" s="9"/>
      <c r="B482" s="9"/>
      <c r="C482" s="9"/>
      <c r="D482" s="9"/>
      <c r="E482" s="9"/>
      <c r="F482" s="9"/>
      <c r="G482" s="59"/>
      <c r="H482" s="9"/>
    </row>
    <row r="483">
      <c r="A483" s="9"/>
      <c r="B483" s="9"/>
      <c r="C483" s="9"/>
      <c r="D483" s="9"/>
      <c r="E483" s="9"/>
      <c r="F483" s="9"/>
      <c r="G483" s="59"/>
      <c r="H483" s="9"/>
    </row>
    <row r="484">
      <c r="A484" s="9"/>
      <c r="B484" s="9"/>
      <c r="C484" s="9"/>
      <c r="D484" s="9"/>
      <c r="E484" s="9"/>
      <c r="F484" s="9"/>
      <c r="G484" s="59"/>
      <c r="H484" s="9"/>
    </row>
    <row r="485">
      <c r="A485" s="9"/>
      <c r="B485" s="9"/>
      <c r="C485" s="9"/>
      <c r="D485" s="9"/>
      <c r="E485" s="9"/>
      <c r="F485" s="9"/>
      <c r="G485" s="59"/>
      <c r="H485" s="9"/>
    </row>
    <row r="486">
      <c r="A486" s="9"/>
      <c r="B486" s="9"/>
      <c r="C486" s="9"/>
      <c r="D486" s="9"/>
      <c r="E486" s="9"/>
      <c r="F486" s="9"/>
      <c r="G486" s="59"/>
      <c r="H486" s="9"/>
    </row>
    <row r="487">
      <c r="A487" s="9"/>
      <c r="B487" s="9"/>
      <c r="C487" s="9"/>
      <c r="D487" s="9"/>
      <c r="E487" s="9"/>
      <c r="F487" s="9"/>
      <c r="G487" s="59"/>
      <c r="H487" s="9"/>
    </row>
    <row r="488">
      <c r="A488" s="9"/>
      <c r="B488" s="9"/>
      <c r="C488" s="9"/>
      <c r="D488" s="9"/>
      <c r="E488" s="9"/>
      <c r="F488" s="9"/>
      <c r="G488" s="59"/>
      <c r="H488" s="9"/>
    </row>
    <row r="489">
      <c r="A489" s="9"/>
      <c r="B489" s="9"/>
      <c r="C489" s="9"/>
      <c r="D489" s="9"/>
      <c r="E489" s="9"/>
      <c r="F489" s="9"/>
      <c r="G489" s="59"/>
      <c r="H489" s="9"/>
    </row>
    <row r="490">
      <c r="A490" s="9"/>
      <c r="B490" s="9"/>
      <c r="C490" s="9"/>
      <c r="D490" s="9"/>
      <c r="E490" s="9"/>
      <c r="F490" s="9"/>
      <c r="G490" s="59"/>
      <c r="H490" s="9"/>
    </row>
    <row r="491">
      <c r="A491" s="9"/>
      <c r="B491" s="9"/>
      <c r="C491" s="9"/>
      <c r="D491" s="9"/>
      <c r="E491" s="9"/>
      <c r="F491" s="9"/>
      <c r="G491" s="59"/>
      <c r="H491" s="9"/>
    </row>
    <row r="492">
      <c r="A492" s="9"/>
      <c r="B492" s="9"/>
      <c r="C492" s="9"/>
      <c r="D492" s="9"/>
      <c r="E492" s="9"/>
      <c r="F492" s="9"/>
      <c r="G492" s="59"/>
      <c r="H492" s="9"/>
    </row>
    <row r="493">
      <c r="A493" s="9"/>
      <c r="B493" s="9"/>
      <c r="C493" s="9"/>
      <c r="D493" s="9"/>
      <c r="E493" s="9"/>
      <c r="F493" s="9"/>
      <c r="G493" s="59"/>
      <c r="H493" s="9"/>
    </row>
    <row r="494">
      <c r="A494" s="9"/>
      <c r="B494" s="9"/>
      <c r="C494" s="9"/>
      <c r="D494" s="9"/>
      <c r="E494" s="9"/>
      <c r="F494" s="9"/>
      <c r="G494" s="59"/>
      <c r="H494" s="9"/>
    </row>
    <row r="495">
      <c r="A495" s="9"/>
      <c r="B495" s="9"/>
      <c r="C495" s="9"/>
      <c r="D495" s="9"/>
      <c r="E495" s="9"/>
      <c r="F495" s="9"/>
      <c r="G495" s="59"/>
      <c r="H495" s="9"/>
    </row>
    <row r="496">
      <c r="A496" s="9"/>
      <c r="B496" s="9"/>
      <c r="C496" s="9"/>
      <c r="D496" s="9"/>
      <c r="E496" s="9"/>
      <c r="F496" s="9"/>
      <c r="G496" s="59"/>
      <c r="H496" s="9"/>
    </row>
    <row r="497">
      <c r="A497" s="9"/>
      <c r="B497" s="9"/>
      <c r="C497" s="9"/>
      <c r="D497" s="9"/>
      <c r="E497" s="9"/>
      <c r="F497" s="9"/>
      <c r="G497" s="59"/>
      <c r="H497" s="9"/>
    </row>
    <row r="498">
      <c r="A498" s="9"/>
      <c r="B498" s="9"/>
      <c r="C498" s="9"/>
      <c r="D498" s="9"/>
      <c r="E498" s="9"/>
      <c r="F498" s="9"/>
      <c r="G498" s="59"/>
      <c r="H498" s="9"/>
    </row>
    <row r="499">
      <c r="A499" s="9"/>
      <c r="B499" s="9"/>
      <c r="C499" s="9"/>
      <c r="D499" s="9"/>
      <c r="E499" s="9"/>
      <c r="F499" s="9"/>
      <c r="G499" s="59"/>
      <c r="H499" s="9"/>
    </row>
    <row r="500">
      <c r="A500" s="9"/>
      <c r="B500" s="9"/>
      <c r="C500" s="9"/>
      <c r="D500" s="9"/>
      <c r="E500" s="9"/>
      <c r="F500" s="9"/>
      <c r="G500" s="59"/>
      <c r="H500" s="9"/>
    </row>
    <row r="501">
      <c r="A501" s="9"/>
      <c r="B501" s="9"/>
      <c r="C501" s="9"/>
      <c r="D501" s="9"/>
      <c r="E501" s="9"/>
      <c r="F501" s="9"/>
      <c r="G501" s="59"/>
      <c r="H501" s="9"/>
    </row>
    <row r="502">
      <c r="A502" s="9"/>
      <c r="B502" s="9"/>
      <c r="C502" s="9"/>
      <c r="D502" s="9"/>
      <c r="E502" s="9"/>
      <c r="F502" s="9"/>
      <c r="G502" s="59"/>
      <c r="H502" s="9"/>
    </row>
    <row r="503">
      <c r="A503" s="9"/>
      <c r="B503" s="9"/>
      <c r="C503" s="9"/>
      <c r="D503" s="9"/>
      <c r="E503" s="9"/>
      <c r="F503" s="9"/>
      <c r="G503" s="59"/>
      <c r="H503" s="9"/>
    </row>
    <row r="504">
      <c r="A504" s="9"/>
      <c r="B504" s="9"/>
      <c r="C504" s="9"/>
      <c r="D504" s="9"/>
      <c r="E504" s="9"/>
      <c r="F504" s="9"/>
      <c r="G504" s="59"/>
      <c r="H504" s="9"/>
    </row>
    <row r="505">
      <c r="A505" s="9"/>
      <c r="B505" s="9"/>
      <c r="C505" s="9"/>
      <c r="D505" s="9"/>
      <c r="E505" s="9"/>
      <c r="F505" s="9"/>
      <c r="G505" s="59"/>
      <c r="H505" s="9"/>
    </row>
    <row r="506">
      <c r="A506" s="9"/>
      <c r="B506" s="9"/>
      <c r="C506" s="9"/>
      <c r="D506" s="9"/>
      <c r="E506" s="9"/>
      <c r="F506" s="9"/>
      <c r="G506" s="59"/>
      <c r="H506" s="9"/>
    </row>
    <row r="507">
      <c r="A507" s="9"/>
      <c r="B507" s="9"/>
      <c r="C507" s="9"/>
      <c r="D507" s="9"/>
      <c r="E507" s="9"/>
      <c r="F507" s="9"/>
      <c r="G507" s="59"/>
      <c r="H507" s="9"/>
    </row>
    <row r="508">
      <c r="A508" s="9"/>
      <c r="B508" s="9"/>
      <c r="C508" s="9"/>
      <c r="D508" s="9"/>
      <c r="E508" s="9"/>
      <c r="F508" s="9"/>
      <c r="G508" s="59"/>
      <c r="H508" s="9"/>
    </row>
    <row r="509">
      <c r="A509" s="9"/>
      <c r="B509" s="9"/>
      <c r="C509" s="9"/>
      <c r="D509" s="9"/>
      <c r="E509" s="9"/>
      <c r="F509" s="9"/>
      <c r="G509" s="59"/>
      <c r="H509" s="9"/>
    </row>
    <row r="510">
      <c r="A510" s="9"/>
      <c r="B510" s="9"/>
      <c r="C510" s="9"/>
      <c r="D510" s="9"/>
      <c r="E510" s="9"/>
      <c r="F510" s="9"/>
      <c r="G510" s="59"/>
      <c r="H510" s="9"/>
    </row>
    <row r="511">
      <c r="A511" s="9"/>
      <c r="B511" s="9"/>
      <c r="C511" s="9"/>
      <c r="D511" s="9"/>
      <c r="E511" s="9"/>
      <c r="F511" s="9"/>
      <c r="G511" s="59"/>
      <c r="H511" s="9"/>
    </row>
    <row r="512">
      <c r="A512" s="9"/>
      <c r="B512" s="9"/>
      <c r="C512" s="9"/>
      <c r="D512" s="9"/>
      <c r="E512" s="9"/>
      <c r="F512" s="9"/>
      <c r="G512" s="59"/>
      <c r="H512" s="9"/>
    </row>
    <row r="513">
      <c r="A513" s="9"/>
      <c r="B513" s="9"/>
      <c r="C513" s="9"/>
      <c r="D513" s="9"/>
      <c r="E513" s="9"/>
      <c r="F513" s="9"/>
      <c r="G513" s="59"/>
      <c r="H513" s="9"/>
    </row>
    <row r="514">
      <c r="A514" s="9"/>
      <c r="B514" s="9"/>
      <c r="C514" s="9"/>
      <c r="D514" s="9"/>
      <c r="E514" s="9"/>
      <c r="F514" s="9"/>
      <c r="G514" s="59"/>
      <c r="H514" s="9"/>
    </row>
    <row r="515">
      <c r="A515" s="9"/>
      <c r="B515" s="9"/>
      <c r="C515" s="9"/>
      <c r="D515" s="9"/>
      <c r="E515" s="9"/>
      <c r="F515" s="9"/>
      <c r="G515" s="59"/>
      <c r="H515" s="9"/>
    </row>
    <row r="516">
      <c r="A516" s="9"/>
      <c r="B516" s="9"/>
      <c r="C516" s="9"/>
      <c r="D516" s="9"/>
      <c r="E516" s="9"/>
      <c r="F516" s="9"/>
      <c r="G516" s="59"/>
      <c r="H516" s="9"/>
    </row>
    <row r="517">
      <c r="A517" s="9"/>
      <c r="B517" s="9"/>
      <c r="C517" s="9"/>
      <c r="D517" s="9"/>
      <c r="E517" s="9"/>
      <c r="F517" s="9"/>
      <c r="G517" s="59"/>
      <c r="H517" s="9"/>
    </row>
    <row r="518">
      <c r="A518" s="9"/>
      <c r="B518" s="9"/>
      <c r="C518" s="9"/>
      <c r="D518" s="9"/>
      <c r="E518" s="9"/>
      <c r="F518" s="9"/>
      <c r="G518" s="59"/>
      <c r="H518" s="9"/>
    </row>
    <row r="519">
      <c r="A519" s="9"/>
      <c r="B519" s="9"/>
      <c r="C519" s="9"/>
      <c r="D519" s="9"/>
      <c r="E519" s="9"/>
      <c r="F519" s="9"/>
      <c r="G519" s="59"/>
      <c r="H519" s="9"/>
    </row>
    <row r="520">
      <c r="A520" s="9"/>
      <c r="B520" s="9"/>
      <c r="C520" s="9"/>
      <c r="D520" s="9"/>
      <c r="E520" s="9"/>
      <c r="F520" s="9"/>
      <c r="G520" s="59"/>
      <c r="H520" s="9"/>
    </row>
    <row r="521">
      <c r="A521" s="9"/>
      <c r="B521" s="9"/>
      <c r="C521" s="9"/>
      <c r="D521" s="9"/>
      <c r="E521" s="9"/>
      <c r="F521" s="9"/>
      <c r="G521" s="59"/>
      <c r="H521" s="9"/>
    </row>
    <row r="522">
      <c r="A522" s="9"/>
      <c r="B522" s="9"/>
      <c r="C522" s="9"/>
      <c r="D522" s="9"/>
      <c r="E522" s="9"/>
      <c r="F522" s="9"/>
      <c r="G522" s="59"/>
      <c r="H522" s="9"/>
    </row>
    <row r="523">
      <c r="A523" s="9"/>
      <c r="B523" s="9"/>
      <c r="C523" s="9"/>
      <c r="D523" s="9"/>
      <c r="E523" s="9"/>
      <c r="F523" s="9"/>
      <c r="G523" s="59"/>
      <c r="H523" s="9"/>
    </row>
    <row r="524">
      <c r="A524" s="9"/>
      <c r="B524" s="9"/>
      <c r="C524" s="9"/>
      <c r="D524" s="9"/>
      <c r="E524" s="9"/>
      <c r="F524" s="9"/>
      <c r="G524" s="59"/>
      <c r="H524" s="9"/>
    </row>
    <row r="525">
      <c r="A525" s="9"/>
      <c r="B525" s="9"/>
      <c r="C525" s="9"/>
      <c r="D525" s="9"/>
      <c r="E525" s="9"/>
      <c r="F525" s="9"/>
      <c r="G525" s="59"/>
      <c r="H525" s="9"/>
    </row>
    <row r="526">
      <c r="A526" s="9"/>
      <c r="B526" s="9"/>
      <c r="C526" s="9"/>
      <c r="D526" s="9"/>
      <c r="E526" s="9"/>
      <c r="F526" s="9"/>
      <c r="G526" s="59"/>
      <c r="H526" s="9"/>
    </row>
    <row r="527">
      <c r="A527" s="9"/>
      <c r="B527" s="9"/>
      <c r="C527" s="9"/>
      <c r="D527" s="9"/>
      <c r="E527" s="9"/>
      <c r="F527" s="9"/>
      <c r="G527" s="59"/>
      <c r="H527" s="9"/>
    </row>
    <row r="528">
      <c r="A528" s="9"/>
      <c r="B528" s="9"/>
      <c r="C528" s="9"/>
      <c r="D528" s="9"/>
      <c r="E528" s="9"/>
      <c r="F528" s="9"/>
      <c r="G528" s="59"/>
      <c r="H528" s="9"/>
    </row>
    <row r="529">
      <c r="A529" s="9"/>
      <c r="B529" s="9"/>
      <c r="C529" s="9"/>
      <c r="D529" s="9"/>
      <c r="E529" s="9"/>
      <c r="F529" s="9"/>
      <c r="G529" s="59"/>
      <c r="H529" s="9"/>
    </row>
    <row r="530">
      <c r="A530" s="9"/>
      <c r="B530" s="9"/>
      <c r="C530" s="9"/>
      <c r="D530" s="9"/>
      <c r="E530" s="9"/>
      <c r="F530" s="9"/>
      <c r="G530" s="59"/>
      <c r="H530" s="9"/>
    </row>
    <row r="531">
      <c r="A531" s="9"/>
      <c r="B531" s="9"/>
      <c r="C531" s="9"/>
      <c r="D531" s="9"/>
      <c r="E531" s="9"/>
      <c r="F531" s="9"/>
      <c r="G531" s="59"/>
      <c r="H531" s="9"/>
    </row>
    <row r="532">
      <c r="A532" s="9"/>
      <c r="B532" s="9"/>
      <c r="C532" s="9"/>
      <c r="D532" s="9"/>
      <c r="E532" s="9"/>
      <c r="F532" s="9"/>
      <c r="G532" s="59"/>
      <c r="H532" s="9"/>
    </row>
    <row r="533">
      <c r="A533" s="9"/>
      <c r="B533" s="9"/>
      <c r="C533" s="9"/>
      <c r="D533" s="9"/>
      <c r="E533" s="9"/>
      <c r="F533" s="9"/>
      <c r="G533" s="59"/>
      <c r="H533" s="9"/>
    </row>
    <row r="534">
      <c r="A534" s="9"/>
      <c r="B534" s="9"/>
      <c r="C534" s="9"/>
      <c r="D534" s="9"/>
      <c r="E534" s="9"/>
      <c r="F534" s="9"/>
      <c r="G534" s="59"/>
      <c r="H534" s="9"/>
    </row>
    <row r="535">
      <c r="A535" s="9"/>
      <c r="B535" s="9"/>
      <c r="C535" s="9"/>
      <c r="D535" s="9"/>
      <c r="E535" s="9"/>
      <c r="F535" s="9"/>
      <c r="G535" s="59"/>
      <c r="H535" s="9"/>
    </row>
    <row r="536">
      <c r="A536" s="9"/>
      <c r="B536" s="9"/>
      <c r="C536" s="9"/>
      <c r="D536" s="9"/>
      <c r="E536" s="9"/>
      <c r="F536" s="9"/>
      <c r="G536" s="59"/>
      <c r="H536" s="9"/>
    </row>
    <row r="537">
      <c r="A537" s="9"/>
      <c r="B537" s="9"/>
      <c r="C537" s="9"/>
      <c r="D537" s="9"/>
      <c r="E537" s="9"/>
      <c r="F537" s="9"/>
      <c r="G537" s="59"/>
      <c r="H537" s="9"/>
    </row>
    <row r="538">
      <c r="A538" s="9"/>
      <c r="B538" s="9"/>
      <c r="C538" s="9"/>
      <c r="D538" s="9"/>
      <c r="E538" s="9"/>
      <c r="F538" s="9"/>
      <c r="G538" s="59"/>
      <c r="H538" s="9"/>
    </row>
    <row r="539">
      <c r="A539" s="9"/>
      <c r="B539" s="9"/>
      <c r="C539" s="9"/>
      <c r="D539" s="9"/>
      <c r="E539" s="9"/>
      <c r="F539" s="9"/>
      <c r="G539" s="59"/>
      <c r="H539" s="9"/>
    </row>
    <row r="540">
      <c r="A540" s="9"/>
      <c r="B540" s="9"/>
      <c r="C540" s="9"/>
      <c r="D540" s="9"/>
      <c r="E540" s="9"/>
      <c r="F540" s="9"/>
      <c r="G540" s="59"/>
      <c r="H540" s="9"/>
    </row>
    <row r="541">
      <c r="A541" s="9"/>
      <c r="B541" s="9"/>
      <c r="C541" s="9"/>
      <c r="D541" s="9"/>
      <c r="E541" s="9"/>
      <c r="F541" s="9"/>
      <c r="G541" s="59"/>
      <c r="H541" s="9"/>
    </row>
    <row r="542">
      <c r="A542" s="9"/>
      <c r="B542" s="9"/>
      <c r="C542" s="9"/>
      <c r="D542" s="9"/>
      <c r="E542" s="9"/>
      <c r="F542" s="9"/>
      <c r="G542" s="59"/>
      <c r="H542" s="9"/>
    </row>
    <row r="543">
      <c r="A543" s="9"/>
      <c r="B543" s="9"/>
      <c r="C543" s="9"/>
      <c r="D543" s="9"/>
      <c r="E543" s="9"/>
      <c r="F543" s="9"/>
      <c r="G543" s="59"/>
      <c r="H543" s="9"/>
    </row>
    <row r="544">
      <c r="A544" s="9"/>
      <c r="B544" s="9"/>
      <c r="C544" s="9"/>
      <c r="D544" s="9"/>
      <c r="E544" s="9"/>
      <c r="F544" s="9"/>
      <c r="G544" s="59"/>
      <c r="H544" s="9"/>
    </row>
    <row r="545">
      <c r="A545" s="9"/>
      <c r="B545" s="9"/>
      <c r="C545" s="9"/>
      <c r="D545" s="9"/>
      <c r="E545" s="9"/>
      <c r="F545" s="9"/>
      <c r="G545" s="59"/>
      <c r="H545" s="9"/>
    </row>
    <row r="546">
      <c r="A546" s="9"/>
      <c r="B546" s="9"/>
      <c r="C546" s="9"/>
      <c r="D546" s="9"/>
      <c r="E546" s="9"/>
      <c r="F546" s="9"/>
      <c r="G546" s="59"/>
      <c r="H546" s="9"/>
    </row>
    <row r="547">
      <c r="A547" s="9"/>
      <c r="B547" s="9"/>
      <c r="C547" s="9"/>
      <c r="D547" s="9"/>
      <c r="E547" s="9"/>
      <c r="F547" s="9"/>
      <c r="G547" s="59"/>
      <c r="H547" s="9"/>
    </row>
    <row r="548">
      <c r="A548" s="9"/>
      <c r="B548" s="9"/>
      <c r="C548" s="9"/>
      <c r="D548" s="9"/>
      <c r="E548" s="9"/>
      <c r="F548" s="9"/>
      <c r="G548" s="59"/>
      <c r="H548" s="9"/>
    </row>
    <row r="549">
      <c r="A549" s="9"/>
      <c r="B549" s="9"/>
      <c r="C549" s="9"/>
      <c r="D549" s="9"/>
      <c r="E549" s="9"/>
      <c r="F549" s="9"/>
      <c r="G549" s="59"/>
      <c r="H549" s="9"/>
    </row>
    <row r="550">
      <c r="A550" s="9"/>
      <c r="B550" s="9"/>
      <c r="C550" s="9"/>
      <c r="D550" s="9"/>
      <c r="E550" s="9"/>
      <c r="F550" s="9"/>
      <c r="G550" s="59"/>
      <c r="H550" s="9"/>
    </row>
    <row r="551">
      <c r="A551" s="9"/>
      <c r="B551" s="9"/>
      <c r="C551" s="9"/>
      <c r="D551" s="9"/>
      <c r="E551" s="9"/>
      <c r="F551" s="9"/>
      <c r="G551" s="59"/>
      <c r="H551" s="9"/>
    </row>
    <row r="552">
      <c r="A552" s="9"/>
      <c r="B552" s="9"/>
      <c r="C552" s="9"/>
      <c r="D552" s="9"/>
      <c r="E552" s="9"/>
      <c r="F552" s="9"/>
      <c r="G552" s="59"/>
      <c r="H552" s="9"/>
    </row>
    <row r="553">
      <c r="A553" s="9"/>
      <c r="B553" s="9"/>
      <c r="C553" s="9"/>
      <c r="D553" s="9"/>
      <c r="E553" s="9"/>
      <c r="F553" s="9"/>
      <c r="G553" s="59"/>
      <c r="H553" s="9"/>
    </row>
    <row r="554">
      <c r="A554" s="9"/>
      <c r="B554" s="9"/>
      <c r="C554" s="9"/>
      <c r="D554" s="9"/>
      <c r="E554" s="9"/>
      <c r="F554" s="9"/>
      <c r="G554" s="59"/>
      <c r="H554" s="9"/>
    </row>
    <row r="555">
      <c r="A555" s="9"/>
      <c r="B555" s="9"/>
      <c r="C555" s="9"/>
      <c r="D555" s="9"/>
      <c r="E555" s="9"/>
      <c r="F555" s="9"/>
      <c r="G555" s="59"/>
      <c r="H555" s="9"/>
    </row>
    <row r="556">
      <c r="A556" s="9"/>
      <c r="B556" s="9"/>
      <c r="C556" s="9"/>
      <c r="D556" s="9"/>
      <c r="E556" s="9"/>
      <c r="F556" s="9"/>
      <c r="G556" s="59"/>
      <c r="H556" s="9"/>
    </row>
    <row r="557">
      <c r="A557" s="9"/>
      <c r="B557" s="9"/>
      <c r="C557" s="9"/>
      <c r="D557" s="9"/>
      <c r="E557" s="9"/>
      <c r="F557" s="9"/>
      <c r="G557" s="59"/>
      <c r="H557" s="9"/>
    </row>
    <row r="558">
      <c r="A558" s="9"/>
      <c r="B558" s="9"/>
      <c r="C558" s="9"/>
      <c r="D558" s="9"/>
      <c r="E558" s="9"/>
      <c r="F558" s="9"/>
      <c r="G558" s="59"/>
      <c r="H558" s="9"/>
    </row>
    <row r="559">
      <c r="A559" s="9"/>
      <c r="B559" s="9"/>
      <c r="C559" s="9"/>
      <c r="D559" s="9"/>
      <c r="E559" s="9"/>
      <c r="F559" s="9"/>
      <c r="G559" s="59"/>
      <c r="H559" s="9"/>
    </row>
    <row r="560">
      <c r="A560" s="9"/>
      <c r="B560" s="9"/>
      <c r="C560" s="9"/>
      <c r="D560" s="9"/>
      <c r="E560" s="9"/>
      <c r="F560" s="9"/>
      <c r="G560" s="59"/>
      <c r="H560" s="9"/>
    </row>
    <row r="561">
      <c r="A561" s="9"/>
      <c r="B561" s="9"/>
      <c r="C561" s="9"/>
      <c r="D561" s="9"/>
      <c r="E561" s="9"/>
      <c r="F561" s="9"/>
      <c r="G561" s="59"/>
      <c r="H561" s="9"/>
    </row>
    <row r="562">
      <c r="A562" s="9"/>
      <c r="B562" s="9"/>
      <c r="C562" s="9"/>
      <c r="D562" s="9"/>
      <c r="E562" s="9"/>
      <c r="F562" s="9"/>
      <c r="G562" s="59"/>
      <c r="H562" s="9"/>
    </row>
    <row r="563">
      <c r="A563" s="9"/>
      <c r="B563" s="9"/>
      <c r="C563" s="9"/>
      <c r="D563" s="9"/>
      <c r="E563" s="9"/>
      <c r="F563" s="9"/>
      <c r="G563" s="59"/>
      <c r="H563" s="9"/>
    </row>
    <row r="564">
      <c r="A564" s="9"/>
      <c r="B564" s="9"/>
      <c r="C564" s="9"/>
      <c r="D564" s="9"/>
      <c r="E564" s="9"/>
      <c r="F564" s="9"/>
      <c r="G564" s="59"/>
      <c r="H564" s="9"/>
    </row>
    <row r="565">
      <c r="A565" s="9"/>
      <c r="B565" s="9"/>
      <c r="C565" s="9"/>
      <c r="D565" s="9"/>
      <c r="E565" s="9"/>
      <c r="F565" s="9"/>
      <c r="G565" s="59"/>
      <c r="H565" s="9"/>
    </row>
    <row r="566">
      <c r="A566" s="9"/>
      <c r="B566" s="9"/>
      <c r="C566" s="9"/>
      <c r="D566" s="9"/>
      <c r="E566" s="9"/>
      <c r="F566" s="9"/>
      <c r="G566" s="59"/>
      <c r="H566" s="9"/>
    </row>
    <row r="567">
      <c r="A567" s="9"/>
      <c r="B567" s="9"/>
      <c r="C567" s="9"/>
      <c r="D567" s="9"/>
      <c r="E567" s="9"/>
      <c r="F567" s="9"/>
      <c r="G567" s="59"/>
      <c r="H567" s="9"/>
    </row>
    <row r="568">
      <c r="A568" s="9"/>
      <c r="B568" s="9"/>
      <c r="C568" s="9"/>
      <c r="D568" s="9"/>
      <c r="E568" s="9"/>
      <c r="F568" s="9"/>
      <c r="G568" s="59"/>
      <c r="H568" s="9"/>
    </row>
    <row r="569">
      <c r="A569" s="9"/>
      <c r="B569" s="9"/>
      <c r="C569" s="9"/>
      <c r="D569" s="9"/>
      <c r="E569" s="9"/>
      <c r="F569" s="9"/>
      <c r="G569" s="59"/>
      <c r="H569" s="9"/>
    </row>
    <row r="570">
      <c r="A570" s="9"/>
      <c r="B570" s="9"/>
      <c r="C570" s="9"/>
      <c r="D570" s="9"/>
      <c r="E570" s="9"/>
      <c r="F570" s="9"/>
      <c r="G570" s="59"/>
      <c r="H570" s="9"/>
    </row>
    <row r="571">
      <c r="A571" s="9"/>
      <c r="B571" s="9"/>
      <c r="C571" s="9"/>
      <c r="D571" s="9"/>
      <c r="E571" s="9"/>
      <c r="F571" s="9"/>
      <c r="G571" s="59"/>
      <c r="H571" s="9"/>
    </row>
    <row r="572">
      <c r="A572" s="9"/>
      <c r="B572" s="9"/>
      <c r="C572" s="9"/>
      <c r="D572" s="9"/>
      <c r="E572" s="9"/>
      <c r="F572" s="9"/>
      <c r="G572" s="59"/>
      <c r="H572" s="9"/>
    </row>
    <row r="573">
      <c r="A573" s="9"/>
      <c r="B573" s="9"/>
      <c r="C573" s="9"/>
      <c r="D573" s="9"/>
      <c r="E573" s="9"/>
      <c r="F573" s="9"/>
      <c r="G573" s="59"/>
      <c r="H573" s="9"/>
    </row>
    <row r="574">
      <c r="A574" s="9"/>
      <c r="B574" s="9"/>
      <c r="C574" s="9"/>
      <c r="D574" s="9"/>
      <c r="E574" s="9"/>
      <c r="F574" s="9"/>
      <c r="G574" s="59"/>
      <c r="H574" s="9"/>
    </row>
    <row r="575">
      <c r="A575" s="9"/>
      <c r="B575" s="9"/>
      <c r="C575" s="9"/>
      <c r="D575" s="9"/>
      <c r="E575" s="9"/>
      <c r="F575" s="9"/>
      <c r="G575" s="59"/>
      <c r="H575" s="9"/>
    </row>
    <row r="576">
      <c r="A576" s="9"/>
      <c r="B576" s="9"/>
      <c r="C576" s="9"/>
      <c r="D576" s="9"/>
      <c r="E576" s="9"/>
      <c r="F576" s="9"/>
      <c r="G576" s="59"/>
      <c r="H576" s="9"/>
    </row>
    <row r="577">
      <c r="A577" s="9"/>
      <c r="B577" s="9"/>
      <c r="C577" s="9"/>
      <c r="D577" s="9"/>
      <c r="E577" s="9"/>
      <c r="F577" s="9"/>
      <c r="G577" s="59"/>
      <c r="H577" s="9"/>
    </row>
    <row r="578">
      <c r="A578" s="9"/>
      <c r="B578" s="9"/>
      <c r="C578" s="9"/>
      <c r="D578" s="9"/>
      <c r="E578" s="9"/>
      <c r="F578" s="9"/>
      <c r="G578" s="59"/>
      <c r="H578" s="9"/>
    </row>
    <row r="579">
      <c r="A579" s="9"/>
      <c r="B579" s="9"/>
      <c r="C579" s="9"/>
      <c r="D579" s="9"/>
      <c r="E579" s="9"/>
      <c r="F579" s="9"/>
      <c r="G579" s="59"/>
      <c r="H579" s="9"/>
    </row>
    <row r="580">
      <c r="A580" s="9"/>
      <c r="B580" s="9"/>
      <c r="C580" s="9"/>
      <c r="D580" s="9"/>
      <c r="E580" s="9"/>
      <c r="F580" s="9"/>
      <c r="G580" s="59"/>
      <c r="H580" s="9"/>
    </row>
    <row r="581">
      <c r="A581" s="9"/>
      <c r="B581" s="9"/>
      <c r="C581" s="9"/>
      <c r="D581" s="9"/>
      <c r="E581" s="9"/>
      <c r="F581" s="9"/>
      <c r="G581" s="59"/>
      <c r="H581" s="9"/>
    </row>
    <row r="582">
      <c r="A582" s="9"/>
      <c r="B582" s="9"/>
      <c r="C582" s="9"/>
      <c r="D582" s="9"/>
      <c r="E582" s="9"/>
      <c r="F582" s="9"/>
      <c r="G582" s="59"/>
      <c r="H582" s="9"/>
    </row>
    <row r="583">
      <c r="A583" s="9"/>
      <c r="B583" s="9"/>
      <c r="C583" s="9"/>
      <c r="D583" s="9"/>
      <c r="E583" s="9"/>
      <c r="F583" s="9"/>
      <c r="G583" s="59"/>
      <c r="H583" s="9"/>
    </row>
    <row r="584">
      <c r="A584" s="9"/>
      <c r="B584" s="9"/>
      <c r="C584" s="9"/>
      <c r="D584" s="9"/>
      <c r="E584" s="9"/>
      <c r="F584" s="9"/>
      <c r="G584" s="59"/>
      <c r="H584" s="9"/>
    </row>
    <row r="585">
      <c r="A585" s="9"/>
      <c r="B585" s="9"/>
      <c r="C585" s="9"/>
      <c r="D585" s="9"/>
      <c r="E585" s="9"/>
      <c r="F585" s="9"/>
      <c r="G585" s="59"/>
      <c r="H585" s="9"/>
    </row>
    <row r="586">
      <c r="A586" s="9"/>
      <c r="B586" s="9"/>
      <c r="C586" s="9"/>
      <c r="D586" s="9"/>
      <c r="E586" s="9"/>
      <c r="F586" s="9"/>
      <c r="G586" s="59"/>
      <c r="H586" s="9"/>
    </row>
    <row r="587">
      <c r="A587" s="9"/>
      <c r="B587" s="9"/>
      <c r="C587" s="9"/>
      <c r="D587" s="9"/>
      <c r="E587" s="9"/>
      <c r="F587" s="9"/>
      <c r="G587" s="59"/>
      <c r="H587" s="9"/>
    </row>
    <row r="588">
      <c r="A588" s="9"/>
      <c r="B588" s="9"/>
      <c r="C588" s="9"/>
      <c r="D588" s="9"/>
      <c r="E588" s="9"/>
      <c r="F588" s="9"/>
      <c r="G588" s="59"/>
      <c r="H588" s="9"/>
    </row>
    <row r="589">
      <c r="A589" s="9"/>
      <c r="B589" s="9"/>
      <c r="C589" s="9"/>
      <c r="D589" s="9"/>
      <c r="E589" s="9"/>
      <c r="F589" s="9"/>
      <c r="G589" s="59"/>
      <c r="H589" s="9"/>
    </row>
    <row r="590">
      <c r="A590" s="9"/>
      <c r="B590" s="9"/>
      <c r="C590" s="9"/>
      <c r="D590" s="9"/>
      <c r="E590" s="9"/>
      <c r="F590" s="9"/>
      <c r="G590" s="59"/>
      <c r="H590" s="9"/>
    </row>
    <row r="591">
      <c r="A591" s="9"/>
      <c r="B591" s="9"/>
      <c r="C591" s="9"/>
      <c r="D591" s="9"/>
      <c r="E591" s="9"/>
      <c r="F591" s="9"/>
      <c r="G591" s="59"/>
      <c r="H591" s="9"/>
    </row>
    <row r="592">
      <c r="A592" s="9"/>
      <c r="B592" s="9"/>
      <c r="C592" s="9"/>
      <c r="D592" s="9"/>
      <c r="E592" s="9"/>
      <c r="F592" s="9"/>
      <c r="G592" s="59"/>
      <c r="H592" s="9"/>
    </row>
    <row r="593">
      <c r="A593" s="9"/>
      <c r="B593" s="9"/>
      <c r="C593" s="9"/>
      <c r="D593" s="9"/>
      <c r="E593" s="9"/>
      <c r="F593" s="9"/>
      <c r="G593" s="59"/>
      <c r="H593" s="9"/>
    </row>
    <row r="594">
      <c r="A594" s="9"/>
      <c r="B594" s="9"/>
      <c r="C594" s="9"/>
      <c r="D594" s="9"/>
      <c r="E594" s="9"/>
      <c r="F594" s="9"/>
      <c r="G594" s="59"/>
      <c r="H594" s="9"/>
    </row>
    <row r="595">
      <c r="A595" s="9"/>
      <c r="B595" s="9"/>
      <c r="C595" s="9"/>
      <c r="D595" s="9"/>
      <c r="E595" s="9"/>
      <c r="F595" s="9"/>
      <c r="G595" s="59"/>
      <c r="H595" s="9"/>
    </row>
    <row r="596">
      <c r="A596" s="9"/>
      <c r="B596" s="9"/>
      <c r="C596" s="9"/>
      <c r="D596" s="9"/>
      <c r="E596" s="9"/>
      <c r="F596" s="9"/>
      <c r="G596" s="59"/>
      <c r="H596" s="9"/>
    </row>
    <row r="597">
      <c r="A597" s="9"/>
      <c r="B597" s="9"/>
      <c r="C597" s="9"/>
      <c r="D597" s="9"/>
      <c r="E597" s="9"/>
      <c r="F597" s="9"/>
      <c r="G597" s="59"/>
      <c r="H597" s="9"/>
    </row>
    <row r="598">
      <c r="A598" s="9"/>
      <c r="B598" s="9"/>
      <c r="C598" s="9"/>
      <c r="D598" s="9"/>
      <c r="E598" s="9"/>
      <c r="F598" s="9"/>
      <c r="G598" s="59"/>
      <c r="H598" s="9"/>
    </row>
    <row r="599">
      <c r="A599" s="9"/>
      <c r="B599" s="9"/>
      <c r="C599" s="9"/>
      <c r="D599" s="9"/>
      <c r="E599" s="9"/>
      <c r="F599" s="9"/>
      <c r="G599" s="59"/>
      <c r="H599" s="9"/>
    </row>
    <row r="600">
      <c r="A600" s="9"/>
      <c r="B600" s="9"/>
      <c r="C600" s="9"/>
      <c r="D600" s="9"/>
      <c r="E600" s="9"/>
      <c r="F600" s="9"/>
      <c r="G600" s="59"/>
      <c r="H600" s="9"/>
    </row>
    <row r="601">
      <c r="A601" s="9"/>
      <c r="B601" s="9"/>
      <c r="C601" s="9"/>
      <c r="D601" s="9"/>
      <c r="E601" s="9"/>
      <c r="F601" s="9"/>
      <c r="G601" s="59"/>
      <c r="H601" s="9"/>
    </row>
    <row r="602">
      <c r="A602" s="9"/>
      <c r="B602" s="9"/>
      <c r="C602" s="9"/>
      <c r="D602" s="9"/>
      <c r="E602" s="9"/>
      <c r="F602" s="9"/>
      <c r="G602" s="59"/>
      <c r="H602" s="9"/>
    </row>
    <row r="603">
      <c r="A603" s="9"/>
      <c r="B603" s="9"/>
      <c r="C603" s="9"/>
      <c r="D603" s="9"/>
      <c r="E603" s="9"/>
      <c r="F603" s="9"/>
      <c r="G603" s="59"/>
      <c r="H603" s="9"/>
    </row>
    <row r="604">
      <c r="A604" s="9"/>
      <c r="B604" s="9"/>
      <c r="C604" s="9"/>
      <c r="D604" s="9"/>
      <c r="E604" s="9"/>
      <c r="F604" s="9"/>
      <c r="G604" s="59"/>
      <c r="H604" s="9"/>
    </row>
    <row r="605">
      <c r="A605" s="9"/>
      <c r="B605" s="9"/>
      <c r="C605" s="9"/>
      <c r="D605" s="9"/>
      <c r="E605" s="9"/>
      <c r="F605" s="9"/>
      <c r="G605" s="59"/>
      <c r="H605" s="9"/>
    </row>
    <row r="606">
      <c r="A606" s="9"/>
      <c r="B606" s="9"/>
      <c r="C606" s="9"/>
      <c r="D606" s="9"/>
      <c r="E606" s="9"/>
      <c r="F606" s="9"/>
      <c r="G606" s="59"/>
      <c r="H606" s="9"/>
    </row>
    <row r="607">
      <c r="A607" s="9"/>
      <c r="B607" s="9"/>
      <c r="C607" s="9"/>
      <c r="D607" s="9"/>
      <c r="E607" s="9"/>
      <c r="F607" s="9"/>
      <c r="G607" s="59"/>
      <c r="H607" s="9"/>
    </row>
    <row r="608">
      <c r="A608" s="9"/>
      <c r="B608" s="9"/>
      <c r="C608" s="9"/>
      <c r="D608" s="9"/>
      <c r="E608" s="9"/>
      <c r="F608" s="9"/>
      <c r="G608" s="59"/>
      <c r="H608" s="9"/>
    </row>
    <row r="609">
      <c r="A609" s="9"/>
      <c r="B609" s="9"/>
      <c r="C609" s="9"/>
      <c r="D609" s="9"/>
      <c r="E609" s="9"/>
      <c r="F609" s="9"/>
      <c r="G609" s="59"/>
      <c r="H609" s="9"/>
    </row>
    <row r="610">
      <c r="A610" s="9"/>
      <c r="B610" s="9"/>
      <c r="C610" s="9"/>
      <c r="D610" s="9"/>
      <c r="E610" s="9"/>
      <c r="F610" s="9"/>
      <c r="G610" s="59"/>
      <c r="H610" s="9"/>
    </row>
    <row r="611">
      <c r="A611" s="9"/>
      <c r="B611" s="9"/>
      <c r="C611" s="9"/>
      <c r="D611" s="9"/>
      <c r="E611" s="9"/>
      <c r="F611" s="9"/>
      <c r="G611" s="59"/>
      <c r="H611" s="9"/>
    </row>
    <row r="612">
      <c r="A612" s="9"/>
      <c r="B612" s="9"/>
      <c r="C612" s="9"/>
      <c r="D612" s="9"/>
      <c r="E612" s="9"/>
      <c r="F612" s="9"/>
      <c r="G612" s="59"/>
      <c r="H612" s="9"/>
    </row>
    <row r="613">
      <c r="A613" s="9"/>
      <c r="B613" s="9"/>
      <c r="C613" s="9"/>
      <c r="D613" s="9"/>
      <c r="E613" s="9"/>
      <c r="F613" s="9"/>
      <c r="G613" s="59"/>
      <c r="H613" s="9"/>
    </row>
    <row r="614">
      <c r="A614" s="9"/>
      <c r="B614" s="9"/>
      <c r="C614" s="9"/>
      <c r="D614" s="9"/>
      <c r="E614" s="9"/>
      <c r="F614" s="9"/>
      <c r="G614" s="59"/>
      <c r="H614" s="9"/>
    </row>
    <row r="615">
      <c r="A615" s="9"/>
      <c r="B615" s="9"/>
      <c r="C615" s="9"/>
      <c r="D615" s="9"/>
      <c r="E615" s="9"/>
      <c r="F615" s="9"/>
      <c r="G615" s="59"/>
      <c r="H615" s="9"/>
    </row>
    <row r="616">
      <c r="A616" s="9"/>
      <c r="B616" s="9"/>
      <c r="C616" s="9"/>
      <c r="D616" s="9"/>
      <c r="E616" s="9"/>
      <c r="F616" s="9"/>
      <c r="G616" s="59"/>
      <c r="H616" s="9"/>
    </row>
    <row r="617">
      <c r="A617" s="9"/>
      <c r="B617" s="9"/>
      <c r="C617" s="9"/>
      <c r="D617" s="9"/>
      <c r="E617" s="9"/>
      <c r="F617" s="9"/>
      <c r="G617" s="59"/>
      <c r="H617" s="9"/>
    </row>
    <row r="618">
      <c r="A618" s="9"/>
      <c r="B618" s="9"/>
      <c r="C618" s="9"/>
      <c r="D618" s="9"/>
      <c r="E618" s="9"/>
      <c r="F618" s="9"/>
      <c r="G618" s="59"/>
      <c r="H618" s="9"/>
    </row>
    <row r="619">
      <c r="A619" s="9"/>
      <c r="B619" s="9"/>
      <c r="C619" s="9"/>
      <c r="D619" s="9"/>
      <c r="E619" s="9"/>
      <c r="F619" s="9"/>
      <c r="G619" s="59"/>
      <c r="H619" s="9"/>
    </row>
    <row r="620">
      <c r="A620" s="9"/>
      <c r="B620" s="9"/>
      <c r="C620" s="9"/>
      <c r="D620" s="9"/>
      <c r="E620" s="9"/>
      <c r="F620" s="9"/>
      <c r="G620" s="59"/>
      <c r="H620" s="9"/>
    </row>
    <row r="621">
      <c r="A621" s="9"/>
      <c r="B621" s="9"/>
      <c r="C621" s="9"/>
      <c r="D621" s="9"/>
      <c r="E621" s="9"/>
      <c r="F621" s="9"/>
      <c r="G621" s="59"/>
      <c r="H621" s="9"/>
    </row>
    <row r="622">
      <c r="A622" s="9"/>
      <c r="B622" s="9"/>
      <c r="C622" s="9"/>
      <c r="D622" s="9"/>
      <c r="E622" s="9"/>
      <c r="F622" s="9"/>
      <c r="G622" s="59"/>
      <c r="H622" s="9"/>
    </row>
    <row r="623">
      <c r="A623" s="9"/>
      <c r="B623" s="9"/>
      <c r="C623" s="9"/>
      <c r="D623" s="9"/>
      <c r="E623" s="9"/>
      <c r="F623" s="9"/>
      <c r="G623" s="59"/>
      <c r="H623" s="9"/>
    </row>
    <row r="624">
      <c r="A624" s="9"/>
      <c r="B624" s="9"/>
      <c r="C624" s="9"/>
      <c r="D624" s="9"/>
      <c r="E624" s="9"/>
      <c r="F624" s="9"/>
      <c r="G624" s="59"/>
      <c r="H624" s="9"/>
    </row>
    <row r="625">
      <c r="A625" s="9"/>
      <c r="B625" s="9"/>
      <c r="C625" s="9"/>
      <c r="D625" s="9"/>
      <c r="E625" s="9"/>
      <c r="F625" s="9"/>
      <c r="G625" s="59"/>
      <c r="H625" s="9"/>
    </row>
    <row r="626">
      <c r="A626" s="9"/>
      <c r="B626" s="9"/>
      <c r="C626" s="9"/>
      <c r="D626" s="9"/>
      <c r="E626" s="9"/>
      <c r="F626" s="9"/>
      <c r="G626" s="59"/>
      <c r="H626" s="9"/>
    </row>
    <row r="627">
      <c r="A627" s="9"/>
      <c r="B627" s="9"/>
      <c r="C627" s="9"/>
      <c r="D627" s="9"/>
      <c r="E627" s="9"/>
      <c r="F627" s="9"/>
      <c r="G627" s="59"/>
      <c r="H627" s="9"/>
    </row>
    <row r="628">
      <c r="A628" s="9"/>
      <c r="B628" s="9"/>
      <c r="C628" s="9"/>
      <c r="D628" s="9"/>
      <c r="E628" s="9"/>
      <c r="F628" s="9"/>
      <c r="G628" s="59"/>
      <c r="H628" s="9"/>
    </row>
    <row r="629">
      <c r="A629" s="9"/>
      <c r="B629" s="9"/>
      <c r="C629" s="9"/>
      <c r="D629" s="9"/>
      <c r="E629" s="9"/>
      <c r="F629" s="9"/>
      <c r="G629" s="59"/>
      <c r="H629" s="9"/>
    </row>
    <row r="630">
      <c r="A630" s="9"/>
      <c r="B630" s="9"/>
      <c r="C630" s="9"/>
      <c r="D630" s="9"/>
      <c r="E630" s="9"/>
      <c r="F630" s="9"/>
      <c r="G630" s="59"/>
      <c r="H630" s="9"/>
    </row>
    <row r="631">
      <c r="A631" s="9"/>
      <c r="B631" s="9"/>
      <c r="C631" s="9"/>
      <c r="D631" s="9"/>
      <c r="E631" s="9"/>
      <c r="F631" s="9"/>
      <c r="G631" s="59"/>
      <c r="H631" s="9"/>
    </row>
    <row r="632">
      <c r="A632" s="9"/>
      <c r="B632" s="9"/>
      <c r="C632" s="9"/>
      <c r="D632" s="9"/>
      <c r="E632" s="9"/>
      <c r="F632" s="9"/>
      <c r="G632" s="59"/>
      <c r="H632" s="9"/>
    </row>
    <row r="633">
      <c r="A633" s="9"/>
      <c r="B633" s="9"/>
      <c r="C633" s="9"/>
      <c r="D633" s="9"/>
      <c r="E633" s="9"/>
      <c r="F633" s="9"/>
      <c r="G633" s="59"/>
      <c r="H633" s="9"/>
    </row>
    <row r="634">
      <c r="A634" s="9"/>
      <c r="B634" s="9"/>
      <c r="C634" s="9"/>
      <c r="D634" s="9"/>
      <c r="E634" s="9"/>
      <c r="F634" s="9"/>
      <c r="G634" s="59"/>
      <c r="H634" s="9"/>
    </row>
    <row r="635">
      <c r="A635" s="9"/>
      <c r="B635" s="9"/>
      <c r="C635" s="9"/>
      <c r="D635" s="9"/>
      <c r="E635" s="9"/>
      <c r="F635" s="9"/>
      <c r="G635" s="59"/>
      <c r="H635" s="9"/>
    </row>
    <row r="636">
      <c r="A636" s="9"/>
      <c r="B636" s="9"/>
      <c r="C636" s="9"/>
      <c r="D636" s="9"/>
      <c r="E636" s="9"/>
      <c r="F636" s="9"/>
      <c r="G636" s="59"/>
      <c r="H636" s="9"/>
    </row>
    <row r="637">
      <c r="A637" s="9"/>
      <c r="B637" s="9"/>
      <c r="C637" s="9"/>
      <c r="D637" s="9"/>
      <c r="E637" s="9"/>
      <c r="F637" s="9"/>
      <c r="G637" s="59"/>
      <c r="H637" s="9"/>
    </row>
    <row r="638">
      <c r="A638" s="9"/>
      <c r="B638" s="9"/>
      <c r="C638" s="9"/>
      <c r="D638" s="9"/>
      <c r="E638" s="9"/>
      <c r="F638" s="9"/>
      <c r="G638" s="59"/>
      <c r="H638" s="9"/>
    </row>
    <row r="639">
      <c r="A639" s="9"/>
      <c r="B639" s="9"/>
      <c r="C639" s="9"/>
      <c r="D639" s="9"/>
      <c r="E639" s="9"/>
      <c r="F639" s="9"/>
      <c r="G639" s="59"/>
      <c r="H639" s="9"/>
    </row>
    <row r="640">
      <c r="A640" s="9"/>
      <c r="B640" s="9"/>
      <c r="C640" s="9"/>
      <c r="D640" s="9"/>
      <c r="E640" s="9"/>
      <c r="F640" s="9"/>
      <c r="G640" s="59"/>
      <c r="H640" s="9"/>
    </row>
    <row r="641">
      <c r="A641" s="9"/>
      <c r="B641" s="9"/>
      <c r="C641" s="9"/>
      <c r="D641" s="9"/>
      <c r="E641" s="9"/>
      <c r="F641" s="9"/>
      <c r="G641" s="59"/>
      <c r="H641" s="9"/>
    </row>
    <row r="642">
      <c r="A642" s="9"/>
      <c r="B642" s="9"/>
      <c r="C642" s="9"/>
      <c r="D642" s="9"/>
      <c r="E642" s="9"/>
      <c r="F642" s="9"/>
      <c r="G642" s="59"/>
      <c r="H642" s="9"/>
    </row>
    <row r="643">
      <c r="A643" s="9"/>
      <c r="B643" s="9"/>
      <c r="C643" s="9"/>
      <c r="D643" s="9"/>
      <c r="E643" s="9"/>
      <c r="F643" s="9"/>
      <c r="G643" s="59"/>
      <c r="H643" s="9"/>
    </row>
    <row r="644">
      <c r="A644" s="9"/>
      <c r="B644" s="9"/>
      <c r="C644" s="9"/>
      <c r="D644" s="9"/>
      <c r="E644" s="9"/>
      <c r="F644" s="9"/>
      <c r="G644" s="59"/>
      <c r="H644" s="9"/>
    </row>
    <row r="645">
      <c r="A645" s="9"/>
      <c r="B645" s="9"/>
      <c r="C645" s="9"/>
      <c r="D645" s="9"/>
      <c r="E645" s="9"/>
      <c r="F645" s="9"/>
      <c r="G645" s="59"/>
      <c r="H645" s="9"/>
    </row>
    <row r="646">
      <c r="A646" s="9"/>
      <c r="B646" s="9"/>
      <c r="C646" s="9"/>
      <c r="D646" s="9"/>
      <c r="E646" s="9"/>
      <c r="F646" s="9"/>
      <c r="G646" s="59"/>
      <c r="H646" s="9"/>
    </row>
    <row r="647">
      <c r="A647" s="9"/>
      <c r="B647" s="9"/>
      <c r="C647" s="9"/>
      <c r="D647" s="9"/>
      <c r="E647" s="9"/>
      <c r="F647" s="9"/>
      <c r="G647" s="59"/>
      <c r="H647" s="9"/>
    </row>
    <row r="648">
      <c r="A648" s="9"/>
      <c r="B648" s="9"/>
      <c r="C648" s="9"/>
      <c r="D648" s="9"/>
      <c r="E648" s="9"/>
      <c r="F648" s="9"/>
      <c r="G648" s="59"/>
      <c r="H648" s="9"/>
    </row>
    <row r="649">
      <c r="A649" s="9"/>
      <c r="B649" s="9"/>
      <c r="C649" s="9"/>
      <c r="D649" s="9"/>
      <c r="E649" s="9"/>
      <c r="F649" s="9"/>
      <c r="G649" s="59"/>
      <c r="H649" s="9"/>
    </row>
    <row r="650">
      <c r="A650" s="9"/>
      <c r="B650" s="9"/>
      <c r="C650" s="9"/>
      <c r="D650" s="9"/>
      <c r="E650" s="9"/>
      <c r="F650" s="9"/>
      <c r="G650" s="59"/>
      <c r="H650" s="9"/>
    </row>
    <row r="651">
      <c r="A651" s="9"/>
      <c r="B651" s="9"/>
      <c r="C651" s="9"/>
      <c r="D651" s="9"/>
      <c r="E651" s="9"/>
      <c r="F651" s="9"/>
      <c r="G651" s="59"/>
      <c r="H651" s="9"/>
    </row>
    <row r="652">
      <c r="A652" s="9"/>
      <c r="B652" s="9"/>
      <c r="C652" s="9"/>
      <c r="D652" s="9"/>
      <c r="E652" s="9"/>
      <c r="F652" s="9"/>
      <c r="G652" s="59"/>
      <c r="H652" s="9"/>
    </row>
    <row r="653">
      <c r="A653" s="9"/>
      <c r="B653" s="9"/>
      <c r="C653" s="9"/>
      <c r="D653" s="9"/>
      <c r="E653" s="9"/>
      <c r="F653" s="9"/>
      <c r="G653" s="59"/>
      <c r="H653" s="9"/>
    </row>
    <row r="654">
      <c r="A654" s="9"/>
      <c r="B654" s="9"/>
      <c r="C654" s="9"/>
      <c r="D654" s="9"/>
      <c r="E654" s="9"/>
      <c r="F654" s="9"/>
      <c r="G654" s="59"/>
      <c r="H654" s="9"/>
    </row>
    <row r="655">
      <c r="A655" s="9"/>
      <c r="B655" s="9"/>
      <c r="C655" s="9"/>
      <c r="D655" s="9"/>
      <c r="E655" s="9"/>
      <c r="F655" s="9"/>
      <c r="G655" s="59"/>
      <c r="H655" s="9"/>
    </row>
    <row r="656">
      <c r="A656" s="9"/>
      <c r="B656" s="9"/>
      <c r="C656" s="9"/>
      <c r="D656" s="9"/>
      <c r="E656" s="9"/>
      <c r="F656" s="9"/>
      <c r="G656" s="59"/>
      <c r="H656" s="9"/>
    </row>
    <row r="657">
      <c r="A657" s="9"/>
      <c r="B657" s="9"/>
      <c r="C657" s="9"/>
      <c r="D657" s="9"/>
      <c r="E657" s="9"/>
      <c r="F657" s="9"/>
      <c r="G657" s="59"/>
      <c r="H657" s="9"/>
    </row>
    <row r="658">
      <c r="A658" s="9"/>
      <c r="B658" s="9"/>
      <c r="C658" s="9"/>
      <c r="D658" s="9"/>
      <c r="E658" s="9"/>
      <c r="F658" s="9"/>
      <c r="G658" s="59"/>
      <c r="H658" s="9"/>
    </row>
    <row r="659">
      <c r="A659" s="9"/>
      <c r="B659" s="9"/>
      <c r="C659" s="9"/>
      <c r="D659" s="9"/>
      <c r="E659" s="9"/>
      <c r="F659" s="9"/>
      <c r="G659" s="59"/>
      <c r="H659" s="9"/>
    </row>
    <row r="660">
      <c r="A660" s="9"/>
      <c r="B660" s="9"/>
      <c r="C660" s="9"/>
      <c r="D660" s="9"/>
      <c r="E660" s="9"/>
      <c r="F660" s="9"/>
      <c r="G660" s="59"/>
      <c r="H660" s="9"/>
    </row>
    <row r="661">
      <c r="A661" s="9"/>
      <c r="B661" s="9"/>
      <c r="C661" s="9"/>
      <c r="D661" s="9"/>
      <c r="E661" s="9"/>
      <c r="F661" s="9"/>
      <c r="G661" s="59"/>
      <c r="H661" s="9"/>
    </row>
    <row r="662">
      <c r="A662" s="9"/>
      <c r="B662" s="9"/>
      <c r="C662" s="9"/>
      <c r="D662" s="9"/>
      <c r="E662" s="9"/>
      <c r="F662" s="9"/>
      <c r="G662" s="59"/>
      <c r="H662" s="9"/>
    </row>
    <row r="663">
      <c r="A663" s="9"/>
      <c r="B663" s="9"/>
      <c r="C663" s="9"/>
      <c r="D663" s="9"/>
      <c r="E663" s="9"/>
      <c r="F663" s="9"/>
      <c r="G663" s="59"/>
      <c r="H663" s="9"/>
    </row>
    <row r="664">
      <c r="A664" s="9"/>
      <c r="B664" s="9"/>
      <c r="C664" s="9"/>
      <c r="D664" s="9"/>
      <c r="E664" s="9"/>
      <c r="F664" s="9"/>
      <c r="G664" s="59"/>
      <c r="H664" s="9"/>
    </row>
    <row r="665">
      <c r="A665" s="9"/>
      <c r="B665" s="9"/>
      <c r="C665" s="9"/>
      <c r="D665" s="9"/>
      <c r="E665" s="9"/>
      <c r="F665" s="9"/>
      <c r="G665" s="59"/>
      <c r="H665" s="9"/>
    </row>
    <row r="666">
      <c r="A666" s="9"/>
      <c r="B666" s="9"/>
      <c r="C666" s="9"/>
      <c r="D666" s="9"/>
      <c r="E666" s="9"/>
      <c r="F666" s="9"/>
      <c r="G666" s="59"/>
      <c r="H666" s="9"/>
    </row>
    <row r="667">
      <c r="A667" s="9"/>
      <c r="B667" s="9"/>
      <c r="C667" s="9"/>
      <c r="D667" s="9"/>
      <c r="E667" s="9"/>
      <c r="F667" s="9"/>
      <c r="G667" s="59"/>
      <c r="H667" s="9"/>
    </row>
    <row r="668">
      <c r="A668" s="9"/>
      <c r="B668" s="9"/>
      <c r="C668" s="9"/>
      <c r="D668" s="9"/>
      <c r="E668" s="9"/>
      <c r="F668" s="9"/>
      <c r="G668" s="59"/>
      <c r="H668" s="9"/>
    </row>
    <row r="669">
      <c r="A669" s="9"/>
      <c r="B669" s="9"/>
      <c r="C669" s="9"/>
      <c r="D669" s="9"/>
      <c r="E669" s="9"/>
      <c r="F669" s="9"/>
      <c r="G669" s="59"/>
      <c r="H669" s="9"/>
    </row>
    <row r="670">
      <c r="A670" s="9"/>
      <c r="B670" s="9"/>
      <c r="C670" s="9"/>
      <c r="D670" s="9"/>
      <c r="E670" s="9"/>
      <c r="F670" s="9"/>
      <c r="G670" s="59"/>
      <c r="H670" s="9"/>
    </row>
    <row r="671">
      <c r="A671" s="9"/>
      <c r="B671" s="9"/>
      <c r="C671" s="9"/>
      <c r="D671" s="9"/>
      <c r="E671" s="9"/>
      <c r="F671" s="9"/>
      <c r="G671" s="59"/>
      <c r="H671" s="9"/>
    </row>
    <row r="672">
      <c r="A672" s="9"/>
      <c r="B672" s="9"/>
      <c r="C672" s="9"/>
      <c r="D672" s="9"/>
      <c r="E672" s="9"/>
      <c r="F672" s="9"/>
      <c r="G672" s="59"/>
      <c r="H672" s="9"/>
    </row>
    <row r="673">
      <c r="A673" s="9"/>
      <c r="B673" s="9"/>
      <c r="C673" s="9"/>
      <c r="D673" s="9"/>
      <c r="E673" s="9"/>
      <c r="F673" s="9"/>
      <c r="G673" s="59"/>
      <c r="H673" s="9"/>
    </row>
    <row r="674">
      <c r="A674" s="9"/>
      <c r="B674" s="9"/>
      <c r="C674" s="9"/>
      <c r="D674" s="9"/>
      <c r="E674" s="9"/>
      <c r="F674" s="9"/>
      <c r="G674" s="59"/>
      <c r="H674" s="9"/>
    </row>
    <row r="675">
      <c r="A675" s="9"/>
      <c r="B675" s="9"/>
      <c r="C675" s="9"/>
      <c r="D675" s="9"/>
      <c r="E675" s="9"/>
      <c r="F675" s="9"/>
      <c r="G675" s="59"/>
      <c r="H675" s="9"/>
    </row>
    <row r="676">
      <c r="A676" s="9"/>
      <c r="B676" s="9"/>
      <c r="C676" s="9"/>
      <c r="D676" s="9"/>
      <c r="E676" s="9"/>
      <c r="F676" s="9"/>
      <c r="G676" s="59"/>
      <c r="H676" s="9"/>
    </row>
    <row r="677">
      <c r="A677" s="9"/>
      <c r="B677" s="9"/>
      <c r="C677" s="9"/>
      <c r="D677" s="9"/>
      <c r="E677" s="9"/>
      <c r="F677" s="9"/>
      <c r="G677" s="59"/>
      <c r="H677" s="9"/>
    </row>
    <row r="678">
      <c r="A678" s="9"/>
      <c r="B678" s="9"/>
      <c r="C678" s="9"/>
      <c r="D678" s="9"/>
      <c r="E678" s="9"/>
      <c r="F678" s="9"/>
      <c r="G678" s="59"/>
      <c r="H678" s="9"/>
    </row>
    <row r="679">
      <c r="A679" s="9"/>
      <c r="B679" s="9"/>
      <c r="C679" s="9"/>
      <c r="D679" s="9"/>
      <c r="E679" s="9"/>
      <c r="F679" s="9"/>
      <c r="G679" s="59"/>
      <c r="H679" s="9"/>
    </row>
    <row r="680">
      <c r="A680" s="9"/>
      <c r="B680" s="9"/>
      <c r="C680" s="9"/>
      <c r="D680" s="9"/>
      <c r="E680" s="9"/>
      <c r="F680" s="9"/>
      <c r="G680" s="59"/>
      <c r="H680" s="9"/>
    </row>
    <row r="681">
      <c r="A681" s="9"/>
      <c r="B681" s="9"/>
      <c r="C681" s="9"/>
      <c r="D681" s="9"/>
      <c r="E681" s="9"/>
      <c r="F681" s="9"/>
      <c r="G681" s="59"/>
      <c r="H681" s="9"/>
    </row>
    <row r="682">
      <c r="A682" s="9"/>
      <c r="B682" s="9"/>
      <c r="C682" s="9"/>
      <c r="D682" s="9"/>
      <c r="E682" s="9"/>
      <c r="F682" s="9"/>
      <c r="G682" s="59"/>
      <c r="H682" s="9"/>
    </row>
    <row r="683">
      <c r="A683" s="9"/>
      <c r="B683" s="9"/>
      <c r="C683" s="9"/>
      <c r="D683" s="9"/>
      <c r="E683" s="9"/>
      <c r="F683" s="9"/>
      <c r="G683" s="59"/>
      <c r="H683" s="9"/>
    </row>
    <row r="684">
      <c r="A684" s="9"/>
      <c r="B684" s="9"/>
      <c r="C684" s="9"/>
      <c r="D684" s="9"/>
      <c r="E684" s="9"/>
      <c r="F684" s="9"/>
      <c r="G684" s="59"/>
      <c r="H684" s="9"/>
    </row>
    <row r="685">
      <c r="A685" s="9"/>
      <c r="B685" s="9"/>
      <c r="C685" s="9"/>
      <c r="D685" s="9"/>
      <c r="E685" s="9"/>
      <c r="F685" s="9"/>
      <c r="G685" s="59"/>
      <c r="H685" s="9"/>
    </row>
    <row r="686">
      <c r="A686" s="9"/>
      <c r="B686" s="9"/>
      <c r="C686" s="9"/>
      <c r="D686" s="9"/>
      <c r="E686" s="9"/>
      <c r="F686" s="9"/>
      <c r="G686" s="59"/>
      <c r="H686" s="9"/>
    </row>
    <row r="687">
      <c r="A687" s="9"/>
      <c r="B687" s="9"/>
      <c r="C687" s="9"/>
      <c r="D687" s="9"/>
      <c r="E687" s="9"/>
      <c r="F687" s="9"/>
      <c r="G687" s="59"/>
      <c r="H687" s="9"/>
    </row>
    <row r="688">
      <c r="A688" s="9"/>
      <c r="B688" s="9"/>
      <c r="C688" s="9"/>
      <c r="D688" s="9"/>
      <c r="E688" s="9"/>
      <c r="F688" s="9"/>
      <c r="G688" s="59"/>
      <c r="H688" s="9"/>
    </row>
    <row r="689">
      <c r="A689" s="9"/>
      <c r="B689" s="9"/>
      <c r="C689" s="9"/>
      <c r="D689" s="9"/>
      <c r="E689" s="9"/>
      <c r="F689" s="9"/>
      <c r="G689" s="59"/>
      <c r="H689" s="9"/>
    </row>
    <row r="690">
      <c r="A690" s="9"/>
      <c r="B690" s="9"/>
      <c r="C690" s="9"/>
      <c r="D690" s="9"/>
      <c r="E690" s="9"/>
      <c r="F690" s="9"/>
      <c r="G690" s="59"/>
      <c r="H690" s="9"/>
    </row>
    <row r="691">
      <c r="A691" s="9"/>
      <c r="B691" s="9"/>
      <c r="C691" s="9"/>
      <c r="D691" s="9"/>
      <c r="E691" s="9"/>
      <c r="F691" s="9"/>
      <c r="G691" s="59"/>
      <c r="H691" s="9"/>
    </row>
    <row r="692">
      <c r="A692" s="9"/>
      <c r="B692" s="9"/>
      <c r="C692" s="9"/>
      <c r="D692" s="9"/>
      <c r="E692" s="9"/>
      <c r="F692" s="9"/>
      <c r="G692" s="59"/>
      <c r="H692" s="9"/>
    </row>
    <row r="693">
      <c r="A693" s="9"/>
      <c r="B693" s="9"/>
      <c r="C693" s="9"/>
      <c r="D693" s="9"/>
      <c r="E693" s="9"/>
      <c r="F693" s="9"/>
      <c r="G693" s="59"/>
      <c r="H693" s="9"/>
    </row>
    <row r="694">
      <c r="A694" s="9"/>
      <c r="B694" s="9"/>
      <c r="C694" s="9"/>
      <c r="D694" s="9"/>
      <c r="E694" s="9"/>
      <c r="F694" s="9"/>
      <c r="G694" s="59"/>
      <c r="H694" s="9"/>
    </row>
    <row r="695">
      <c r="A695" s="9"/>
      <c r="B695" s="9"/>
      <c r="C695" s="9"/>
      <c r="D695" s="9"/>
      <c r="E695" s="9"/>
      <c r="F695" s="9"/>
      <c r="G695" s="59"/>
      <c r="H695" s="9"/>
    </row>
    <row r="696">
      <c r="A696" s="9"/>
      <c r="B696" s="9"/>
      <c r="C696" s="9"/>
      <c r="D696" s="9"/>
      <c r="E696" s="9"/>
      <c r="F696" s="9"/>
      <c r="G696" s="59"/>
      <c r="H696" s="9"/>
    </row>
    <row r="697">
      <c r="A697" s="9"/>
      <c r="B697" s="9"/>
      <c r="C697" s="9"/>
      <c r="D697" s="9"/>
      <c r="E697" s="9"/>
      <c r="F697" s="9"/>
      <c r="G697" s="59"/>
      <c r="H697" s="9"/>
    </row>
    <row r="698">
      <c r="A698" s="9"/>
      <c r="B698" s="9"/>
      <c r="C698" s="9"/>
      <c r="D698" s="9"/>
      <c r="E698" s="9"/>
      <c r="F698" s="9"/>
      <c r="G698" s="59"/>
      <c r="H698" s="9"/>
    </row>
    <row r="699">
      <c r="A699" s="9"/>
      <c r="B699" s="9"/>
      <c r="C699" s="9"/>
      <c r="D699" s="9"/>
      <c r="E699" s="9"/>
      <c r="F699" s="9"/>
      <c r="G699" s="59"/>
      <c r="H699" s="9"/>
    </row>
    <row r="700">
      <c r="A700" s="9"/>
      <c r="B700" s="9"/>
      <c r="C700" s="9"/>
      <c r="D700" s="9"/>
      <c r="E700" s="9"/>
      <c r="F700" s="9"/>
      <c r="G700" s="59"/>
      <c r="H700" s="9"/>
    </row>
    <row r="701">
      <c r="A701" s="9"/>
      <c r="B701" s="9"/>
      <c r="C701" s="9"/>
      <c r="D701" s="9"/>
      <c r="E701" s="9"/>
      <c r="F701" s="9"/>
      <c r="G701" s="59"/>
      <c r="H701" s="9"/>
    </row>
    <row r="702">
      <c r="A702" s="9"/>
      <c r="B702" s="9"/>
      <c r="C702" s="9"/>
      <c r="D702" s="9"/>
      <c r="E702" s="9"/>
      <c r="F702" s="9"/>
      <c r="G702" s="59"/>
      <c r="H702" s="9"/>
    </row>
    <row r="703">
      <c r="A703" s="9"/>
      <c r="B703" s="9"/>
      <c r="C703" s="9"/>
      <c r="D703" s="9"/>
      <c r="E703" s="9"/>
      <c r="F703" s="9"/>
      <c r="G703" s="59"/>
      <c r="H703" s="9"/>
    </row>
    <row r="704">
      <c r="A704" s="9"/>
      <c r="B704" s="9"/>
      <c r="C704" s="9"/>
      <c r="D704" s="9"/>
      <c r="E704" s="9"/>
      <c r="F704" s="9"/>
      <c r="G704" s="59"/>
      <c r="H704" s="9"/>
    </row>
    <row r="705">
      <c r="A705" s="9"/>
      <c r="B705" s="9"/>
      <c r="C705" s="9"/>
      <c r="D705" s="9"/>
      <c r="E705" s="9"/>
      <c r="F705" s="9"/>
      <c r="G705" s="59"/>
      <c r="H705" s="9"/>
    </row>
    <row r="706">
      <c r="A706" s="9"/>
      <c r="B706" s="9"/>
      <c r="C706" s="9"/>
      <c r="D706" s="9"/>
      <c r="E706" s="9"/>
      <c r="F706" s="9"/>
      <c r="G706" s="59"/>
      <c r="H706" s="9"/>
    </row>
    <row r="707">
      <c r="A707" s="9"/>
      <c r="B707" s="9"/>
      <c r="C707" s="9"/>
      <c r="D707" s="9"/>
      <c r="E707" s="9"/>
      <c r="F707" s="9"/>
      <c r="G707" s="59"/>
      <c r="H707" s="9"/>
    </row>
    <row r="708">
      <c r="A708" s="9"/>
      <c r="B708" s="9"/>
      <c r="C708" s="9"/>
      <c r="D708" s="9"/>
      <c r="E708" s="9"/>
      <c r="F708" s="9"/>
      <c r="G708" s="59"/>
      <c r="H708" s="9"/>
    </row>
    <row r="709">
      <c r="A709" s="9"/>
      <c r="B709" s="9"/>
      <c r="C709" s="9"/>
      <c r="D709" s="9"/>
      <c r="E709" s="9"/>
      <c r="F709" s="9"/>
      <c r="G709" s="59"/>
      <c r="H709" s="9"/>
    </row>
    <row r="710">
      <c r="A710" s="9"/>
      <c r="B710" s="9"/>
      <c r="C710" s="9"/>
      <c r="D710" s="9"/>
      <c r="E710" s="9"/>
      <c r="F710" s="9"/>
      <c r="G710" s="59"/>
      <c r="H710" s="9"/>
    </row>
    <row r="711">
      <c r="A711" s="9"/>
      <c r="B711" s="9"/>
      <c r="C711" s="9"/>
      <c r="D711" s="9"/>
      <c r="E711" s="9"/>
      <c r="F711" s="9"/>
      <c r="G711" s="59"/>
      <c r="H711" s="9"/>
    </row>
    <row r="712">
      <c r="A712" s="9"/>
      <c r="B712" s="9"/>
      <c r="C712" s="9"/>
      <c r="D712" s="9"/>
      <c r="E712" s="9"/>
      <c r="F712" s="9"/>
      <c r="G712" s="59"/>
      <c r="H712" s="9"/>
    </row>
    <row r="713">
      <c r="A713" s="9"/>
      <c r="B713" s="9"/>
      <c r="C713" s="9"/>
      <c r="D713" s="9"/>
      <c r="E713" s="9"/>
      <c r="F713" s="9"/>
      <c r="G713" s="59"/>
      <c r="H713" s="9"/>
    </row>
    <row r="714">
      <c r="A714" s="9"/>
      <c r="B714" s="9"/>
      <c r="C714" s="9"/>
      <c r="D714" s="9"/>
      <c r="E714" s="9"/>
      <c r="F714" s="9"/>
      <c r="G714" s="59"/>
      <c r="H714" s="9"/>
    </row>
    <row r="715">
      <c r="A715" s="9"/>
      <c r="B715" s="9"/>
      <c r="C715" s="9"/>
      <c r="D715" s="9"/>
      <c r="E715" s="9"/>
      <c r="F715" s="9"/>
      <c r="G715" s="59"/>
      <c r="H715" s="9"/>
    </row>
    <row r="716">
      <c r="A716" s="9"/>
      <c r="B716" s="9"/>
      <c r="C716" s="9"/>
      <c r="D716" s="9"/>
      <c r="E716" s="9"/>
      <c r="F716" s="9"/>
      <c r="G716" s="59"/>
      <c r="H716" s="9"/>
    </row>
    <row r="717">
      <c r="A717" s="9"/>
      <c r="B717" s="9"/>
      <c r="C717" s="9"/>
      <c r="D717" s="9"/>
      <c r="E717" s="9"/>
      <c r="F717" s="9"/>
      <c r="G717" s="59"/>
      <c r="H717" s="9"/>
    </row>
    <row r="718">
      <c r="A718" s="9"/>
      <c r="B718" s="9"/>
      <c r="C718" s="9"/>
      <c r="D718" s="9"/>
      <c r="E718" s="9"/>
      <c r="F718" s="9"/>
      <c r="G718" s="59"/>
      <c r="H718" s="9"/>
    </row>
    <row r="719">
      <c r="A719" s="9"/>
      <c r="B719" s="9"/>
      <c r="C719" s="9"/>
      <c r="D719" s="9"/>
      <c r="E719" s="9"/>
      <c r="F719" s="9"/>
      <c r="G719" s="59"/>
      <c r="H719" s="9"/>
    </row>
    <row r="720">
      <c r="A720" s="9"/>
      <c r="B720" s="9"/>
      <c r="C720" s="9"/>
      <c r="D720" s="9"/>
      <c r="E720" s="9"/>
      <c r="F720" s="9"/>
      <c r="G720" s="59"/>
      <c r="H720" s="9"/>
    </row>
    <row r="721">
      <c r="A721" s="9"/>
      <c r="B721" s="9"/>
      <c r="C721" s="9"/>
      <c r="D721" s="9"/>
      <c r="E721" s="9"/>
      <c r="F721" s="9"/>
      <c r="G721" s="59"/>
      <c r="H721" s="9"/>
    </row>
    <row r="722">
      <c r="A722" s="9"/>
      <c r="B722" s="9"/>
      <c r="C722" s="9"/>
      <c r="D722" s="9"/>
      <c r="E722" s="9"/>
      <c r="F722" s="9"/>
      <c r="G722" s="59"/>
      <c r="H722" s="9"/>
    </row>
    <row r="723">
      <c r="A723" s="9"/>
      <c r="B723" s="9"/>
      <c r="C723" s="9"/>
      <c r="D723" s="9"/>
      <c r="E723" s="9"/>
      <c r="F723" s="9"/>
      <c r="G723" s="59"/>
      <c r="H723" s="9"/>
    </row>
    <row r="724">
      <c r="A724" s="9"/>
      <c r="B724" s="9"/>
      <c r="C724" s="9"/>
      <c r="D724" s="9"/>
      <c r="E724" s="9"/>
      <c r="F724" s="9"/>
      <c r="G724" s="59"/>
      <c r="H724" s="9"/>
    </row>
    <row r="725">
      <c r="A725" s="9"/>
      <c r="B725" s="9"/>
      <c r="C725" s="9"/>
      <c r="D725" s="9"/>
      <c r="E725" s="9"/>
      <c r="F725" s="9"/>
      <c r="G725" s="59"/>
      <c r="H725" s="9"/>
    </row>
    <row r="726">
      <c r="A726" s="9"/>
      <c r="B726" s="9"/>
      <c r="C726" s="9"/>
      <c r="D726" s="9"/>
      <c r="E726" s="9"/>
      <c r="F726" s="9"/>
      <c r="G726" s="59"/>
      <c r="H726" s="9"/>
    </row>
    <row r="727">
      <c r="A727" s="9"/>
      <c r="B727" s="9"/>
      <c r="C727" s="9"/>
      <c r="D727" s="9"/>
      <c r="E727" s="9"/>
      <c r="F727" s="9"/>
      <c r="G727" s="59"/>
      <c r="H727" s="9"/>
    </row>
    <row r="728">
      <c r="A728" s="9"/>
      <c r="B728" s="9"/>
      <c r="C728" s="9"/>
      <c r="D728" s="9"/>
      <c r="E728" s="9"/>
      <c r="F728" s="9"/>
      <c r="G728" s="59"/>
      <c r="H728" s="9"/>
    </row>
    <row r="729">
      <c r="A729" s="9"/>
      <c r="B729" s="9"/>
      <c r="C729" s="9"/>
      <c r="D729" s="9"/>
      <c r="E729" s="9"/>
      <c r="F729" s="9"/>
      <c r="G729" s="59"/>
      <c r="H729" s="9"/>
    </row>
    <row r="730">
      <c r="A730" s="9"/>
      <c r="B730" s="9"/>
      <c r="C730" s="9"/>
      <c r="D730" s="9"/>
      <c r="E730" s="9"/>
      <c r="F730" s="9"/>
      <c r="G730" s="59"/>
      <c r="H730" s="9"/>
    </row>
    <row r="731">
      <c r="A731" s="9"/>
      <c r="B731" s="9"/>
      <c r="C731" s="9"/>
      <c r="D731" s="9"/>
      <c r="E731" s="9"/>
      <c r="F731" s="9"/>
      <c r="G731" s="59"/>
      <c r="H731" s="9"/>
    </row>
    <row r="732">
      <c r="A732" s="9"/>
      <c r="B732" s="9"/>
      <c r="C732" s="9"/>
      <c r="D732" s="9"/>
      <c r="E732" s="9"/>
      <c r="F732" s="9"/>
      <c r="G732" s="59"/>
      <c r="H732" s="9"/>
    </row>
    <row r="733">
      <c r="A733" s="9"/>
      <c r="B733" s="9"/>
      <c r="C733" s="9"/>
      <c r="D733" s="9"/>
      <c r="E733" s="9"/>
      <c r="F733" s="9"/>
      <c r="G733" s="59"/>
      <c r="H733" s="9"/>
    </row>
    <row r="734">
      <c r="A734" s="9"/>
      <c r="B734" s="9"/>
      <c r="C734" s="9"/>
      <c r="D734" s="9"/>
      <c r="E734" s="9"/>
      <c r="F734" s="9"/>
      <c r="G734" s="59"/>
      <c r="H734" s="9"/>
    </row>
    <row r="735">
      <c r="A735" s="9"/>
      <c r="B735" s="9"/>
      <c r="C735" s="9"/>
      <c r="D735" s="9"/>
      <c r="E735" s="9"/>
      <c r="F735" s="9"/>
      <c r="G735" s="59"/>
      <c r="H735" s="9"/>
    </row>
    <row r="736">
      <c r="A736" s="9"/>
      <c r="B736" s="9"/>
      <c r="C736" s="9"/>
      <c r="D736" s="9"/>
      <c r="E736" s="9"/>
      <c r="F736" s="9"/>
      <c r="G736" s="59"/>
      <c r="H736" s="9"/>
    </row>
    <row r="737">
      <c r="A737" s="9"/>
      <c r="B737" s="9"/>
      <c r="C737" s="9"/>
      <c r="D737" s="9"/>
      <c r="E737" s="9"/>
      <c r="F737" s="9"/>
      <c r="G737" s="59"/>
      <c r="H737" s="9"/>
    </row>
    <row r="738">
      <c r="A738" s="9"/>
      <c r="B738" s="9"/>
      <c r="C738" s="9"/>
      <c r="D738" s="9"/>
      <c r="E738" s="9"/>
      <c r="F738" s="9"/>
      <c r="G738" s="59"/>
      <c r="H738" s="9"/>
    </row>
    <row r="739">
      <c r="A739" s="9"/>
      <c r="B739" s="9"/>
      <c r="C739" s="9"/>
      <c r="D739" s="9"/>
      <c r="E739" s="9"/>
      <c r="F739" s="9"/>
      <c r="G739" s="59"/>
      <c r="H739" s="9"/>
    </row>
    <row r="740">
      <c r="A740" s="9"/>
      <c r="B740" s="9"/>
      <c r="C740" s="9"/>
      <c r="D740" s="9"/>
      <c r="E740" s="9"/>
      <c r="F740" s="9"/>
      <c r="G740" s="59"/>
      <c r="H740" s="9"/>
    </row>
    <row r="741">
      <c r="A741" s="9"/>
      <c r="B741" s="9"/>
      <c r="C741" s="9"/>
      <c r="D741" s="9"/>
      <c r="E741" s="9"/>
      <c r="F741" s="9"/>
      <c r="G741" s="59"/>
      <c r="H741" s="9"/>
    </row>
    <row r="742">
      <c r="A742" s="9"/>
      <c r="B742" s="9"/>
      <c r="C742" s="9"/>
      <c r="D742" s="9"/>
      <c r="E742" s="9"/>
      <c r="F742" s="9"/>
      <c r="G742" s="59"/>
      <c r="H742" s="9"/>
    </row>
    <row r="743">
      <c r="A743" s="9"/>
      <c r="B743" s="9"/>
      <c r="C743" s="9"/>
      <c r="D743" s="9"/>
      <c r="E743" s="9"/>
      <c r="F743" s="9"/>
      <c r="G743" s="59"/>
      <c r="H743" s="9"/>
    </row>
    <row r="744">
      <c r="A744" s="9"/>
      <c r="B744" s="9"/>
      <c r="C744" s="9"/>
      <c r="D744" s="9"/>
      <c r="E744" s="9"/>
      <c r="F744" s="9"/>
      <c r="G744" s="59"/>
      <c r="H744" s="9"/>
    </row>
    <row r="745">
      <c r="A745" s="9"/>
      <c r="B745" s="9"/>
      <c r="C745" s="9"/>
      <c r="D745" s="9"/>
      <c r="E745" s="9"/>
      <c r="F745" s="9"/>
      <c r="G745" s="59"/>
      <c r="H745" s="9"/>
    </row>
    <row r="746">
      <c r="A746" s="9"/>
      <c r="B746" s="9"/>
      <c r="C746" s="9"/>
      <c r="D746" s="9"/>
      <c r="E746" s="9"/>
      <c r="F746" s="9"/>
      <c r="G746" s="59"/>
      <c r="H746" s="9"/>
    </row>
    <row r="747">
      <c r="A747" s="9"/>
      <c r="B747" s="9"/>
      <c r="C747" s="9"/>
      <c r="D747" s="9"/>
      <c r="E747" s="9"/>
      <c r="F747" s="9"/>
      <c r="G747" s="59"/>
      <c r="H747" s="9"/>
    </row>
    <row r="748">
      <c r="A748" s="9"/>
      <c r="B748" s="9"/>
      <c r="C748" s="9"/>
      <c r="D748" s="9"/>
      <c r="E748" s="9"/>
      <c r="F748" s="9"/>
      <c r="G748" s="59"/>
      <c r="H748" s="9"/>
    </row>
    <row r="749">
      <c r="A749" s="9"/>
      <c r="B749" s="9"/>
      <c r="C749" s="9"/>
      <c r="D749" s="9"/>
      <c r="E749" s="9"/>
      <c r="F749" s="9"/>
      <c r="G749" s="59"/>
      <c r="H749" s="9"/>
    </row>
    <row r="750">
      <c r="A750" s="9"/>
      <c r="B750" s="9"/>
      <c r="C750" s="9"/>
      <c r="D750" s="9"/>
      <c r="E750" s="9"/>
      <c r="F750" s="9"/>
      <c r="G750" s="59"/>
      <c r="H750" s="9"/>
    </row>
    <row r="751">
      <c r="A751" s="9"/>
      <c r="B751" s="9"/>
      <c r="C751" s="9"/>
      <c r="D751" s="9"/>
      <c r="E751" s="9"/>
      <c r="F751" s="9"/>
      <c r="G751" s="59"/>
      <c r="H751" s="9"/>
    </row>
    <row r="752">
      <c r="A752" s="9"/>
      <c r="B752" s="9"/>
      <c r="C752" s="9"/>
      <c r="D752" s="9"/>
      <c r="E752" s="9"/>
      <c r="F752" s="9"/>
      <c r="G752" s="59"/>
      <c r="H752" s="9"/>
    </row>
    <row r="753">
      <c r="A753" s="9"/>
      <c r="B753" s="9"/>
      <c r="C753" s="9"/>
      <c r="D753" s="9"/>
      <c r="E753" s="9"/>
      <c r="F753" s="9"/>
      <c r="G753" s="59"/>
      <c r="H753" s="9"/>
    </row>
    <row r="754">
      <c r="A754" s="9"/>
      <c r="B754" s="9"/>
      <c r="C754" s="9"/>
      <c r="D754" s="9"/>
      <c r="E754" s="9"/>
      <c r="F754" s="9"/>
      <c r="G754" s="59"/>
      <c r="H754" s="9"/>
    </row>
    <row r="755">
      <c r="A755" s="9"/>
      <c r="B755" s="9"/>
      <c r="C755" s="9"/>
      <c r="D755" s="9"/>
      <c r="E755" s="9"/>
      <c r="F755" s="9"/>
      <c r="G755" s="59"/>
      <c r="H755" s="9"/>
    </row>
    <row r="756">
      <c r="A756" s="9"/>
      <c r="B756" s="9"/>
      <c r="C756" s="9"/>
      <c r="D756" s="9"/>
      <c r="E756" s="9"/>
      <c r="F756" s="9"/>
      <c r="G756" s="59"/>
      <c r="H756" s="9"/>
    </row>
    <row r="757">
      <c r="A757" s="9"/>
      <c r="B757" s="9"/>
      <c r="C757" s="9"/>
      <c r="D757" s="9"/>
      <c r="E757" s="9"/>
      <c r="F757" s="9"/>
      <c r="G757" s="59"/>
      <c r="H757" s="9"/>
    </row>
    <row r="758">
      <c r="A758" s="9"/>
      <c r="B758" s="9"/>
      <c r="C758" s="9"/>
      <c r="D758" s="9"/>
      <c r="E758" s="9"/>
      <c r="F758" s="9"/>
      <c r="G758" s="59"/>
      <c r="H758" s="9"/>
    </row>
    <row r="759">
      <c r="A759" s="9"/>
      <c r="B759" s="9"/>
      <c r="C759" s="9"/>
      <c r="D759" s="9"/>
      <c r="E759" s="9"/>
      <c r="F759" s="9"/>
      <c r="G759" s="59"/>
      <c r="H759" s="9"/>
    </row>
    <row r="760">
      <c r="A760" s="9"/>
      <c r="B760" s="9"/>
      <c r="C760" s="9"/>
      <c r="D760" s="9"/>
      <c r="E760" s="9"/>
      <c r="F760" s="9"/>
      <c r="G760" s="59"/>
      <c r="H760" s="9"/>
    </row>
    <row r="761">
      <c r="A761" s="9"/>
      <c r="B761" s="9"/>
      <c r="C761" s="9"/>
      <c r="D761" s="9"/>
      <c r="E761" s="9"/>
      <c r="F761" s="9"/>
      <c r="G761" s="59"/>
      <c r="H761" s="9"/>
    </row>
    <row r="762">
      <c r="A762" s="9"/>
      <c r="B762" s="9"/>
      <c r="C762" s="9"/>
      <c r="D762" s="9"/>
      <c r="E762" s="9"/>
      <c r="F762" s="9"/>
      <c r="G762" s="59"/>
      <c r="H762" s="9"/>
    </row>
    <row r="763">
      <c r="A763" s="9"/>
      <c r="B763" s="9"/>
      <c r="C763" s="9"/>
      <c r="D763" s="9"/>
      <c r="E763" s="9"/>
      <c r="F763" s="9"/>
      <c r="G763" s="59"/>
      <c r="H763" s="9"/>
    </row>
    <row r="764">
      <c r="A764" s="9"/>
      <c r="B764" s="9"/>
      <c r="C764" s="9"/>
      <c r="D764" s="9"/>
      <c r="E764" s="9"/>
      <c r="F764" s="9"/>
      <c r="G764" s="59"/>
      <c r="H764" s="9"/>
    </row>
    <row r="765">
      <c r="A765" s="9"/>
      <c r="B765" s="9"/>
      <c r="C765" s="9"/>
      <c r="D765" s="9"/>
      <c r="E765" s="9"/>
      <c r="F765" s="9"/>
      <c r="G765" s="59"/>
      <c r="H765" s="9"/>
    </row>
    <row r="766">
      <c r="A766" s="9"/>
      <c r="B766" s="9"/>
      <c r="C766" s="9"/>
      <c r="D766" s="9"/>
      <c r="E766" s="9"/>
      <c r="F766" s="9"/>
      <c r="G766" s="59"/>
      <c r="H766" s="9"/>
    </row>
    <row r="767">
      <c r="A767" s="9"/>
      <c r="B767" s="9"/>
      <c r="C767" s="9"/>
      <c r="D767" s="9"/>
      <c r="E767" s="9"/>
      <c r="F767" s="9"/>
      <c r="G767" s="59"/>
      <c r="H767" s="9"/>
    </row>
    <row r="768">
      <c r="A768" s="9"/>
      <c r="B768" s="9"/>
      <c r="C768" s="9"/>
      <c r="D768" s="9"/>
      <c r="E768" s="9"/>
      <c r="F768" s="9"/>
      <c r="G768" s="59"/>
      <c r="H768" s="9"/>
    </row>
    <row r="769">
      <c r="A769" s="9"/>
      <c r="B769" s="9"/>
      <c r="C769" s="9"/>
      <c r="D769" s="9"/>
      <c r="E769" s="9"/>
      <c r="F769" s="9"/>
      <c r="G769" s="59"/>
      <c r="H769" s="9"/>
    </row>
    <row r="770">
      <c r="A770" s="9"/>
      <c r="B770" s="9"/>
      <c r="C770" s="9"/>
      <c r="D770" s="9"/>
      <c r="E770" s="9"/>
      <c r="F770" s="9"/>
      <c r="G770" s="59"/>
      <c r="H770" s="9"/>
    </row>
    <row r="771">
      <c r="A771" s="9"/>
      <c r="B771" s="9"/>
      <c r="C771" s="9"/>
      <c r="D771" s="9"/>
      <c r="E771" s="9"/>
      <c r="F771" s="9"/>
      <c r="G771" s="59"/>
      <c r="H771" s="9"/>
    </row>
    <row r="772">
      <c r="A772" s="9"/>
      <c r="B772" s="9"/>
      <c r="C772" s="9"/>
      <c r="D772" s="9"/>
      <c r="E772" s="9"/>
      <c r="F772" s="9"/>
      <c r="G772" s="59"/>
      <c r="H772" s="9"/>
    </row>
    <row r="773">
      <c r="A773" s="9"/>
      <c r="B773" s="9"/>
      <c r="C773" s="9"/>
      <c r="D773" s="9"/>
      <c r="E773" s="9"/>
      <c r="F773" s="9"/>
      <c r="G773" s="59"/>
      <c r="H773" s="9"/>
    </row>
    <row r="774">
      <c r="A774" s="9"/>
      <c r="B774" s="9"/>
      <c r="C774" s="9"/>
      <c r="D774" s="9"/>
      <c r="E774" s="9"/>
      <c r="F774" s="9"/>
      <c r="G774" s="59"/>
      <c r="H774" s="9"/>
    </row>
    <row r="775">
      <c r="A775" s="9"/>
      <c r="B775" s="9"/>
      <c r="C775" s="9"/>
      <c r="D775" s="9"/>
      <c r="E775" s="9"/>
      <c r="F775" s="9"/>
      <c r="G775" s="59"/>
      <c r="H775" s="9"/>
    </row>
    <row r="776">
      <c r="A776" s="9"/>
      <c r="B776" s="9"/>
      <c r="C776" s="9"/>
      <c r="D776" s="9"/>
      <c r="E776" s="9"/>
      <c r="F776" s="9"/>
      <c r="G776" s="59"/>
      <c r="H776" s="9"/>
    </row>
    <row r="777">
      <c r="A777" s="9"/>
      <c r="B777" s="9"/>
      <c r="C777" s="9"/>
      <c r="D777" s="9"/>
      <c r="E777" s="9"/>
      <c r="F777" s="9"/>
      <c r="G777" s="59"/>
      <c r="H777" s="9"/>
    </row>
    <row r="778">
      <c r="A778" s="9"/>
      <c r="B778" s="9"/>
      <c r="C778" s="9"/>
      <c r="D778" s="9"/>
      <c r="E778" s="9"/>
      <c r="F778" s="9"/>
      <c r="G778" s="59"/>
      <c r="H778" s="9"/>
    </row>
    <row r="779">
      <c r="A779" s="9"/>
      <c r="B779" s="9"/>
      <c r="C779" s="9"/>
      <c r="D779" s="9"/>
      <c r="E779" s="9"/>
      <c r="F779" s="9"/>
      <c r="G779" s="59"/>
      <c r="H779" s="9"/>
    </row>
    <row r="780">
      <c r="A780" s="9"/>
      <c r="B780" s="9"/>
      <c r="C780" s="9"/>
      <c r="D780" s="9"/>
      <c r="E780" s="9"/>
      <c r="F780" s="9"/>
      <c r="G780" s="59"/>
      <c r="H780" s="9"/>
    </row>
    <row r="781">
      <c r="A781" s="9"/>
      <c r="B781" s="9"/>
      <c r="C781" s="9"/>
      <c r="D781" s="9"/>
      <c r="E781" s="9"/>
      <c r="F781" s="9"/>
      <c r="G781" s="59"/>
      <c r="H781" s="9"/>
    </row>
    <row r="782">
      <c r="A782" s="9"/>
      <c r="B782" s="9"/>
      <c r="C782" s="9"/>
      <c r="D782" s="9"/>
      <c r="E782" s="9"/>
      <c r="F782" s="9"/>
      <c r="G782" s="59"/>
      <c r="H782" s="9"/>
    </row>
    <row r="783">
      <c r="A783" s="9"/>
      <c r="B783" s="9"/>
      <c r="C783" s="9"/>
      <c r="D783" s="9"/>
      <c r="E783" s="9"/>
      <c r="F783" s="9"/>
      <c r="G783" s="59"/>
      <c r="H783" s="9"/>
    </row>
    <row r="784">
      <c r="A784" s="9"/>
      <c r="B784" s="9"/>
      <c r="C784" s="9"/>
      <c r="D784" s="9"/>
      <c r="E784" s="9"/>
      <c r="F784" s="9"/>
      <c r="G784" s="59"/>
      <c r="H784" s="9"/>
    </row>
    <row r="785">
      <c r="A785" s="9"/>
      <c r="B785" s="9"/>
      <c r="C785" s="9"/>
      <c r="D785" s="9"/>
      <c r="E785" s="9"/>
      <c r="F785" s="9"/>
      <c r="G785" s="59"/>
      <c r="H785" s="9"/>
    </row>
    <row r="786">
      <c r="A786" s="9"/>
      <c r="B786" s="9"/>
      <c r="C786" s="9"/>
      <c r="D786" s="9"/>
      <c r="E786" s="9"/>
      <c r="F786" s="9"/>
      <c r="G786" s="59"/>
      <c r="H786" s="9"/>
    </row>
    <row r="787">
      <c r="A787" s="9"/>
      <c r="B787" s="9"/>
      <c r="C787" s="9"/>
      <c r="D787" s="9"/>
      <c r="E787" s="9"/>
      <c r="F787" s="9"/>
      <c r="G787" s="59"/>
      <c r="H787" s="9"/>
    </row>
    <row r="788">
      <c r="A788" s="9"/>
      <c r="B788" s="9"/>
      <c r="C788" s="9"/>
      <c r="D788" s="9"/>
      <c r="E788" s="9"/>
      <c r="F788" s="9"/>
      <c r="G788" s="59"/>
      <c r="H788" s="9"/>
    </row>
    <row r="789">
      <c r="A789" s="9"/>
      <c r="B789" s="9"/>
      <c r="C789" s="9"/>
      <c r="D789" s="9"/>
      <c r="E789" s="9"/>
      <c r="F789" s="9"/>
      <c r="G789" s="59"/>
      <c r="H789" s="9"/>
    </row>
    <row r="790">
      <c r="A790" s="9"/>
      <c r="B790" s="9"/>
      <c r="C790" s="9"/>
      <c r="D790" s="9"/>
      <c r="E790" s="9"/>
      <c r="F790" s="9"/>
      <c r="G790" s="59"/>
      <c r="H790" s="9"/>
    </row>
    <row r="791">
      <c r="A791" s="9"/>
      <c r="B791" s="9"/>
      <c r="C791" s="9"/>
      <c r="D791" s="9"/>
      <c r="E791" s="9"/>
      <c r="F791" s="9"/>
      <c r="G791" s="59"/>
      <c r="H791" s="9"/>
    </row>
    <row r="792">
      <c r="A792" s="9"/>
      <c r="B792" s="9"/>
      <c r="C792" s="9"/>
      <c r="D792" s="9"/>
      <c r="E792" s="9"/>
      <c r="F792" s="9"/>
      <c r="G792" s="59"/>
      <c r="H792" s="9"/>
    </row>
    <row r="793">
      <c r="A793" s="9"/>
      <c r="B793" s="9"/>
      <c r="C793" s="9"/>
      <c r="D793" s="9"/>
      <c r="E793" s="9"/>
      <c r="F793" s="9"/>
      <c r="G793" s="59"/>
      <c r="H793" s="9"/>
    </row>
    <row r="794">
      <c r="A794" s="9"/>
      <c r="B794" s="9"/>
      <c r="C794" s="9"/>
      <c r="D794" s="9"/>
      <c r="E794" s="9"/>
      <c r="F794" s="9"/>
      <c r="G794" s="59"/>
      <c r="H794" s="9"/>
    </row>
    <row r="795">
      <c r="A795" s="9"/>
      <c r="B795" s="9"/>
      <c r="C795" s="9"/>
      <c r="D795" s="9"/>
      <c r="E795" s="9"/>
      <c r="F795" s="9"/>
      <c r="G795" s="59"/>
      <c r="H795" s="9"/>
    </row>
    <row r="796">
      <c r="A796" s="9"/>
      <c r="B796" s="9"/>
      <c r="C796" s="9"/>
      <c r="D796" s="9"/>
      <c r="E796" s="9"/>
      <c r="F796" s="9"/>
      <c r="G796" s="59"/>
      <c r="H796" s="9"/>
    </row>
    <row r="797">
      <c r="A797" s="9"/>
      <c r="B797" s="9"/>
      <c r="C797" s="9"/>
      <c r="D797" s="9"/>
      <c r="E797" s="9"/>
      <c r="F797" s="9"/>
      <c r="G797" s="59"/>
      <c r="H797" s="9"/>
    </row>
    <row r="798">
      <c r="A798" s="9"/>
      <c r="B798" s="9"/>
      <c r="C798" s="9"/>
      <c r="D798" s="9"/>
      <c r="E798" s="9"/>
      <c r="F798" s="9"/>
      <c r="G798" s="59"/>
      <c r="H798" s="9"/>
    </row>
    <row r="799">
      <c r="A799" s="9"/>
      <c r="B799" s="9"/>
      <c r="C799" s="9"/>
      <c r="D799" s="9"/>
      <c r="E799" s="9"/>
      <c r="F799" s="9"/>
      <c r="G799" s="59"/>
      <c r="H799" s="9"/>
    </row>
    <row r="800">
      <c r="A800" s="9"/>
      <c r="B800" s="9"/>
      <c r="C800" s="9"/>
      <c r="D800" s="9"/>
      <c r="E800" s="9"/>
      <c r="F800" s="9"/>
      <c r="G800" s="59"/>
      <c r="H800" s="9"/>
    </row>
    <row r="801">
      <c r="A801" s="9"/>
      <c r="B801" s="9"/>
      <c r="C801" s="9"/>
      <c r="D801" s="9"/>
      <c r="E801" s="9"/>
      <c r="F801" s="9"/>
      <c r="G801" s="59"/>
      <c r="H801" s="9"/>
    </row>
    <row r="802">
      <c r="A802" s="9"/>
      <c r="B802" s="9"/>
      <c r="C802" s="9"/>
      <c r="D802" s="9"/>
      <c r="E802" s="9"/>
      <c r="F802" s="9"/>
      <c r="G802" s="59"/>
      <c r="H802" s="9"/>
    </row>
    <row r="803">
      <c r="A803" s="9"/>
      <c r="B803" s="9"/>
      <c r="C803" s="9"/>
      <c r="D803" s="9"/>
      <c r="E803" s="9"/>
      <c r="F803" s="9"/>
      <c r="G803" s="59"/>
      <c r="H803" s="9"/>
    </row>
    <row r="804">
      <c r="A804" s="9"/>
      <c r="B804" s="9"/>
      <c r="C804" s="9"/>
      <c r="D804" s="9"/>
      <c r="E804" s="9"/>
      <c r="F804" s="9"/>
      <c r="G804" s="59"/>
      <c r="H804" s="9"/>
    </row>
    <row r="805">
      <c r="A805" s="9"/>
      <c r="B805" s="9"/>
      <c r="C805" s="9"/>
      <c r="D805" s="9"/>
      <c r="E805" s="9"/>
      <c r="F805" s="9"/>
      <c r="G805" s="59"/>
      <c r="H805" s="9"/>
    </row>
    <row r="806">
      <c r="A806" s="9"/>
      <c r="B806" s="9"/>
      <c r="C806" s="9"/>
      <c r="D806" s="9"/>
      <c r="E806" s="9"/>
      <c r="F806" s="9"/>
      <c r="G806" s="59"/>
      <c r="H806" s="9"/>
    </row>
    <row r="807">
      <c r="A807" s="9"/>
      <c r="B807" s="9"/>
      <c r="C807" s="9"/>
      <c r="D807" s="9"/>
      <c r="E807" s="9"/>
      <c r="F807" s="9"/>
      <c r="G807" s="59"/>
      <c r="H807" s="9"/>
    </row>
    <row r="808">
      <c r="A808" s="9"/>
      <c r="B808" s="9"/>
      <c r="C808" s="9"/>
      <c r="D808" s="9"/>
      <c r="E808" s="9"/>
      <c r="F808" s="9"/>
      <c r="G808" s="59"/>
      <c r="H808" s="9"/>
    </row>
    <row r="809">
      <c r="A809" s="9"/>
      <c r="B809" s="9"/>
      <c r="C809" s="9"/>
      <c r="D809" s="9"/>
      <c r="E809" s="9"/>
      <c r="F809" s="9"/>
      <c r="G809" s="59"/>
      <c r="H809" s="9"/>
    </row>
    <row r="810">
      <c r="A810" s="9"/>
      <c r="B810" s="9"/>
      <c r="C810" s="9"/>
      <c r="D810" s="9"/>
      <c r="E810" s="9"/>
      <c r="F810" s="9"/>
      <c r="G810" s="59"/>
      <c r="H810" s="9"/>
    </row>
    <row r="811">
      <c r="A811" s="9"/>
      <c r="B811" s="9"/>
      <c r="C811" s="9"/>
      <c r="D811" s="9"/>
      <c r="E811" s="9"/>
      <c r="F811" s="9"/>
      <c r="G811" s="59"/>
      <c r="H811" s="9"/>
    </row>
    <row r="812">
      <c r="A812" s="9"/>
      <c r="B812" s="9"/>
      <c r="C812" s="9"/>
      <c r="D812" s="9"/>
      <c r="E812" s="9"/>
      <c r="F812" s="9"/>
      <c r="G812" s="59"/>
      <c r="H812" s="9"/>
    </row>
    <row r="813">
      <c r="A813" s="9"/>
      <c r="B813" s="9"/>
      <c r="C813" s="9"/>
      <c r="D813" s="9"/>
      <c r="E813" s="9"/>
      <c r="F813" s="9"/>
      <c r="G813" s="59"/>
      <c r="H813" s="9"/>
    </row>
    <row r="814">
      <c r="A814" s="9"/>
      <c r="B814" s="9"/>
      <c r="C814" s="9"/>
      <c r="D814" s="9"/>
      <c r="E814" s="9"/>
      <c r="F814" s="9"/>
      <c r="G814" s="59"/>
      <c r="H814" s="9"/>
    </row>
    <row r="815">
      <c r="A815" s="9"/>
      <c r="B815" s="9"/>
      <c r="C815" s="9"/>
      <c r="D815" s="9"/>
      <c r="E815" s="9"/>
      <c r="F815" s="9"/>
      <c r="G815" s="59"/>
      <c r="H815" s="9"/>
    </row>
    <row r="816">
      <c r="A816" s="9"/>
      <c r="B816" s="9"/>
      <c r="C816" s="9"/>
      <c r="D816" s="9"/>
      <c r="E816" s="9"/>
      <c r="F816" s="9"/>
      <c r="G816" s="59"/>
      <c r="H816" s="9"/>
    </row>
    <row r="817">
      <c r="A817" s="9"/>
      <c r="B817" s="9"/>
      <c r="C817" s="9"/>
      <c r="D817" s="9"/>
      <c r="E817" s="9"/>
      <c r="F817" s="9"/>
      <c r="G817" s="59"/>
      <c r="H817" s="9"/>
    </row>
    <row r="818">
      <c r="A818" s="9"/>
      <c r="B818" s="9"/>
      <c r="C818" s="9"/>
      <c r="D818" s="9"/>
      <c r="E818" s="9"/>
      <c r="F818" s="9"/>
      <c r="G818" s="59"/>
      <c r="H818" s="9"/>
    </row>
    <row r="819">
      <c r="A819" s="9"/>
      <c r="B819" s="9"/>
      <c r="C819" s="9"/>
      <c r="D819" s="9"/>
      <c r="E819" s="9"/>
      <c r="F819" s="9"/>
      <c r="G819" s="59"/>
      <c r="H819" s="9"/>
    </row>
    <row r="820">
      <c r="A820" s="9"/>
      <c r="B820" s="9"/>
      <c r="C820" s="9"/>
      <c r="D820" s="9"/>
      <c r="E820" s="9"/>
      <c r="F820" s="9"/>
      <c r="G820" s="59"/>
      <c r="H820" s="9"/>
    </row>
    <row r="821">
      <c r="A821" s="9"/>
      <c r="B821" s="9"/>
      <c r="C821" s="9"/>
      <c r="D821" s="9"/>
      <c r="E821" s="9"/>
      <c r="F821" s="9"/>
      <c r="G821" s="59"/>
      <c r="H821" s="9"/>
    </row>
    <row r="822">
      <c r="A822" s="9"/>
      <c r="B822" s="9"/>
      <c r="C822" s="9"/>
      <c r="D822" s="9"/>
      <c r="E822" s="9"/>
      <c r="F822" s="9"/>
      <c r="G822" s="59"/>
      <c r="H822" s="9"/>
    </row>
    <row r="823">
      <c r="A823" s="9"/>
      <c r="B823" s="9"/>
      <c r="C823" s="9"/>
      <c r="D823" s="9"/>
      <c r="E823" s="9"/>
      <c r="F823" s="9"/>
      <c r="G823" s="59"/>
      <c r="H823" s="9"/>
    </row>
    <row r="824">
      <c r="A824" s="9"/>
      <c r="B824" s="9"/>
      <c r="C824" s="9"/>
      <c r="D824" s="9"/>
      <c r="E824" s="9"/>
      <c r="F824" s="9"/>
      <c r="G824" s="59"/>
      <c r="H824" s="9"/>
    </row>
    <row r="825">
      <c r="A825" s="9"/>
      <c r="B825" s="9"/>
      <c r="C825" s="9"/>
      <c r="D825" s="9"/>
      <c r="E825" s="9"/>
      <c r="F825" s="9"/>
      <c r="G825" s="59"/>
      <c r="H825" s="9"/>
    </row>
    <row r="826">
      <c r="A826" s="9"/>
      <c r="B826" s="9"/>
      <c r="C826" s="9"/>
      <c r="D826" s="9"/>
      <c r="E826" s="9"/>
      <c r="F826" s="9"/>
      <c r="G826" s="59"/>
      <c r="H826" s="9"/>
    </row>
    <row r="827">
      <c r="A827" s="9"/>
      <c r="B827" s="9"/>
      <c r="C827" s="9"/>
      <c r="D827" s="9"/>
      <c r="E827" s="9"/>
      <c r="F827" s="9"/>
      <c r="G827" s="59"/>
      <c r="H827" s="9"/>
    </row>
    <row r="828">
      <c r="A828" s="9"/>
      <c r="B828" s="9"/>
      <c r="C828" s="9"/>
      <c r="D828" s="9"/>
      <c r="E828" s="9"/>
      <c r="F828" s="9"/>
      <c r="G828" s="59"/>
      <c r="H828" s="9"/>
    </row>
    <row r="829">
      <c r="A829" s="9"/>
      <c r="B829" s="9"/>
      <c r="C829" s="9"/>
      <c r="D829" s="9"/>
      <c r="E829" s="9"/>
      <c r="F829" s="9"/>
      <c r="G829" s="59"/>
      <c r="H829" s="9"/>
    </row>
    <row r="830">
      <c r="A830" s="9"/>
      <c r="B830" s="9"/>
      <c r="C830" s="9"/>
      <c r="D830" s="9"/>
      <c r="E830" s="9"/>
      <c r="F830" s="9"/>
      <c r="G830" s="59"/>
      <c r="H830" s="9"/>
    </row>
    <row r="831">
      <c r="A831" s="9"/>
      <c r="B831" s="9"/>
      <c r="C831" s="9"/>
      <c r="D831" s="9"/>
      <c r="E831" s="9"/>
      <c r="F831" s="9"/>
      <c r="G831" s="59"/>
      <c r="H831" s="9"/>
    </row>
    <row r="832">
      <c r="A832" s="9"/>
      <c r="B832" s="9"/>
      <c r="C832" s="9"/>
      <c r="D832" s="9"/>
      <c r="E832" s="9"/>
      <c r="F832" s="9"/>
      <c r="G832" s="59"/>
      <c r="H832" s="9"/>
    </row>
    <row r="833">
      <c r="A833" s="9"/>
      <c r="B833" s="9"/>
      <c r="C833" s="9"/>
      <c r="D833" s="9"/>
      <c r="E833" s="9"/>
      <c r="F833" s="9"/>
      <c r="G833" s="59"/>
      <c r="H833" s="9"/>
    </row>
    <row r="834">
      <c r="A834" s="9"/>
      <c r="B834" s="9"/>
      <c r="C834" s="9"/>
      <c r="D834" s="9"/>
      <c r="E834" s="9"/>
      <c r="F834" s="9"/>
      <c r="G834" s="59"/>
      <c r="H834" s="9"/>
    </row>
    <row r="835">
      <c r="A835" s="9"/>
      <c r="B835" s="9"/>
      <c r="C835" s="9"/>
      <c r="D835" s="9"/>
      <c r="E835" s="9"/>
      <c r="F835" s="9"/>
      <c r="G835" s="59"/>
      <c r="H835" s="9"/>
    </row>
    <row r="836">
      <c r="A836" s="9"/>
      <c r="B836" s="9"/>
      <c r="C836" s="9"/>
      <c r="D836" s="9"/>
      <c r="E836" s="9"/>
      <c r="F836" s="9"/>
      <c r="G836" s="59"/>
      <c r="H836" s="9"/>
    </row>
    <row r="837">
      <c r="A837" s="9"/>
      <c r="B837" s="9"/>
      <c r="C837" s="9"/>
      <c r="D837" s="9"/>
      <c r="E837" s="9"/>
      <c r="F837" s="9"/>
      <c r="G837" s="59"/>
      <c r="H837" s="9"/>
    </row>
    <row r="838">
      <c r="A838" s="9"/>
      <c r="B838" s="9"/>
      <c r="C838" s="9"/>
      <c r="D838" s="9"/>
      <c r="E838" s="9"/>
      <c r="F838" s="9"/>
      <c r="G838" s="59"/>
      <c r="H838" s="9"/>
    </row>
    <row r="839">
      <c r="A839" s="9"/>
      <c r="B839" s="9"/>
      <c r="C839" s="9"/>
      <c r="D839" s="9"/>
      <c r="E839" s="9"/>
      <c r="F839" s="9"/>
      <c r="G839" s="59"/>
      <c r="H839" s="9"/>
    </row>
    <row r="840">
      <c r="A840" s="9"/>
      <c r="B840" s="9"/>
      <c r="C840" s="9"/>
      <c r="D840" s="9"/>
      <c r="E840" s="9"/>
      <c r="F840" s="9"/>
      <c r="G840" s="59"/>
      <c r="H840" s="9"/>
    </row>
    <row r="841">
      <c r="A841" s="9"/>
      <c r="B841" s="9"/>
      <c r="C841" s="9"/>
      <c r="D841" s="9"/>
      <c r="E841" s="9"/>
      <c r="F841" s="9"/>
      <c r="G841" s="59"/>
      <c r="H841" s="9"/>
    </row>
    <row r="842">
      <c r="A842" s="9"/>
      <c r="B842" s="9"/>
      <c r="C842" s="9"/>
      <c r="D842" s="9"/>
      <c r="E842" s="9"/>
      <c r="F842" s="9"/>
      <c r="G842" s="59"/>
      <c r="H842" s="9"/>
    </row>
    <row r="843">
      <c r="A843" s="9"/>
      <c r="B843" s="9"/>
      <c r="C843" s="9"/>
      <c r="D843" s="9"/>
      <c r="E843" s="9"/>
      <c r="F843" s="9"/>
      <c r="G843" s="59"/>
      <c r="H843" s="9"/>
    </row>
    <row r="844">
      <c r="A844" s="9"/>
      <c r="B844" s="9"/>
      <c r="C844" s="9"/>
      <c r="D844" s="9"/>
      <c r="E844" s="9"/>
      <c r="F844" s="9"/>
      <c r="G844" s="59"/>
      <c r="H844" s="9"/>
    </row>
    <row r="845">
      <c r="A845" s="9"/>
      <c r="B845" s="9"/>
      <c r="C845" s="9"/>
      <c r="D845" s="9"/>
      <c r="E845" s="9"/>
      <c r="F845" s="9"/>
      <c r="G845" s="59"/>
      <c r="H845" s="9"/>
    </row>
    <row r="846">
      <c r="A846" s="9"/>
      <c r="B846" s="9"/>
      <c r="C846" s="9"/>
      <c r="D846" s="9"/>
      <c r="E846" s="9"/>
      <c r="F846" s="9"/>
      <c r="G846" s="59"/>
      <c r="H846" s="9"/>
    </row>
    <row r="847">
      <c r="A847" s="9"/>
      <c r="B847" s="9"/>
      <c r="C847" s="9"/>
      <c r="D847" s="9"/>
      <c r="E847" s="9"/>
      <c r="F847" s="9"/>
      <c r="G847" s="59"/>
      <c r="H847" s="9"/>
    </row>
    <row r="848">
      <c r="A848" s="9"/>
      <c r="B848" s="9"/>
      <c r="C848" s="9"/>
      <c r="D848" s="9"/>
      <c r="E848" s="9"/>
      <c r="F848" s="9"/>
      <c r="G848" s="59"/>
      <c r="H848" s="9"/>
    </row>
    <row r="849">
      <c r="A849" s="9"/>
      <c r="B849" s="9"/>
      <c r="C849" s="9"/>
      <c r="D849" s="9"/>
      <c r="E849" s="9"/>
      <c r="F849" s="9"/>
      <c r="G849" s="59"/>
      <c r="H849" s="9"/>
    </row>
    <row r="850">
      <c r="A850" s="9"/>
      <c r="B850" s="9"/>
      <c r="C850" s="9"/>
      <c r="D850" s="9"/>
      <c r="E850" s="9"/>
      <c r="F850" s="9"/>
      <c r="G850" s="59"/>
      <c r="H850" s="9"/>
    </row>
    <row r="851">
      <c r="A851" s="9"/>
      <c r="B851" s="9"/>
      <c r="C851" s="9"/>
      <c r="D851" s="9"/>
      <c r="E851" s="9"/>
      <c r="F851" s="9"/>
      <c r="G851" s="59"/>
      <c r="H851" s="9"/>
    </row>
    <row r="852">
      <c r="A852" s="9"/>
      <c r="B852" s="9"/>
      <c r="C852" s="9"/>
      <c r="D852" s="9"/>
      <c r="E852" s="9"/>
      <c r="F852" s="9"/>
      <c r="G852" s="59"/>
      <c r="H852" s="9"/>
    </row>
    <row r="853">
      <c r="A853" s="9"/>
      <c r="B853" s="9"/>
      <c r="C853" s="9"/>
      <c r="D853" s="9"/>
      <c r="E853" s="9"/>
      <c r="F853" s="9"/>
      <c r="G853" s="59"/>
      <c r="H853" s="9"/>
    </row>
    <row r="854">
      <c r="A854" s="9"/>
      <c r="B854" s="9"/>
      <c r="C854" s="9"/>
      <c r="D854" s="9"/>
      <c r="E854" s="9"/>
      <c r="F854" s="9"/>
      <c r="G854" s="59"/>
      <c r="H854" s="9"/>
    </row>
    <row r="855">
      <c r="A855" s="9"/>
      <c r="B855" s="9"/>
      <c r="C855" s="9"/>
      <c r="D855" s="9"/>
      <c r="E855" s="9"/>
      <c r="F855" s="9"/>
      <c r="G855" s="59"/>
      <c r="H855" s="9"/>
    </row>
    <row r="856">
      <c r="A856" s="9"/>
      <c r="B856" s="9"/>
      <c r="C856" s="9"/>
      <c r="D856" s="9"/>
      <c r="E856" s="9"/>
      <c r="F856" s="9"/>
      <c r="G856" s="59"/>
      <c r="H856" s="9"/>
    </row>
    <row r="857">
      <c r="A857" s="9"/>
      <c r="B857" s="9"/>
      <c r="C857" s="9"/>
      <c r="D857" s="9"/>
      <c r="E857" s="9"/>
      <c r="F857" s="9"/>
      <c r="G857" s="59"/>
      <c r="H857" s="9"/>
    </row>
    <row r="858">
      <c r="A858" s="9"/>
      <c r="B858" s="9"/>
      <c r="C858" s="9"/>
      <c r="D858" s="9"/>
      <c r="E858" s="9"/>
      <c r="F858" s="9"/>
      <c r="G858" s="59"/>
      <c r="H858" s="9"/>
    </row>
    <row r="859">
      <c r="A859" s="9"/>
      <c r="B859" s="9"/>
      <c r="C859" s="9"/>
      <c r="D859" s="9"/>
      <c r="E859" s="9"/>
      <c r="F859" s="9"/>
      <c r="G859" s="59"/>
      <c r="H859" s="9"/>
    </row>
    <row r="860">
      <c r="A860" s="9"/>
      <c r="B860" s="9"/>
      <c r="C860" s="9"/>
      <c r="D860" s="9"/>
      <c r="E860" s="9"/>
      <c r="F860" s="9"/>
      <c r="G860" s="59"/>
      <c r="H860" s="9"/>
    </row>
    <row r="861">
      <c r="A861" s="9"/>
      <c r="B861" s="9"/>
      <c r="C861" s="9"/>
      <c r="D861" s="9"/>
      <c r="E861" s="9"/>
      <c r="F861" s="9"/>
      <c r="G861" s="59"/>
      <c r="H861" s="9"/>
    </row>
    <row r="862">
      <c r="A862" s="9"/>
      <c r="B862" s="9"/>
      <c r="C862" s="9"/>
      <c r="D862" s="9"/>
      <c r="E862" s="9"/>
      <c r="F862" s="9"/>
      <c r="G862" s="59"/>
      <c r="H862" s="9"/>
    </row>
    <row r="863">
      <c r="A863" s="9"/>
      <c r="B863" s="9"/>
      <c r="C863" s="9"/>
      <c r="D863" s="9"/>
      <c r="E863" s="9"/>
      <c r="F863" s="9"/>
      <c r="G863" s="59"/>
      <c r="H863" s="9"/>
    </row>
    <row r="864">
      <c r="A864" s="9"/>
      <c r="B864" s="9"/>
      <c r="C864" s="9"/>
      <c r="D864" s="9"/>
      <c r="E864" s="9"/>
      <c r="F864" s="9"/>
      <c r="G864" s="59"/>
      <c r="H864" s="9"/>
    </row>
    <row r="865">
      <c r="A865" s="9"/>
      <c r="B865" s="9"/>
      <c r="C865" s="9"/>
      <c r="D865" s="9"/>
      <c r="E865" s="9"/>
      <c r="F865" s="9"/>
      <c r="G865" s="59"/>
      <c r="H865" s="9"/>
    </row>
    <row r="866">
      <c r="A866" s="9"/>
      <c r="B866" s="9"/>
      <c r="C866" s="9"/>
      <c r="D866" s="9"/>
      <c r="E866" s="9"/>
      <c r="F866" s="9"/>
      <c r="G866" s="59"/>
      <c r="H866" s="9"/>
    </row>
    <row r="867">
      <c r="A867" s="9"/>
      <c r="B867" s="9"/>
      <c r="C867" s="9"/>
      <c r="D867" s="9"/>
      <c r="E867" s="9"/>
      <c r="F867" s="9"/>
      <c r="G867" s="59"/>
      <c r="H867" s="9"/>
    </row>
    <row r="868">
      <c r="A868" s="9"/>
      <c r="B868" s="9"/>
      <c r="C868" s="9"/>
      <c r="D868" s="9"/>
      <c r="E868" s="9"/>
      <c r="F868" s="9"/>
      <c r="G868" s="59"/>
      <c r="H868" s="9"/>
    </row>
    <row r="869">
      <c r="A869" s="9"/>
      <c r="B869" s="9"/>
      <c r="C869" s="9"/>
      <c r="D869" s="9"/>
      <c r="E869" s="9"/>
      <c r="F869" s="9"/>
      <c r="G869" s="59"/>
      <c r="H869" s="9"/>
    </row>
    <row r="870">
      <c r="A870" s="9"/>
      <c r="B870" s="9"/>
      <c r="C870" s="9"/>
      <c r="D870" s="9"/>
      <c r="E870" s="9"/>
      <c r="F870" s="9"/>
      <c r="G870" s="59"/>
      <c r="H870" s="9"/>
    </row>
    <row r="871">
      <c r="A871" s="9"/>
      <c r="B871" s="9"/>
      <c r="C871" s="9"/>
      <c r="D871" s="9"/>
      <c r="E871" s="9"/>
      <c r="F871" s="9"/>
      <c r="G871" s="59"/>
      <c r="H871" s="9"/>
    </row>
    <row r="872">
      <c r="A872" s="9"/>
      <c r="B872" s="9"/>
      <c r="C872" s="9"/>
      <c r="D872" s="9"/>
      <c r="E872" s="9"/>
      <c r="F872" s="9"/>
      <c r="G872" s="59"/>
      <c r="H872" s="9"/>
    </row>
    <row r="873">
      <c r="A873" s="9"/>
      <c r="B873" s="9"/>
      <c r="C873" s="9"/>
      <c r="D873" s="9"/>
      <c r="E873" s="9"/>
      <c r="F873" s="9"/>
      <c r="G873" s="59"/>
      <c r="H873" s="9"/>
    </row>
    <row r="874">
      <c r="A874" s="9"/>
      <c r="B874" s="9"/>
      <c r="C874" s="9"/>
      <c r="D874" s="9"/>
      <c r="E874" s="9"/>
      <c r="F874" s="9"/>
      <c r="G874" s="59"/>
      <c r="H874" s="9"/>
    </row>
    <row r="875">
      <c r="A875" s="9"/>
      <c r="B875" s="9"/>
      <c r="C875" s="9"/>
      <c r="D875" s="9"/>
      <c r="E875" s="9"/>
      <c r="F875" s="9"/>
      <c r="G875" s="59"/>
      <c r="H875" s="9"/>
    </row>
    <row r="876">
      <c r="A876" s="9"/>
      <c r="B876" s="9"/>
      <c r="C876" s="9"/>
      <c r="D876" s="9"/>
      <c r="E876" s="9"/>
      <c r="F876" s="9"/>
      <c r="G876" s="59"/>
      <c r="H876" s="9"/>
    </row>
    <row r="877">
      <c r="A877" s="9"/>
      <c r="B877" s="9"/>
      <c r="C877" s="9"/>
      <c r="D877" s="9"/>
      <c r="E877" s="9"/>
      <c r="F877" s="9"/>
      <c r="G877" s="59"/>
      <c r="H877" s="9"/>
    </row>
    <row r="878">
      <c r="A878" s="9"/>
      <c r="B878" s="9"/>
      <c r="C878" s="9"/>
      <c r="D878" s="9"/>
      <c r="E878" s="9"/>
      <c r="F878" s="9"/>
      <c r="G878" s="59"/>
      <c r="H878" s="9"/>
    </row>
    <row r="879">
      <c r="A879" s="9"/>
      <c r="B879" s="9"/>
      <c r="C879" s="9"/>
      <c r="D879" s="9"/>
      <c r="E879" s="9"/>
      <c r="F879" s="9"/>
      <c r="G879" s="59"/>
      <c r="H879" s="9"/>
    </row>
    <row r="880">
      <c r="A880" s="9"/>
      <c r="B880" s="9"/>
      <c r="C880" s="9"/>
      <c r="D880" s="9"/>
      <c r="E880" s="9"/>
      <c r="F880" s="9"/>
      <c r="G880" s="59"/>
      <c r="H880" s="9"/>
    </row>
    <row r="881">
      <c r="A881" s="9"/>
      <c r="B881" s="9"/>
      <c r="C881" s="9"/>
      <c r="D881" s="9"/>
      <c r="E881" s="9"/>
      <c r="F881" s="9"/>
      <c r="G881" s="59"/>
      <c r="H881" s="9"/>
    </row>
    <row r="882">
      <c r="A882" s="9"/>
      <c r="B882" s="9"/>
      <c r="C882" s="9"/>
      <c r="D882" s="9"/>
      <c r="E882" s="9"/>
      <c r="F882" s="9"/>
      <c r="G882" s="59"/>
      <c r="H882" s="9"/>
    </row>
    <row r="883">
      <c r="A883" s="9"/>
      <c r="B883" s="9"/>
      <c r="C883" s="9"/>
      <c r="D883" s="9"/>
      <c r="E883" s="9"/>
      <c r="F883" s="9"/>
      <c r="G883" s="59"/>
      <c r="H883" s="9"/>
    </row>
    <row r="884">
      <c r="A884" s="9"/>
      <c r="B884" s="9"/>
      <c r="C884" s="9"/>
      <c r="D884" s="9"/>
      <c r="E884" s="9"/>
      <c r="F884" s="9"/>
      <c r="G884" s="59"/>
      <c r="H884" s="9"/>
    </row>
    <row r="885">
      <c r="A885" s="9"/>
      <c r="B885" s="9"/>
      <c r="C885" s="9"/>
      <c r="D885" s="9"/>
      <c r="E885" s="9"/>
      <c r="F885" s="9"/>
      <c r="G885" s="59"/>
      <c r="H885" s="9"/>
    </row>
    <row r="886">
      <c r="A886" s="9"/>
      <c r="B886" s="9"/>
      <c r="C886" s="9"/>
      <c r="D886" s="9"/>
      <c r="E886" s="9"/>
      <c r="F886" s="9"/>
      <c r="G886" s="59"/>
      <c r="H886" s="9"/>
    </row>
    <row r="887">
      <c r="A887" s="9"/>
      <c r="B887" s="9"/>
      <c r="C887" s="9"/>
      <c r="D887" s="9"/>
      <c r="E887" s="9"/>
      <c r="F887" s="9"/>
      <c r="G887" s="59"/>
      <c r="H887" s="9"/>
    </row>
    <row r="888">
      <c r="A888" s="9"/>
      <c r="B888" s="9"/>
      <c r="C888" s="9"/>
      <c r="D888" s="9"/>
      <c r="E888" s="9"/>
      <c r="F888" s="9"/>
      <c r="G888" s="59"/>
      <c r="H888" s="9"/>
    </row>
    <row r="889">
      <c r="A889" s="9"/>
      <c r="B889" s="9"/>
      <c r="C889" s="9"/>
      <c r="D889" s="9"/>
      <c r="E889" s="9"/>
      <c r="F889" s="9"/>
      <c r="G889" s="59"/>
      <c r="H889" s="9"/>
    </row>
    <row r="890">
      <c r="A890" s="9"/>
      <c r="B890" s="9"/>
      <c r="C890" s="9"/>
      <c r="D890" s="9"/>
      <c r="E890" s="9"/>
      <c r="F890" s="9"/>
      <c r="G890" s="59"/>
      <c r="H890" s="9"/>
    </row>
    <row r="891">
      <c r="A891" s="9"/>
      <c r="B891" s="9"/>
      <c r="C891" s="9"/>
      <c r="D891" s="9"/>
      <c r="E891" s="9"/>
      <c r="F891" s="9"/>
      <c r="G891" s="59"/>
      <c r="H891" s="9"/>
    </row>
    <row r="892">
      <c r="A892" s="9"/>
      <c r="B892" s="9"/>
      <c r="C892" s="9"/>
      <c r="D892" s="9"/>
      <c r="E892" s="9"/>
      <c r="F892" s="9"/>
      <c r="G892" s="59"/>
      <c r="H892" s="9"/>
    </row>
    <row r="893">
      <c r="A893" s="9"/>
      <c r="B893" s="9"/>
      <c r="C893" s="9"/>
      <c r="D893" s="9"/>
      <c r="E893" s="9"/>
      <c r="F893" s="9"/>
      <c r="G893" s="59"/>
      <c r="H893" s="9"/>
    </row>
    <row r="894">
      <c r="A894" s="9"/>
      <c r="B894" s="9"/>
      <c r="C894" s="9"/>
      <c r="D894" s="9"/>
      <c r="E894" s="9"/>
      <c r="F894" s="9"/>
      <c r="G894" s="59"/>
      <c r="H894" s="9"/>
    </row>
    <row r="895">
      <c r="A895" s="9"/>
      <c r="B895" s="9"/>
      <c r="C895" s="9"/>
      <c r="D895" s="9"/>
      <c r="E895" s="9"/>
      <c r="F895" s="9"/>
      <c r="G895" s="59"/>
      <c r="H895" s="9"/>
    </row>
    <row r="896">
      <c r="A896" s="9"/>
      <c r="B896" s="9"/>
      <c r="C896" s="9"/>
      <c r="D896" s="9"/>
      <c r="E896" s="9"/>
      <c r="F896" s="9"/>
      <c r="G896" s="59"/>
      <c r="H896" s="9"/>
    </row>
    <row r="897">
      <c r="A897" s="9"/>
      <c r="B897" s="9"/>
      <c r="C897" s="9"/>
      <c r="D897" s="9"/>
      <c r="E897" s="9"/>
      <c r="F897" s="9"/>
      <c r="G897" s="59"/>
      <c r="H897" s="9"/>
    </row>
    <row r="898">
      <c r="A898" s="9"/>
      <c r="B898" s="9"/>
      <c r="C898" s="9"/>
      <c r="D898" s="9"/>
      <c r="E898" s="9"/>
      <c r="F898" s="9"/>
      <c r="G898" s="59"/>
      <c r="H898" s="9"/>
    </row>
    <row r="899">
      <c r="A899" s="9"/>
      <c r="B899" s="9"/>
      <c r="C899" s="9"/>
      <c r="D899" s="9"/>
      <c r="E899" s="9"/>
      <c r="F899" s="9"/>
      <c r="G899" s="59"/>
      <c r="H899" s="9"/>
    </row>
    <row r="900">
      <c r="A900" s="9"/>
      <c r="B900" s="9"/>
      <c r="C900" s="9"/>
      <c r="D900" s="9"/>
      <c r="E900" s="9"/>
      <c r="F900" s="9"/>
      <c r="G900" s="59"/>
      <c r="H900" s="9"/>
    </row>
    <row r="901">
      <c r="A901" s="9"/>
      <c r="B901" s="9"/>
      <c r="C901" s="9"/>
      <c r="D901" s="9"/>
      <c r="E901" s="9"/>
      <c r="F901" s="9"/>
      <c r="G901" s="59"/>
      <c r="H901" s="9"/>
    </row>
    <row r="902">
      <c r="A902" s="9"/>
      <c r="B902" s="9"/>
      <c r="C902" s="9"/>
      <c r="D902" s="9"/>
      <c r="E902" s="9"/>
      <c r="F902" s="9"/>
      <c r="G902" s="59"/>
      <c r="H902" s="9"/>
    </row>
    <row r="903">
      <c r="A903" s="9"/>
      <c r="B903" s="9"/>
      <c r="C903" s="9"/>
      <c r="D903" s="9"/>
      <c r="E903" s="9"/>
      <c r="F903" s="9"/>
      <c r="G903" s="59"/>
      <c r="H903" s="9"/>
    </row>
    <row r="904">
      <c r="A904" s="9"/>
      <c r="B904" s="9"/>
      <c r="C904" s="9"/>
      <c r="D904" s="9"/>
      <c r="E904" s="9"/>
      <c r="F904" s="9"/>
      <c r="G904" s="59"/>
      <c r="H904" s="9"/>
    </row>
    <row r="905">
      <c r="A905" s="9"/>
      <c r="B905" s="9"/>
      <c r="C905" s="9"/>
      <c r="D905" s="9"/>
      <c r="E905" s="9"/>
      <c r="F905" s="9"/>
      <c r="G905" s="59"/>
      <c r="H905" s="9"/>
    </row>
    <row r="906">
      <c r="A906" s="9"/>
      <c r="B906" s="9"/>
      <c r="C906" s="9"/>
      <c r="D906" s="9"/>
      <c r="E906" s="9"/>
      <c r="F906" s="9"/>
      <c r="G906" s="59"/>
      <c r="H906" s="9"/>
    </row>
    <row r="907">
      <c r="A907" s="9"/>
      <c r="B907" s="9"/>
      <c r="C907" s="9"/>
      <c r="D907" s="9"/>
      <c r="E907" s="9"/>
      <c r="F907" s="9"/>
      <c r="G907" s="59"/>
      <c r="H907" s="9"/>
    </row>
    <row r="908">
      <c r="A908" s="9"/>
      <c r="B908" s="9"/>
      <c r="C908" s="9"/>
      <c r="D908" s="9"/>
      <c r="E908" s="9"/>
      <c r="F908" s="9"/>
      <c r="G908" s="59"/>
      <c r="H908" s="9"/>
    </row>
    <row r="909">
      <c r="A909" s="9"/>
      <c r="B909" s="9"/>
      <c r="C909" s="9"/>
      <c r="D909" s="9"/>
      <c r="E909" s="9"/>
      <c r="F909" s="9"/>
      <c r="G909" s="59"/>
      <c r="H909" s="9"/>
    </row>
    <row r="910">
      <c r="A910" s="9"/>
      <c r="B910" s="9"/>
      <c r="C910" s="9"/>
      <c r="D910" s="9"/>
      <c r="E910" s="9"/>
      <c r="F910" s="9"/>
      <c r="G910" s="59"/>
      <c r="H910" s="9"/>
    </row>
    <row r="911">
      <c r="A911" s="9"/>
      <c r="B911" s="9"/>
      <c r="C911" s="9"/>
      <c r="D911" s="9"/>
      <c r="E911" s="9"/>
      <c r="F911" s="9"/>
      <c r="G911" s="59"/>
      <c r="H911" s="9"/>
    </row>
    <row r="912">
      <c r="A912" s="9"/>
      <c r="B912" s="9"/>
      <c r="C912" s="9"/>
      <c r="D912" s="9"/>
      <c r="E912" s="9"/>
      <c r="F912" s="9"/>
      <c r="G912" s="59"/>
      <c r="H912" s="9"/>
    </row>
    <row r="913">
      <c r="A913" s="9"/>
      <c r="B913" s="9"/>
      <c r="C913" s="9"/>
      <c r="D913" s="9"/>
      <c r="E913" s="9"/>
      <c r="F913" s="9"/>
      <c r="G913" s="59"/>
      <c r="H913" s="9"/>
    </row>
    <row r="914">
      <c r="A914" s="9"/>
      <c r="B914" s="9"/>
      <c r="C914" s="9"/>
      <c r="D914" s="9"/>
      <c r="E914" s="9"/>
      <c r="F914" s="9"/>
      <c r="G914" s="59"/>
      <c r="H914" s="9"/>
    </row>
    <row r="915">
      <c r="A915" s="9"/>
      <c r="B915" s="9"/>
      <c r="C915" s="9"/>
      <c r="D915" s="9"/>
      <c r="E915" s="9"/>
      <c r="F915" s="9"/>
      <c r="G915" s="59"/>
      <c r="H915" s="9"/>
    </row>
    <row r="916">
      <c r="A916" s="9"/>
      <c r="B916" s="9"/>
      <c r="C916" s="9"/>
      <c r="D916" s="9"/>
      <c r="E916" s="9"/>
      <c r="F916" s="9"/>
      <c r="G916" s="59"/>
      <c r="H916" s="9"/>
    </row>
    <row r="917">
      <c r="A917" s="9"/>
      <c r="B917" s="9"/>
      <c r="C917" s="9"/>
      <c r="D917" s="9"/>
      <c r="E917" s="9"/>
      <c r="F917" s="9"/>
      <c r="G917" s="59"/>
      <c r="H917" s="9"/>
    </row>
    <row r="918">
      <c r="A918" s="9"/>
      <c r="B918" s="9"/>
      <c r="C918" s="9"/>
      <c r="D918" s="9"/>
      <c r="E918" s="9"/>
      <c r="F918" s="9"/>
      <c r="G918" s="59"/>
      <c r="H918" s="9"/>
    </row>
    <row r="919">
      <c r="A919" s="9"/>
      <c r="B919" s="9"/>
      <c r="C919" s="9"/>
      <c r="D919" s="9"/>
      <c r="E919" s="9"/>
      <c r="F919" s="9"/>
      <c r="G919" s="59"/>
      <c r="H919" s="9"/>
    </row>
    <row r="920">
      <c r="A920" s="9"/>
      <c r="B920" s="9"/>
      <c r="C920" s="9"/>
      <c r="D920" s="9"/>
      <c r="E920" s="9"/>
      <c r="F920" s="9"/>
      <c r="G920" s="59"/>
      <c r="H920" s="9"/>
    </row>
    <row r="921">
      <c r="A921" s="9"/>
      <c r="B921" s="9"/>
      <c r="C921" s="9"/>
      <c r="D921" s="9"/>
      <c r="E921" s="9"/>
      <c r="F921" s="9"/>
      <c r="G921" s="59"/>
      <c r="H921" s="9"/>
    </row>
    <row r="922">
      <c r="A922" s="9"/>
      <c r="B922" s="9"/>
      <c r="C922" s="9"/>
      <c r="D922" s="9"/>
      <c r="E922" s="9"/>
      <c r="F922" s="9"/>
      <c r="G922" s="59"/>
      <c r="H922" s="9"/>
    </row>
    <row r="923">
      <c r="A923" s="9"/>
      <c r="B923" s="9"/>
      <c r="C923" s="9"/>
      <c r="D923" s="9"/>
      <c r="E923" s="9"/>
      <c r="F923" s="9"/>
      <c r="G923" s="59"/>
      <c r="H923" s="9"/>
    </row>
    <row r="924">
      <c r="A924" s="9"/>
      <c r="B924" s="9"/>
      <c r="C924" s="9"/>
      <c r="D924" s="9"/>
      <c r="E924" s="9"/>
      <c r="F924" s="9"/>
      <c r="G924" s="59"/>
      <c r="H924" s="9"/>
    </row>
    <row r="925">
      <c r="A925" s="9"/>
      <c r="B925" s="9"/>
      <c r="C925" s="9"/>
      <c r="D925" s="9"/>
      <c r="E925" s="9"/>
      <c r="F925" s="9"/>
      <c r="G925" s="59"/>
      <c r="H925" s="9"/>
    </row>
    <row r="926">
      <c r="A926" s="9"/>
      <c r="B926" s="9"/>
      <c r="C926" s="9"/>
      <c r="D926" s="9"/>
      <c r="E926" s="9"/>
      <c r="F926" s="9"/>
      <c r="G926" s="59"/>
      <c r="H926" s="9"/>
    </row>
    <row r="927">
      <c r="A927" s="9"/>
      <c r="B927" s="9"/>
      <c r="C927" s="9"/>
      <c r="D927" s="9"/>
      <c r="E927" s="9"/>
      <c r="F927" s="9"/>
      <c r="G927" s="59"/>
      <c r="H927" s="9"/>
    </row>
    <row r="928">
      <c r="A928" s="9"/>
      <c r="B928" s="9"/>
      <c r="C928" s="9"/>
      <c r="D928" s="9"/>
      <c r="E928" s="9"/>
      <c r="F928" s="9"/>
      <c r="G928" s="59"/>
      <c r="H928" s="9"/>
    </row>
    <row r="929">
      <c r="A929" s="9"/>
      <c r="B929" s="9"/>
      <c r="C929" s="9"/>
      <c r="D929" s="9"/>
      <c r="E929" s="9"/>
      <c r="F929" s="9"/>
      <c r="G929" s="59"/>
      <c r="H929" s="9"/>
    </row>
    <row r="930">
      <c r="A930" s="9"/>
      <c r="B930" s="9"/>
      <c r="C930" s="9"/>
      <c r="D930" s="9"/>
      <c r="E930" s="9"/>
      <c r="F930" s="9"/>
      <c r="G930" s="59"/>
      <c r="H930" s="9"/>
    </row>
    <row r="931">
      <c r="A931" s="9"/>
      <c r="B931" s="9"/>
      <c r="C931" s="9"/>
      <c r="D931" s="9"/>
      <c r="E931" s="9"/>
      <c r="F931" s="9"/>
      <c r="G931" s="59"/>
      <c r="H931" s="9"/>
    </row>
    <row r="932">
      <c r="A932" s="9"/>
      <c r="B932" s="9"/>
      <c r="C932" s="9"/>
      <c r="D932" s="9"/>
      <c r="E932" s="9"/>
      <c r="F932" s="9"/>
      <c r="G932" s="59"/>
      <c r="H932" s="9"/>
    </row>
    <row r="933">
      <c r="A933" s="9"/>
      <c r="B933" s="9"/>
      <c r="C933" s="9"/>
      <c r="D933" s="9"/>
      <c r="E933" s="9"/>
      <c r="F933" s="9"/>
      <c r="G933" s="59"/>
      <c r="H933" s="9"/>
    </row>
    <row r="934">
      <c r="A934" s="9"/>
      <c r="B934" s="9"/>
      <c r="C934" s="9"/>
      <c r="D934" s="9"/>
      <c r="E934" s="9"/>
      <c r="F934" s="9"/>
      <c r="G934" s="59"/>
      <c r="H934" s="9"/>
    </row>
    <row r="935">
      <c r="A935" s="9"/>
      <c r="B935" s="9"/>
      <c r="C935" s="9"/>
      <c r="D935" s="9"/>
      <c r="E935" s="9"/>
      <c r="F935" s="9"/>
      <c r="G935" s="59"/>
      <c r="H935" s="9"/>
    </row>
    <row r="936">
      <c r="A936" s="9"/>
      <c r="B936" s="9"/>
      <c r="C936" s="9"/>
      <c r="D936" s="9"/>
      <c r="E936" s="9"/>
      <c r="F936" s="9"/>
      <c r="G936" s="59"/>
      <c r="H936" s="9"/>
    </row>
    <row r="937">
      <c r="A937" s="9"/>
      <c r="B937" s="9"/>
      <c r="C937" s="9"/>
      <c r="D937" s="9"/>
      <c r="E937" s="9"/>
      <c r="F937" s="9"/>
      <c r="G937" s="59"/>
      <c r="H937" s="9"/>
    </row>
    <row r="938">
      <c r="A938" s="9"/>
      <c r="B938" s="9"/>
      <c r="C938" s="9"/>
      <c r="D938" s="9"/>
      <c r="E938" s="9"/>
      <c r="F938" s="9"/>
      <c r="G938" s="59"/>
      <c r="H938" s="9"/>
    </row>
    <row r="939">
      <c r="A939" s="9"/>
      <c r="B939" s="9"/>
      <c r="C939" s="9"/>
      <c r="D939" s="9"/>
      <c r="E939" s="9"/>
      <c r="F939" s="9"/>
      <c r="G939" s="59"/>
      <c r="H939" s="9"/>
    </row>
    <row r="940">
      <c r="A940" s="9"/>
      <c r="B940" s="9"/>
      <c r="C940" s="9"/>
      <c r="D940" s="9"/>
      <c r="E940" s="9"/>
      <c r="F940" s="9"/>
      <c r="G940" s="59"/>
      <c r="H940" s="9"/>
    </row>
    <row r="941">
      <c r="A941" s="9"/>
      <c r="B941" s="9"/>
      <c r="C941" s="9"/>
      <c r="D941" s="9"/>
      <c r="E941" s="9"/>
      <c r="F941" s="9"/>
      <c r="G941" s="59"/>
      <c r="H941" s="9"/>
    </row>
    <row r="942">
      <c r="A942" s="9"/>
      <c r="B942" s="9"/>
      <c r="C942" s="9"/>
      <c r="D942" s="9"/>
      <c r="E942" s="9"/>
      <c r="F942" s="9"/>
      <c r="G942" s="59"/>
      <c r="H942" s="9"/>
    </row>
    <row r="943">
      <c r="A943" s="9"/>
      <c r="B943" s="9"/>
      <c r="C943" s="9"/>
      <c r="D943" s="9"/>
      <c r="E943" s="9"/>
      <c r="F943" s="9"/>
      <c r="G943" s="59"/>
      <c r="H943" s="9"/>
    </row>
    <row r="944">
      <c r="A944" s="9"/>
      <c r="B944" s="9"/>
      <c r="C944" s="9"/>
      <c r="D944" s="9"/>
      <c r="E944" s="9"/>
      <c r="F944" s="9"/>
      <c r="G944" s="59"/>
      <c r="H944" s="9"/>
    </row>
    <row r="945">
      <c r="A945" s="9"/>
      <c r="B945" s="9"/>
      <c r="C945" s="9"/>
      <c r="D945" s="9"/>
      <c r="E945" s="9"/>
      <c r="F945" s="9"/>
      <c r="G945" s="59"/>
      <c r="H945" s="9"/>
    </row>
    <row r="946">
      <c r="A946" s="9"/>
      <c r="B946" s="9"/>
      <c r="C946" s="9"/>
      <c r="D946" s="9"/>
      <c r="E946" s="9"/>
      <c r="F946" s="9"/>
      <c r="G946" s="59"/>
      <c r="H946" s="9"/>
    </row>
    <row r="947">
      <c r="A947" s="9"/>
      <c r="B947" s="9"/>
      <c r="C947" s="9"/>
      <c r="D947" s="9"/>
      <c r="E947" s="9"/>
      <c r="F947" s="9"/>
      <c r="G947" s="59"/>
      <c r="H947" s="9"/>
    </row>
    <row r="948">
      <c r="A948" s="9"/>
      <c r="B948" s="9"/>
      <c r="C948" s="9"/>
      <c r="D948" s="9"/>
      <c r="E948" s="9"/>
      <c r="F948" s="9"/>
      <c r="G948" s="59"/>
      <c r="H948" s="9"/>
    </row>
    <row r="949">
      <c r="A949" s="9"/>
      <c r="B949" s="9"/>
      <c r="C949" s="9"/>
      <c r="D949" s="9"/>
      <c r="E949" s="9"/>
      <c r="F949" s="9"/>
      <c r="G949" s="59"/>
      <c r="H949" s="9"/>
    </row>
    <row r="950">
      <c r="A950" s="9"/>
      <c r="B950" s="9"/>
      <c r="C950" s="9"/>
      <c r="D950" s="9"/>
      <c r="E950" s="9"/>
      <c r="F950" s="9"/>
      <c r="G950" s="59"/>
      <c r="H950" s="9"/>
    </row>
    <row r="951">
      <c r="A951" s="9"/>
      <c r="B951" s="9"/>
      <c r="C951" s="9"/>
      <c r="D951" s="9"/>
      <c r="E951" s="9"/>
      <c r="F951" s="9"/>
      <c r="G951" s="59"/>
      <c r="H951" s="9"/>
    </row>
    <row r="952">
      <c r="A952" s="9"/>
      <c r="B952" s="9"/>
      <c r="C952" s="9"/>
      <c r="D952" s="9"/>
      <c r="E952" s="9"/>
      <c r="F952" s="9"/>
      <c r="G952" s="59"/>
      <c r="H952" s="9"/>
    </row>
    <row r="953">
      <c r="A953" s="9"/>
      <c r="B953" s="9"/>
      <c r="C953" s="9"/>
      <c r="D953" s="9"/>
      <c r="E953" s="9"/>
      <c r="F953" s="9"/>
      <c r="G953" s="59"/>
      <c r="H953" s="9"/>
    </row>
    <row r="954">
      <c r="A954" s="9"/>
      <c r="B954" s="9"/>
      <c r="C954" s="9"/>
      <c r="D954" s="9"/>
      <c r="E954" s="9"/>
      <c r="F954" s="9"/>
      <c r="G954" s="59"/>
      <c r="H954" s="9"/>
    </row>
    <row r="955">
      <c r="A955" s="9"/>
      <c r="B955" s="9"/>
      <c r="C955" s="9"/>
      <c r="D955" s="9"/>
      <c r="E955" s="9"/>
      <c r="F955" s="9"/>
      <c r="G955" s="59"/>
      <c r="H955" s="9"/>
    </row>
    <row r="956">
      <c r="A956" s="9"/>
      <c r="B956" s="9"/>
      <c r="C956" s="9"/>
      <c r="D956" s="9"/>
      <c r="E956" s="9"/>
      <c r="F956" s="9"/>
      <c r="G956" s="59"/>
      <c r="H956" s="9"/>
    </row>
    <row r="957">
      <c r="A957" s="9"/>
      <c r="B957" s="9"/>
      <c r="C957" s="9"/>
      <c r="D957" s="9"/>
      <c r="E957" s="9"/>
      <c r="F957" s="9"/>
      <c r="G957" s="59"/>
      <c r="H957" s="9"/>
    </row>
    <row r="958">
      <c r="A958" s="9"/>
      <c r="B958" s="9"/>
      <c r="C958" s="9"/>
      <c r="D958" s="9"/>
      <c r="E958" s="9"/>
      <c r="F958" s="9"/>
      <c r="G958" s="59"/>
      <c r="H958" s="9"/>
    </row>
    <row r="959">
      <c r="A959" s="9"/>
      <c r="B959" s="9"/>
      <c r="C959" s="9"/>
      <c r="D959" s="9"/>
      <c r="E959" s="9"/>
      <c r="F959" s="9"/>
      <c r="G959" s="59"/>
      <c r="H959" s="9"/>
    </row>
    <row r="960">
      <c r="A960" s="9"/>
      <c r="B960" s="9"/>
      <c r="C960" s="9"/>
      <c r="D960" s="9"/>
      <c r="E960" s="9"/>
      <c r="F960" s="9"/>
      <c r="G960" s="59"/>
      <c r="H960" s="9"/>
    </row>
    <row r="961">
      <c r="A961" s="9"/>
      <c r="B961" s="9"/>
      <c r="C961" s="9"/>
      <c r="D961" s="9"/>
      <c r="E961" s="9"/>
      <c r="F961" s="9"/>
      <c r="G961" s="59"/>
      <c r="H961" s="9"/>
    </row>
    <row r="962">
      <c r="A962" s="9"/>
      <c r="B962" s="9"/>
      <c r="C962" s="9"/>
      <c r="D962" s="9"/>
      <c r="E962" s="9"/>
      <c r="F962" s="9"/>
      <c r="G962" s="59"/>
      <c r="H962" s="9"/>
    </row>
    <row r="963">
      <c r="A963" s="9"/>
      <c r="B963" s="9"/>
      <c r="C963" s="9"/>
      <c r="D963" s="9"/>
      <c r="E963" s="9"/>
      <c r="F963" s="9"/>
      <c r="G963" s="59"/>
      <c r="H963" s="9"/>
    </row>
    <row r="964">
      <c r="A964" s="9"/>
      <c r="B964" s="9"/>
      <c r="C964" s="9"/>
      <c r="D964" s="9"/>
      <c r="E964" s="9"/>
      <c r="F964" s="9"/>
      <c r="G964" s="59"/>
      <c r="H964" s="9"/>
    </row>
    <row r="965">
      <c r="A965" s="9"/>
      <c r="B965" s="9"/>
      <c r="C965" s="9"/>
      <c r="D965" s="9"/>
      <c r="E965" s="9"/>
      <c r="F965" s="9"/>
      <c r="G965" s="59"/>
      <c r="H965" s="9"/>
    </row>
    <row r="966">
      <c r="A966" s="9"/>
      <c r="B966" s="9"/>
      <c r="C966" s="9"/>
      <c r="D966" s="9"/>
      <c r="E966" s="9"/>
      <c r="F966" s="9"/>
      <c r="G966" s="59"/>
      <c r="H966" s="9"/>
    </row>
    <row r="967">
      <c r="A967" s="9"/>
      <c r="B967" s="9"/>
      <c r="C967" s="9"/>
      <c r="D967" s="9"/>
      <c r="E967" s="9"/>
      <c r="F967" s="9"/>
      <c r="G967" s="59"/>
      <c r="H967" s="9"/>
    </row>
    <row r="968">
      <c r="A968" s="9"/>
      <c r="B968" s="9"/>
      <c r="C968" s="9"/>
      <c r="D968" s="9"/>
      <c r="E968" s="9"/>
      <c r="F968" s="9"/>
      <c r="G968" s="59"/>
      <c r="H968" s="9"/>
    </row>
    <row r="969">
      <c r="A969" s="9"/>
      <c r="B969" s="9"/>
      <c r="C969" s="9"/>
      <c r="D969" s="9"/>
      <c r="E969" s="9"/>
      <c r="F969" s="9"/>
      <c r="G969" s="59"/>
      <c r="H969" s="9"/>
    </row>
    <row r="970">
      <c r="A970" s="9"/>
      <c r="B970" s="9"/>
      <c r="C970" s="9"/>
      <c r="D970" s="9"/>
      <c r="E970" s="9"/>
      <c r="F970" s="9"/>
      <c r="G970" s="59"/>
      <c r="H970" s="9"/>
    </row>
    <row r="971">
      <c r="A971" s="9"/>
      <c r="B971" s="9"/>
      <c r="C971" s="9"/>
      <c r="D971" s="9"/>
      <c r="E971" s="9"/>
      <c r="F971" s="9"/>
      <c r="G971" s="59"/>
      <c r="H971" s="9"/>
    </row>
    <row r="972">
      <c r="A972" s="9"/>
      <c r="B972" s="9"/>
      <c r="C972" s="9"/>
      <c r="D972" s="9"/>
      <c r="E972" s="9"/>
      <c r="F972" s="9"/>
      <c r="G972" s="59"/>
      <c r="H972" s="9"/>
    </row>
    <row r="973">
      <c r="A973" s="9"/>
      <c r="B973" s="9"/>
      <c r="C973" s="9"/>
      <c r="D973" s="9"/>
      <c r="E973" s="9"/>
      <c r="F973" s="9"/>
      <c r="G973" s="59"/>
      <c r="H973" s="9"/>
    </row>
    <row r="974">
      <c r="A974" s="9"/>
      <c r="B974" s="9"/>
      <c r="C974" s="9"/>
      <c r="D974" s="9"/>
      <c r="E974" s="9"/>
      <c r="F974" s="9"/>
      <c r="G974" s="59"/>
      <c r="H974" s="9"/>
    </row>
    <row r="975">
      <c r="A975" s="9"/>
      <c r="B975" s="9"/>
      <c r="C975" s="9"/>
      <c r="D975" s="9"/>
      <c r="E975" s="9"/>
      <c r="F975" s="9"/>
      <c r="G975" s="59"/>
      <c r="H975" s="9"/>
    </row>
    <row r="976">
      <c r="A976" s="9"/>
      <c r="B976" s="9"/>
      <c r="C976" s="9"/>
      <c r="D976" s="9"/>
      <c r="E976" s="9"/>
      <c r="F976" s="9"/>
      <c r="G976" s="59"/>
      <c r="H976" s="9"/>
    </row>
    <row r="977">
      <c r="A977" s="9"/>
      <c r="B977" s="9"/>
      <c r="C977" s="9"/>
      <c r="D977" s="9"/>
      <c r="E977" s="9"/>
      <c r="F977" s="9"/>
      <c r="G977" s="59"/>
      <c r="H977" s="9"/>
    </row>
    <row r="978">
      <c r="A978" s="9"/>
      <c r="B978" s="9"/>
      <c r="C978" s="9"/>
      <c r="D978" s="9"/>
      <c r="E978" s="9"/>
      <c r="F978" s="9"/>
      <c r="G978" s="59"/>
      <c r="H978" s="9"/>
    </row>
    <row r="979">
      <c r="A979" s="9"/>
      <c r="B979" s="9"/>
      <c r="C979" s="9"/>
      <c r="D979" s="9"/>
      <c r="E979" s="9"/>
      <c r="F979" s="9"/>
      <c r="G979" s="59"/>
      <c r="H979" s="9"/>
    </row>
    <row r="980">
      <c r="A980" s="9"/>
      <c r="B980" s="9"/>
      <c r="C980" s="9"/>
      <c r="D980" s="9"/>
      <c r="E980" s="9"/>
      <c r="F980" s="9"/>
      <c r="G980" s="59"/>
      <c r="H980" s="9"/>
    </row>
    <row r="981">
      <c r="A981" s="9"/>
      <c r="B981" s="9"/>
      <c r="C981" s="9"/>
      <c r="D981" s="9"/>
      <c r="E981" s="9"/>
      <c r="F981" s="9"/>
      <c r="G981" s="59"/>
      <c r="H981" s="9"/>
    </row>
    <row r="982">
      <c r="A982" s="9"/>
      <c r="B982" s="9"/>
      <c r="C982" s="9"/>
      <c r="D982" s="9"/>
      <c r="E982" s="9"/>
      <c r="F982" s="9"/>
      <c r="G982" s="59"/>
      <c r="H982" s="9"/>
    </row>
    <row r="983">
      <c r="A983" s="9"/>
      <c r="B983" s="9"/>
      <c r="C983" s="9"/>
      <c r="D983" s="9"/>
      <c r="E983" s="9"/>
      <c r="F983" s="9"/>
      <c r="G983" s="59"/>
      <c r="H983" s="9"/>
    </row>
    <row r="984">
      <c r="A984" s="9"/>
      <c r="B984" s="9"/>
      <c r="C984" s="9"/>
      <c r="D984" s="9"/>
      <c r="E984" s="9"/>
      <c r="F984" s="9"/>
      <c r="G984" s="59"/>
      <c r="H984" s="9"/>
    </row>
    <row r="985">
      <c r="A985" s="9"/>
      <c r="B985" s="9"/>
      <c r="C985" s="9"/>
      <c r="D985" s="9"/>
      <c r="E985" s="9"/>
      <c r="F985" s="9"/>
      <c r="G985" s="59"/>
      <c r="H985" s="9"/>
    </row>
    <row r="986">
      <c r="A986" s="9"/>
      <c r="B986" s="9"/>
      <c r="C986" s="9"/>
      <c r="D986" s="9"/>
      <c r="E986" s="9"/>
      <c r="F986" s="9"/>
      <c r="G986" s="59"/>
      <c r="H986" s="9"/>
    </row>
    <row r="987">
      <c r="A987" s="9"/>
      <c r="B987" s="9"/>
      <c r="C987" s="9"/>
      <c r="D987" s="9"/>
      <c r="E987" s="9"/>
      <c r="F987" s="9"/>
      <c r="G987" s="59"/>
      <c r="H987" s="9"/>
    </row>
    <row r="988">
      <c r="A988" s="9"/>
      <c r="B988" s="9"/>
      <c r="C988" s="9"/>
      <c r="D988" s="9"/>
      <c r="E988" s="9"/>
      <c r="F988" s="9"/>
      <c r="G988" s="59"/>
      <c r="H988" s="9"/>
    </row>
    <row r="989">
      <c r="A989" s="9"/>
      <c r="B989" s="9"/>
      <c r="C989" s="9"/>
      <c r="D989" s="9"/>
      <c r="E989" s="9"/>
      <c r="F989" s="9"/>
      <c r="G989" s="59"/>
      <c r="H989" s="9"/>
    </row>
    <row r="990">
      <c r="A990" s="9"/>
      <c r="B990" s="9"/>
      <c r="C990" s="9"/>
      <c r="D990" s="9"/>
      <c r="E990" s="9"/>
      <c r="F990" s="9"/>
      <c r="G990" s="59"/>
      <c r="H990" s="9"/>
    </row>
    <row r="991">
      <c r="A991" s="9"/>
      <c r="B991" s="9"/>
      <c r="C991" s="9"/>
      <c r="D991" s="9"/>
      <c r="E991" s="9"/>
      <c r="F991" s="9"/>
      <c r="G991" s="59"/>
      <c r="H991" s="9"/>
    </row>
    <row r="992">
      <c r="A992" s="9"/>
      <c r="B992" s="9"/>
      <c r="C992" s="9"/>
      <c r="D992" s="9"/>
      <c r="E992" s="9"/>
      <c r="F992" s="9"/>
      <c r="G992" s="59"/>
      <c r="H992" s="9"/>
    </row>
    <row r="993">
      <c r="A993" s="9"/>
      <c r="B993" s="9"/>
      <c r="C993" s="9"/>
      <c r="D993" s="9"/>
      <c r="E993" s="9"/>
      <c r="F993" s="9"/>
      <c r="G993" s="59"/>
      <c r="H993" s="9"/>
    </row>
    <row r="994">
      <c r="A994" s="9"/>
      <c r="B994" s="9"/>
      <c r="C994" s="9"/>
      <c r="D994" s="9"/>
      <c r="E994" s="9"/>
      <c r="F994" s="9"/>
      <c r="G994" s="59"/>
      <c r="H994" s="9"/>
    </row>
    <row r="995">
      <c r="A995" s="9"/>
      <c r="B995" s="9"/>
      <c r="C995" s="9"/>
      <c r="D995" s="9"/>
      <c r="E995" s="9"/>
      <c r="F995" s="9"/>
      <c r="G995" s="59"/>
      <c r="H995" s="9"/>
    </row>
    <row r="996">
      <c r="A996" s="9"/>
      <c r="B996" s="9"/>
      <c r="C996" s="9"/>
      <c r="D996" s="9"/>
      <c r="E996" s="9"/>
      <c r="F996" s="9"/>
      <c r="G996" s="59"/>
      <c r="H996" s="9"/>
    </row>
    <row r="997">
      <c r="A997" s="9"/>
      <c r="B997" s="9"/>
      <c r="C997" s="9"/>
      <c r="D997" s="9"/>
      <c r="E997" s="9"/>
      <c r="F997" s="9"/>
      <c r="G997" s="59"/>
      <c r="H997" s="9"/>
    </row>
    <row r="998">
      <c r="A998" s="9"/>
      <c r="B998" s="9"/>
      <c r="C998" s="9"/>
      <c r="D998" s="9"/>
      <c r="E998" s="9"/>
      <c r="F998" s="9"/>
      <c r="G998" s="59"/>
      <c r="H998" s="9"/>
    </row>
    <row r="999">
      <c r="A999" s="9"/>
      <c r="B999" s="9"/>
      <c r="C999" s="9"/>
      <c r="D999" s="9"/>
      <c r="E999" s="9"/>
      <c r="F999" s="9"/>
      <c r="G999" s="59"/>
      <c r="H999" s="9"/>
    </row>
    <row r="1000">
      <c r="A1000" s="9"/>
      <c r="B1000" s="9"/>
      <c r="C1000" s="9"/>
      <c r="D1000" s="9"/>
      <c r="E1000" s="9"/>
      <c r="F1000" s="9"/>
      <c r="G1000" s="59"/>
      <c r="H1000" s="9"/>
    </row>
    <row r="1001">
      <c r="A1001" s="9"/>
      <c r="B1001" s="9"/>
      <c r="C1001" s="9"/>
      <c r="D1001" s="9"/>
      <c r="E1001" s="9"/>
      <c r="F1001" s="9"/>
      <c r="G1001" s="59"/>
      <c r="H1001" s="9"/>
    </row>
    <row r="1002">
      <c r="A1002" s="9"/>
      <c r="B1002" s="9"/>
      <c r="C1002" s="9"/>
      <c r="D1002" s="9"/>
      <c r="E1002" s="9"/>
      <c r="F1002" s="9"/>
      <c r="G1002" s="59"/>
      <c r="H1002" s="9"/>
    </row>
    <row r="1003">
      <c r="A1003" s="9"/>
      <c r="B1003" s="9"/>
      <c r="C1003" s="9"/>
      <c r="D1003" s="9"/>
      <c r="E1003" s="9"/>
      <c r="F1003" s="9"/>
      <c r="G1003" s="59"/>
      <c r="H1003" s="9"/>
    </row>
    <row r="1004">
      <c r="A1004" s="9"/>
      <c r="B1004" s="9"/>
      <c r="C1004" s="9"/>
      <c r="D1004" s="9"/>
      <c r="E1004" s="9"/>
      <c r="F1004" s="9"/>
      <c r="G1004" s="59"/>
      <c r="H1004" s="9"/>
    </row>
    <row r="1005">
      <c r="A1005" s="9"/>
      <c r="B1005" s="9"/>
      <c r="C1005" s="9"/>
      <c r="D1005" s="9"/>
      <c r="E1005" s="9"/>
      <c r="F1005" s="9"/>
      <c r="G1005" s="59"/>
      <c r="H1005" s="9"/>
    </row>
    <row r="1006">
      <c r="A1006" s="9"/>
      <c r="B1006" s="9"/>
      <c r="C1006" s="9"/>
      <c r="D1006" s="9"/>
      <c r="E1006" s="9"/>
      <c r="F1006" s="9"/>
      <c r="G1006" s="59"/>
      <c r="H1006" s="9"/>
    </row>
  </sheetData>
  <mergeCells count="4">
    <mergeCell ref="A1:F1"/>
    <mergeCell ref="I3:R5"/>
    <mergeCell ref="A5:A6"/>
    <mergeCell ref="A112:A116"/>
  </mergeCells>
  <dataValidations>
    <dataValidation type="list" allowBlank="1" showErrorMessage="1" sqref="L7:L13">
      <formula1>Data!E4:E1006</formula1>
    </dataValidation>
    <dataValidation type="list" allowBlank="1" showErrorMessage="1" sqref="B3">
      <formula1>"⚙️ กำลังดำเนินการ,✅ จัดส่งเรียบร้อย"</formula1>
    </dataValidation>
    <dataValidation type="list" allowBlank="1" showErrorMessage="1" sqref="D3:D4">
      <formula1>"ทีมสีเหลือง,ทีมสีฟ้า,MKT,BD"</formula1>
    </dataValidation>
  </dataValidations>
  <hyperlinks>
    <hyperlink r:id="rId1" ref="C3"/>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29.75"/>
    <col customWidth="1" min="3" max="3" width="37.25"/>
    <col customWidth="1" min="4" max="4" width="27.5"/>
    <col customWidth="1" min="5" max="5" width="24.63"/>
    <col customWidth="1" min="6" max="6" width="24.88"/>
    <col customWidth="1" min="7" max="7" width="6.75"/>
  </cols>
  <sheetData>
    <row r="1">
      <c r="A1" s="92" t="s">
        <v>1872</v>
      </c>
      <c r="G1" s="59"/>
      <c r="H1" s="9"/>
    </row>
    <row r="2">
      <c r="A2" s="60" t="s">
        <v>46</v>
      </c>
      <c r="B2" s="93">
        <v>46190.0</v>
      </c>
      <c r="C2" s="60" t="s">
        <v>47</v>
      </c>
      <c r="D2" s="62" t="s">
        <v>48</v>
      </c>
      <c r="E2" s="63" t="s">
        <v>49</v>
      </c>
      <c r="F2" s="9"/>
      <c r="G2" s="59"/>
      <c r="H2" s="9"/>
      <c r="I2" s="9" t="s">
        <v>519</v>
      </c>
      <c r="J2" s="198" t="s">
        <v>520</v>
      </c>
    </row>
    <row r="3">
      <c r="A3" s="60" t="s">
        <v>51</v>
      </c>
      <c r="B3" s="65" t="s">
        <v>27</v>
      </c>
      <c r="C3" s="66" t="s">
        <v>52</v>
      </c>
      <c r="D3" s="65" t="s">
        <v>53</v>
      </c>
      <c r="E3" s="67" t="s">
        <v>54</v>
      </c>
      <c r="F3" s="9"/>
      <c r="G3" s="59"/>
      <c r="H3" s="9"/>
    </row>
    <row r="4">
      <c r="A4" s="9"/>
      <c r="B4" s="9"/>
      <c r="C4" s="9"/>
      <c r="D4" s="9"/>
      <c r="E4" s="9"/>
      <c r="F4" s="9"/>
      <c r="G4" s="59"/>
      <c r="H4" s="9"/>
      <c r="I4" s="96" t="s">
        <v>55</v>
      </c>
      <c r="J4" s="98" t="s">
        <v>71</v>
      </c>
      <c r="K4" s="98" t="s">
        <v>72</v>
      </c>
      <c r="L4" s="199" t="s">
        <v>73</v>
      </c>
      <c r="M4" s="200" t="s">
        <v>74</v>
      </c>
      <c r="N4" s="98" t="s">
        <v>75</v>
      </c>
      <c r="O4" s="98" t="s">
        <v>76</v>
      </c>
      <c r="P4" s="98" t="s">
        <v>77</v>
      </c>
      <c r="Q4" s="100" t="s">
        <v>78</v>
      </c>
    </row>
    <row r="5">
      <c r="A5" s="70" t="s">
        <v>57</v>
      </c>
      <c r="B5" s="71" t="s">
        <v>58</v>
      </c>
      <c r="C5" s="72" t="s">
        <v>1873</v>
      </c>
      <c r="D5" s="9"/>
      <c r="E5" s="9"/>
      <c r="F5" s="9"/>
      <c r="G5" s="59"/>
      <c r="H5" s="9"/>
      <c r="I5" s="96"/>
      <c r="J5" s="98"/>
      <c r="K5" s="98"/>
      <c r="L5" s="201"/>
      <c r="M5" s="200"/>
      <c r="N5" s="98"/>
      <c r="O5" s="98"/>
      <c r="P5" s="98"/>
      <c r="Q5" s="100"/>
    </row>
    <row r="6">
      <c r="B6" s="71" t="s">
        <v>60</v>
      </c>
      <c r="C6" s="72" t="s">
        <v>1874</v>
      </c>
      <c r="D6" s="9"/>
      <c r="E6" s="9"/>
      <c r="F6" s="9"/>
      <c r="G6" s="59"/>
      <c r="H6" s="9"/>
      <c r="I6" s="96"/>
      <c r="J6" s="98"/>
      <c r="K6" s="98"/>
      <c r="L6" s="201"/>
      <c r="M6" s="200"/>
      <c r="N6" s="98"/>
      <c r="O6" s="98"/>
      <c r="P6" s="98"/>
      <c r="Q6" s="100"/>
    </row>
    <row r="7">
      <c r="A7" s="9"/>
      <c r="B7" s="9"/>
      <c r="C7" s="9"/>
      <c r="D7" s="9"/>
      <c r="E7" s="9"/>
      <c r="F7" s="9"/>
      <c r="G7" s="59"/>
      <c r="H7" s="9"/>
      <c r="I7" s="96"/>
      <c r="J7" s="98"/>
      <c r="K7" s="98"/>
      <c r="L7" s="201"/>
      <c r="M7" s="200"/>
      <c r="N7" s="98"/>
      <c r="O7" s="98"/>
      <c r="P7" s="98"/>
      <c r="Q7" s="100"/>
    </row>
    <row r="8">
      <c r="A8" s="73" t="s">
        <v>62</v>
      </c>
      <c r="B8" s="73" t="s">
        <v>63</v>
      </c>
      <c r="C8" s="73" t="s">
        <v>64</v>
      </c>
      <c r="D8" s="73" t="s">
        <v>65</v>
      </c>
      <c r="E8" s="73" t="s">
        <v>66</v>
      </c>
      <c r="F8" s="73" t="s">
        <v>51</v>
      </c>
      <c r="G8" s="59"/>
      <c r="H8" s="9"/>
      <c r="I8" s="118">
        <v>1203.0</v>
      </c>
      <c r="J8" s="82" t="str">
        <f t="array" ref="J8">IFERROR(INDEX(Data!$A$4:$O1003, MATCH($L8, INDEX(Data!$A$4:$O1003, 0, MATCH("Item EN", Data!$A$3:$O$3, FALSE)), FALSE), MATCH("Image", Data!$A$3:$O$3, FALSE)
),"")</f>
        <v/>
      </c>
      <c r="K8" s="83">
        <f t="array" ref="K8">IFERROR(INDEX(Data!$A$4:$O1003, MATCH($L8, INDEX(Data!$A$4:$O1003, 0, MATCH("Item EN", Data!$A$3:$O$3, FALSE)), FALSE), MATCH("Item ID", Data!$A$3:$O$3, FALSE)
),"")</f>
        <v>101022</v>
      </c>
      <c r="L8" s="202" t="s">
        <v>94</v>
      </c>
      <c r="M8" s="203"/>
      <c r="N8" s="83" t="str">
        <f t="array" ref="N8">IFERROR(INDEX(Data!$A$4:$O1003, MATCH($L8, INDEX(Data!$A$4:$O1003, 0, MATCH("Item EN", Data!$A$3:$O$3, FALSE)), FALSE), MATCH("Item Type", Data!$A$3:$O$3, FALSE)
),"")</f>
        <v>Weapon</v>
      </c>
      <c r="O8" s="140">
        <v>1.0</v>
      </c>
      <c r="P8" s="87">
        <f t="array" ref="P8">IF(O8="",,IFERROR(INDEX(Data!$A$4:$O1003, MATCH($L8, INDEX(Data!$A$4:$O1003, 0, MATCH("Item EN", Data!$A$3:$O$3, FALSE)), FALSE), MATCH("Price", Data!$A$3:$O$3, FALSE)
),"")*O8)</f>
        <v>4</v>
      </c>
      <c r="Q8" s="88" t="str">
        <f t="array" ref="Q8">IFERROR(INDEX(Data!$A$4:$O1003, MATCH($L8, INDEX(Data!$A$4:$O1003, 0, MATCH("Item EN", Data!$A$3:$O$3, FALSE)), FALSE), MATCH("Image URL", Data!$A$3:$O$3, FALSE)
),"")</f>
        <v>https://cdn.exe.in.th/marketing/WarzTH_LE/Item%20Dict/ak_74m.png</v>
      </c>
    </row>
    <row r="9">
      <c r="A9" s="65">
        <v>1.0</v>
      </c>
      <c r="B9" s="50" t="s">
        <v>67</v>
      </c>
      <c r="D9" s="9"/>
      <c r="E9" s="75" t="s">
        <v>68</v>
      </c>
      <c r="F9" s="117" t="s">
        <v>27</v>
      </c>
      <c r="G9" s="59"/>
      <c r="H9" s="9"/>
      <c r="I9" s="204" t="s">
        <v>521</v>
      </c>
      <c r="J9" s="82" t="str">
        <f t="array" ref="J9">IFERROR(INDEX(Data!$A$4:$O1003, MATCH($L9, INDEX(Data!$A$4:$O1003, 0, MATCH("Item EN", Data!$A$3:$O$3, FALSE)), FALSE), MATCH("Image", Data!$A$3:$O$3, FALSE)
),"")</f>
        <v/>
      </c>
      <c r="K9" s="83">
        <f t="array" ref="K9">IFERROR(INDEX(Data!$A$4:$O1003, MATCH($L9, INDEX(Data!$A$4:$O1003, 0, MATCH("Item EN", Data!$A$3:$O$3, FALSE)), FALSE), MATCH("Item ID", Data!$A$3:$O$3, FALSE)
),"")</f>
        <v>400100</v>
      </c>
      <c r="L9" s="202" t="s">
        <v>97</v>
      </c>
      <c r="M9" s="203"/>
      <c r="N9" s="83" t="str">
        <f t="array" ref="N9">IFERROR(INDEX(Data!$A$4:$O1003, MATCH($L9, INDEX(Data!$A$4:$O1003, 0, MATCH("Item EN", Data!$A$3:$O$3, FALSE)), FALSE), MATCH("Item Type", Data!$A$3:$O$3, FALSE)
),"")</f>
        <v>Ammo</v>
      </c>
      <c r="O9" s="140">
        <v>1.0</v>
      </c>
      <c r="P9" s="87">
        <f t="array" ref="P9">IF(O9="",,IFERROR(INDEX(Data!$A$4:$O1003, MATCH($L9, INDEX(Data!$A$4:$O1003, 0, MATCH("Item EN", Data!$A$3:$O$3, FALSE)), FALSE), MATCH("Price", Data!$A$3:$O$3, FALSE)
),"")*O9)</f>
        <v>1.5</v>
      </c>
      <c r="Q9" s="88" t="str">
        <f t="array" ref="Q9">IFERROR(INDEX(Data!$A$4:$O1003, MATCH($L9, INDEX(Data!$A$4:$O1003, 0, MATCH("Item EN", Data!$A$3:$O$3, FALSE)), FALSE), MATCH("Image URL", Data!$A$3:$O$3, FALSE)
),"")</f>
        <v>https://cdn.exe.in.th/marketing/WarzTH_LE/Item%20Dict/5.45AK_drum.png</v>
      </c>
    </row>
    <row r="10">
      <c r="A10" s="65">
        <v>2.0</v>
      </c>
      <c r="B10" s="50" t="s">
        <v>67</v>
      </c>
      <c r="D10" s="9"/>
      <c r="E10" s="9"/>
      <c r="F10" s="117" t="s">
        <v>27</v>
      </c>
      <c r="G10" s="59"/>
      <c r="H10" s="9"/>
      <c r="J10" s="82" t="str">
        <f t="array" ref="J10">IFERROR(INDEX(Data!$A$4:$O1003, MATCH($L10, INDEX(Data!$A$4:$O1003, 0, MATCH("Item EN", Data!$A$3:$O$3, FALSE)), FALSE), MATCH("Image", Data!$A$3:$O$3, FALSE)
),"")</f>
        <v/>
      </c>
      <c r="K10" s="83">
        <f t="array" ref="K10">IFERROR(INDEX(Data!$A$4:$O1003, MATCH($L10, INDEX(Data!$A$4:$O1003, 0, MATCH("Item EN", Data!$A$3:$O$3, FALSE)), FALSE), MATCH("Item ID", Data!$A$3:$O$3, FALSE)
),"")</f>
        <v>20067</v>
      </c>
      <c r="L10" s="202" t="s">
        <v>123</v>
      </c>
      <c r="M10" s="203"/>
      <c r="N10" s="83" t="str">
        <f t="array" ref="N10">IFERROR(INDEX(Data!$A$4:$O1003, MATCH($L10, INDEX(Data!$A$4:$O1003, 0, MATCH("Item EN", Data!$A$3:$O$3, FALSE)), FALSE), MATCH("Item Type", Data!$A$3:$O$3, FALSE)
),"")</f>
        <v>Equipment</v>
      </c>
      <c r="O10" s="140">
        <v>1.0</v>
      </c>
      <c r="P10" s="87">
        <f t="array" ref="P10">IF(O10="",,IFERROR(INDEX(Data!$A$4:$O1003, MATCH($L10, INDEX(Data!$A$4:$O1003, 0, MATCH("Item EN", Data!$A$3:$O$3, FALSE)), FALSE), MATCH("Price", Data!$A$3:$O$3, FALSE)
),"")*O10)</f>
        <v>2</v>
      </c>
      <c r="Q10" s="88" t="str">
        <f t="array" ref="Q10">IFERROR(INDEX(Data!$A$4:$O1003, MATCH($L10, INDEX(Data!$A$4:$O1003, 0, MATCH("Item EN", Data!$A$3:$O$3, FALSE)), FALSE), MATCH("Image URL", Data!$A$3:$O$3, FALSE)
),"")</f>
        <v>https://cdn.exe.in.th/marketing/WarzTH_LE/Item%20Dict/nvg_goggles.png</v>
      </c>
    </row>
    <row r="11">
      <c r="A11" s="65">
        <v>3.0</v>
      </c>
      <c r="B11" s="50" t="s">
        <v>67</v>
      </c>
      <c r="C11" s="9"/>
      <c r="D11" s="9"/>
      <c r="E11" s="9"/>
      <c r="F11" s="117" t="s">
        <v>27</v>
      </c>
      <c r="G11" s="59"/>
      <c r="H11" s="9"/>
      <c r="J11" s="82" t="str">
        <f t="array" ref="J11">IFERROR(INDEX(Data!$A$4:$O1003, MATCH($L11, INDEX(Data!$A$4:$O1003, 0, MATCH("Item EN", Data!$A$3:$O$3, FALSE)), FALSE), MATCH("Image", Data!$A$3:$O$3, FALSE)
),"")</f>
        <v/>
      </c>
      <c r="K11" s="83">
        <f t="array" ref="K11">IFERROR(INDEX(Data!$A$4:$O1003, MATCH($L11, INDEX(Data!$A$4:$O1003, 0, MATCH("Item EN", Data!$A$3:$O$3, FALSE)), FALSE), MATCH("Item ID", Data!$A$3:$O$3, FALSE)
),"")</f>
        <v>20015</v>
      </c>
      <c r="L11" s="138" t="s">
        <v>126</v>
      </c>
      <c r="M11" s="103"/>
      <c r="N11" s="83" t="str">
        <f t="array" ref="N11">IFERROR(INDEX(Data!$A$4:$O1003, MATCH($L11, INDEX(Data!$A$4:$O1003, 0, MATCH("Item EN", Data!$A$3:$O$3, FALSE)), FALSE), MATCH("Item Type", Data!$A$3:$O$3, FALSE)
),"")</f>
        <v>Equipment</v>
      </c>
      <c r="O11" s="102">
        <v>1.0</v>
      </c>
      <c r="P11" s="87">
        <f t="array" ref="P11">IF(O11="",,IFERROR(INDEX(Data!$A$4:$O1003, MATCH($L11, INDEX(Data!$A$4:$O1003, 0, MATCH("Item EN", Data!$A$3:$O$3, FALSE)), FALSE), MATCH("Price", Data!$A$3:$O$3, FALSE)
),"")*O11)</f>
        <v>1.5</v>
      </c>
      <c r="Q11" s="88" t="str">
        <f t="array" ref="Q11">IFERROR(INDEX(Data!$A$4:$O1003, MATCH($L11, INDEX(Data!$A$4:$O1003, 0, MATCH("Item EN", Data!$A$3:$O$3, FALSE)), FALSE), MATCH("Image URL", Data!$A$3:$O$3, FALSE)
),"")</f>
        <v>https://cdn.exe.in.th/marketing/WarzTH_LE/Item%20Dict/custom_guerilla.png</v>
      </c>
    </row>
    <row r="12">
      <c r="A12" s="65">
        <v>4.0</v>
      </c>
      <c r="B12" s="50" t="s">
        <v>67</v>
      </c>
      <c r="C12" s="9"/>
      <c r="D12" s="9"/>
      <c r="E12" s="9"/>
      <c r="F12" s="117" t="s">
        <v>27</v>
      </c>
      <c r="G12" s="59"/>
      <c r="H12" s="9"/>
      <c r="I12" s="9"/>
      <c r="J12" s="82" t="str">
        <f t="array" ref="J12">IFERROR(INDEX(Data!$A$4:$O1003, MATCH($L12, INDEX(Data!$A$4:$O1003, 0, MATCH("Item EN", Data!$A$3:$O$3, FALSE)), FALSE), MATCH("Image", Data!$A$3:$O$3, FALSE)
),"")</f>
        <v/>
      </c>
      <c r="K12" s="83">
        <f t="array" ref="K12">IFERROR(INDEX(Data!$A$4:$O1003, MATCH($L12, INDEX(Data!$A$4:$O1003, 0, MATCH("Item EN", Data!$A$3:$O$3, FALSE)), FALSE), MATCH("Item ID", Data!$A$3:$O$3, FALSE)
),"")</f>
        <v>20185</v>
      </c>
      <c r="L12" s="202" t="s">
        <v>129</v>
      </c>
      <c r="M12" s="203"/>
      <c r="N12" s="83" t="str">
        <f t="array" ref="N12">IFERROR(INDEX(Data!$A$4:$O1003, MATCH($L12, INDEX(Data!$A$4:$O1003, 0, MATCH("Item EN", Data!$A$3:$O$3, FALSE)), FALSE), MATCH("Item Type", Data!$A$3:$O$3, FALSE)
),"")</f>
        <v>Equipment</v>
      </c>
      <c r="O12" s="140">
        <v>1.0</v>
      </c>
      <c r="P12" s="87">
        <f t="array" ref="P12">IF(O12="",,IFERROR(INDEX(Data!$A$4:$O1003, MATCH($L12, INDEX(Data!$A$4:$O1003, 0, MATCH("Item EN", Data!$A$3:$O$3, FALSE)), FALSE), MATCH("Price", Data!$A$3:$O$3, FALSE)
),"")*O12)</f>
        <v>2.5</v>
      </c>
      <c r="Q12" s="88" t="str">
        <f t="array" ref="Q12">IFERROR(INDEX(Data!$A$4:$O1003, MATCH($L12, INDEX(Data!$A$4:$O1003, 0, MATCH("Item EN", Data!$A$3:$O$3, FALSE)), FALSE), MATCH("Image URL", Data!$A$3:$O$3, FALSE)
),"")</f>
        <v>https://cdn.exe.in.th/marketing/WarzTH_LE/Item%20Dict/alice_rucksack.png</v>
      </c>
    </row>
    <row r="13">
      <c r="A13" s="65">
        <v>5.0</v>
      </c>
      <c r="B13" s="50" t="s">
        <v>67</v>
      </c>
      <c r="C13" s="9"/>
      <c r="D13" s="9"/>
      <c r="E13" s="9"/>
      <c r="F13" s="117" t="s">
        <v>27</v>
      </c>
      <c r="G13" s="59"/>
      <c r="H13" s="9"/>
      <c r="I13" s="9"/>
      <c r="J13" s="82" t="str">
        <f t="array" ref="J13">IFERROR(INDEX(Data!$A$4:$O1003, MATCH($L13, INDEX(Data!$A$4:$O1003, 0, MATCH("Item EN", Data!$A$3:$O$3, FALSE)), FALSE), MATCH("Image", Data!$A$3:$O$3, FALSE)
),"")</f>
        <v/>
      </c>
      <c r="K13" s="83">
        <f t="array" ref="K13">IFERROR(INDEX(Data!$A$4:$O1003, MATCH($L13, INDEX(Data!$A$4:$O1003, 0, MATCH("Item EN", Data!$A$3:$O$3, FALSE)), FALSE), MATCH("Item ID", Data!$A$3:$O$3, FALSE)
),"")</f>
        <v>101262</v>
      </c>
      <c r="L13" s="202" t="s">
        <v>530</v>
      </c>
      <c r="M13" s="203"/>
      <c r="N13" s="83" t="str">
        <f t="array" ref="N13">IFERROR(INDEX(Data!$A$4:$O1003, MATCH($L13, INDEX(Data!$A$4:$O1003, 0, MATCH("Item EN", Data!$A$3:$O$3, FALSE)), FALSE), MATCH("Item Type", Data!$A$3:$O$3, FALSE)
),"")</f>
        <v>Consumable</v>
      </c>
      <c r="O13" s="140">
        <v>3.0</v>
      </c>
      <c r="P13" s="87">
        <f t="array" ref="P13">IF(O13="",,IFERROR(INDEX(Data!$A$4:$O1003, MATCH($L13, INDEX(Data!$A$4:$O1003, 0, MATCH("Item EN", Data!$A$3:$O$3, FALSE)), FALSE), MATCH("Price", Data!$A$3:$O$3, FALSE)
),"")*O13)</f>
        <v>2.4</v>
      </c>
      <c r="Q13" s="88" t="str">
        <f t="array" ref="Q13">IFERROR(INDEX(Data!$A$4:$O1003, MATCH($L13, INDEX(Data!$A$4:$O1003, 0, MATCH("Item EN", Data!$A$3:$O$3, FALSE)), FALSE), MATCH("Image URL", Data!$A$3:$O$3, FALSE)
),"")</f>
        <v>https://cdn.exe.in.th/marketing/WarzTH_LE/Item%20Dict/bandages_dx.png</v>
      </c>
    </row>
    <row r="14">
      <c r="A14" s="65">
        <v>6.0</v>
      </c>
      <c r="B14" s="50" t="s">
        <v>67</v>
      </c>
      <c r="C14" s="9"/>
      <c r="D14" s="9"/>
      <c r="E14" s="9"/>
      <c r="F14" s="117" t="s">
        <v>27</v>
      </c>
      <c r="G14" s="59"/>
      <c r="H14" s="9"/>
      <c r="I14" s="9"/>
      <c r="J14" s="82" t="str">
        <f t="array" ref="J14">IFERROR(INDEX(Data!$A$4:$O1003, MATCH($L14, INDEX(Data!$A$4:$O1003, 0, MATCH("Item EN", Data!$A$3:$O$3, FALSE)), FALSE), MATCH("Image", Data!$A$3:$O$3, FALSE)
),"")</f>
        <v/>
      </c>
      <c r="K14" s="83">
        <f t="array" ref="K14">IFERROR(INDEX(Data!$A$4:$O1003, MATCH($L14, INDEX(Data!$A$4:$O1003, 0, MATCH("Item EN", Data!$A$3:$O$3, FALSE)), FALSE), MATCH("Item ID", Data!$A$3:$O$3, FALSE)
),"")</f>
        <v>101501</v>
      </c>
      <c r="L14" s="202" t="s">
        <v>533</v>
      </c>
      <c r="M14" s="203"/>
      <c r="N14" s="83" t="str">
        <f t="array" ref="N14">IFERROR(INDEX(Data!$A$4:$O1003, MATCH($L14, INDEX(Data!$A$4:$O1003, 0, MATCH("Item EN", Data!$A$3:$O$3, FALSE)), FALSE), MATCH("Item Type", Data!$A$3:$O$3, FALSE)
),"")</f>
        <v>Consumable</v>
      </c>
      <c r="O14" s="140">
        <v>1.0</v>
      </c>
      <c r="P14" s="87">
        <f t="array" ref="P14">IF(O14="",,IFERROR(INDEX(Data!$A$4:$O1003, MATCH($L14, INDEX(Data!$A$4:$O1003, 0, MATCH("Item EN", Data!$A$3:$O$3, FALSE)), FALSE), MATCH("Price", Data!$A$3:$O$3, FALSE)
),"")*O14)</f>
        <v>30</v>
      </c>
      <c r="Q14" s="88" t="str">
        <f t="array" ref="Q14">IFERROR(INDEX(Data!$A$4:$O1003, MATCH($L14, INDEX(Data!$A$4:$O1003, 0, MATCH("Item EN", Data!$A$3:$O$3, FALSE)), FALSE), MATCH("Image URL", Data!$A$3:$O$3, FALSE)
),"")</f>
        <v>https://cdn.exe.in.th/marketing/WarzTH_LE/Item%20Dict/rod_fishing_01.png</v>
      </c>
    </row>
    <row r="15">
      <c r="A15" s="65">
        <v>7.0</v>
      </c>
      <c r="B15" s="50" t="s">
        <v>67</v>
      </c>
      <c r="C15" s="9"/>
      <c r="D15" s="9"/>
      <c r="E15" s="9"/>
      <c r="F15" s="117" t="s">
        <v>27</v>
      </c>
      <c r="G15" s="59"/>
      <c r="H15" s="9"/>
      <c r="I15" s="9"/>
      <c r="J15" s="82" t="str">
        <f t="array" ref="J15">IFERROR(INDEX(Data!$A$4:$O1003, MATCH($L15, INDEX(Data!$A$4:$O1003, 0, MATCH("Item EN", Data!$A$3:$O$3, FALSE)), FALSE), MATCH("Image", Data!$A$3:$O$3, FALSE)
),"")</f>
        <v/>
      </c>
      <c r="K15" s="83">
        <f t="array" ref="K15">IFERROR(INDEX(Data!$A$4:$O1003, MATCH($L15, INDEX(Data!$A$4:$O1003, 0, MATCH("Item EN", Data!$A$3:$O$3, FALSE)), FALSE), MATCH("Item ID", Data!$A$3:$O$3, FALSE)
),"")</f>
        <v>301255</v>
      </c>
      <c r="L15" s="202" t="s">
        <v>536</v>
      </c>
      <c r="M15" s="203"/>
      <c r="N15" s="83" t="str">
        <f t="array" ref="N15">IFERROR(INDEX(Data!$A$4:$O1003, MATCH($L15, INDEX(Data!$A$4:$O1003, 0, MATCH("Item EN", Data!$A$3:$O$3, FALSE)), FALSE), MATCH("Item Type", Data!$A$3:$O$3, FALSE)
),"")</f>
        <v>Consumable</v>
      </c>
      <c r="O15" s="140">
        <v>1.0</v>
      </c>
      <c r="P15" s="87">
        <f t="array" ref="P15">IF(O15="",,IFERROR(INDEX(Data!$A$4:$O1003, MATCH($L15, INDEX(Data!$A$4:$O1003, 0, MATCH("Item EN", Data!$A$3:$O$3, FALSE)), FALSE), MATCH("Price", Data!$A$3:$O$3, FALSE)
),"")*O15)</f>
        <v>20</v>
      </c>
      <c r="Q15" s="88" t="str">
        <f t="array" ref="Q15">IFERROR(INDEX(Data!$A$4:$O1003, MATCH($L15, INDEX(Data!$A$4:$O1003, 0, MATCH("Item EN", Data!$A$3:$O$3, FALSE)), FALSE), MATCH("Image URL", Data!$A$3:$O$3, FALSE)
),"")</f>
        <v>https://cdn.exe.in.th/marketing/WarzTH_LE/Item%20Dict/1Days.png</v>
      </c>
    </row>
    <row r="16">
      <c r="A16" s="65">
        <v>8.0</v>
      </c>
      <c r="B16" s="50" t="s">
        <v>67</v>
      </c>
      <c r="C16" s="9"/>
      <c r="D16" s="9"/>
      <c r="E16" s="9"/>
      <c r="F16" s="117" t="s">
        <v>27</v>
      </c>
      <c r="G16" s="59"/>
      <c r="H16" s="9"/>
    </row>
    <row r="17">
      <c r="A17" s="65">
        <v>9.0</v>
      </c>
      <c r="B17" s="50" t="s">
        <v>67</v>
      </c>
      <c r="C17" s="9"/>
      <c r="D17" s="9"/>
      <c r="E17" s="9"/>
      <c r="F17" s="117" t="s">
        <v>27</v>
      </c>
      <c r="G17" s="59"/>
      <c r="H17" s="9"/>
    </row>
    <row r="18">
      <c r="A18" s="65">
        <v>10.0</v>
      </c>
      <c r="B18" s="50" t="s">
        <v>67</v>
      </c>
      <c r="C18" s="9"/>
      <c r="D18" s="9"/>
      <c r="E18" s="9"/>
      <c r="F18" s="117" t="s">
        <v>27</v>
      </c>
      <c r="G18" s="59"/>
      <c r="H18" s="9"/>
    </row>
    <row r="19">
      <c r="A19" s="65">
        <v>11.0</v>
      </c>
      <c r="B19" s="50" t="s">
        <v>67</v>
      </c>
      <c r="C19" s="9"/>
      <c r="D19" s="9"/>
      <c r="E19" s="9"/>
      <c r="F19" s="117" t="s">
        <v>27</v>
      </c>
      <c r="G19" s="59"/>
      <c r="H19" s="9"/>
    </row>
    <row r="20">
      <c r="A20" s="65">
        <v>12.0</v>
      </c>
      <c r="B20" s="50" t="s">
        <v>67</v>
      </c>
      <c r="C20" s="9"/>
      <c r="D20" s="9"/>
      <c r="E20" s="9"/>
      <c r="F20" s="117" t="s">
        <v>27</v>
      </c>
      <c r="G20" s="59"/>
      <c r="H20" s="9"/>
    </row>
    <row r="21">
      <c r="A21" s="65">
        <v>13.0</v>
      </c>
      <c r="B21" s="50" t="s">
        <v>67</v>
      </c>
      <c r="C21" s="91"/>
      <c r="D21" s="9"/>
      <c r="E21" s="9"/>
      <c r="F21" s="117" t="s">
        <v>27</v>
      </c>
      <c r="G21" s="59"/>
      <c r="H21" s="9"/>
    </row>
    <row r="22">
      <c r="A22" s="65">
        <v>14.0</v>
      </c>
      <c r="B22" s="50" t="s">
        <v>67</v>
      </c>
      <c r="C22" s="9"/>
      <c r="D22" s="9"/>
      <c r="E22" s="9"/>
      <c r="F22" s="117" t="s">
        <v>27</v>
      </c>
      <c r="G22" s="59"/>
      <c r="H22" s="9"/>
    </row>
    <row r="23">
      <c r="A23" s="65">
        <v>15.0</v>
      </c>
      <c r="B23" s="50" t="s">
        <v>67</v>
      </c>
      <c r="C23" s="9"/>
      <c r="D23" s="9"/>
      <c r="E23" s="9"/>
      <c r="F23" s="117" t="s">
        <v>27</v>
      </c>
      <c r="G23" s="59"/>
      <c r="H23" s="9"/>
    </row>
    <row r="24">
      <c r="A24" s="65">
        <v>16.0</v>
      </c>
      <c r="B24" s="50" t="s">
        <v>67</v>
      </c>
      <c r="C24" s="9"/>
      <c r="D24" s="9"/>
      <c r="E24" s="9"/>
      <c r="F24" s="117" t="s">
        <v>27</v>
      </c>
      <c r="G24" s="59"/>
      <c r="H24" s="9"/>
    </row>
    <row r="25">
      <c r="A25" s="65">
        <v>17.0</v>
      </c>
      <c r="B25" s="50" t="s">
        <v>67</v>
      </c>
      <c r="C25" s="9"/>
      <c r="D25" s="9"/>
      <c r="E25" s="9"/>
      <c r="F25" s="117" t="s">
        <v>27</v>
      </c>
      <c r="G25" s="59"/>
      <c r="H25" s="9"/>
    </row>
    <row r="26">
      <c r="A26" s="65">
        <v>18.0</v>
      </c>
      <c r="B26" s="50" t="s">
        <v>67</v>
      </c>
      <c r="C26" s="9"/>
      <c r="D26" s="9"/>
      <c r="E26" s="9"/>
      <c r="F26" s="117" t="s">
        <v>27</v>
      </c>
      <c r="G26" s="59"/>
      <c r="H26" s="9"/>
    </row>
    <row r="27">
      <c r="A27" s="65">
        <v>19.0</v>
      </c>
      <c r="B27" s="50" t="s">
        <v>67</v>
      </c>
      <c r="C27" s="9"/>
      <c r="D27" s="9"/>
      <c r="E27" s="9"/>
      <c r="F27" s="117" t="s">
        <v>27</v>
      </c>
      <c r="G27" s="59"/>
      <c r="H27" s="9"/>
    </row>
    <row r="28">
      <c r="A28" s="65">
        <v>20.0</v>
      </c>
      <c r="B28" s="50" t="s">
        <v>67</v>
      </c>
      <c r="C28" s="9"/>
      <c r="D28" s="9"/>
      <c r="E28" s="9"/>
      <c r="F28" s="117" t="s">
        <v>27</v>
      </c>
      <c r="G28" s="59"/>
      <c r="H28" s="9"/>
    </row>
    <row r="29">
      <c r="A29" s="65">
        <v>21.0</v>
      </c>
      <c r="B29" s="50" t="s">
        <v>67</v>
      </c>
      <c r="C29" s="9"/>
      <c r="D29" s="9"/>
      <c r="E29" s="9"/>
      <c r="F29" s="117" t="s">
        <v>27</v>
      </c>
      <c r="G29" s="59"/>
      <c r="H29" s="9"/>
    </row>
    <row r="30">
      <c r="A30" s="65">
        <v>22.0</v>
      </c>
      <c r="B30" s="50" t="s">
        <v>67</v>
      </c>
      <c r="C30" s="9"/>
      <c r="D30" s="9"/>
      <c r="E30" s="9"/>
      <c r="F30" s="117" t="s">
        <v>27</v>
      </c>
      <c r="G30" s="59"/>
      <c r="H30" s="9"/>
    </row>
    <row r="31">
      <c r="A31" s="65">
        <v>23.0</v>
      </c>
      <c r="B31" s="50" t="s">
        <v>67</v>
      </c>
      <c r="C31" s="9"/>
      <c r="D31" s="9"/>
      <c r="E31" s="9"/>
      <c r="F31" s="117" t="s">
        <v>27</v>
      </c>
      <c r="G31" s="59"/>
      <c r="H31" s="9"/>
    </row>
    <row r="32">
      <c r="A32" s="65">
        <v>24.0</v>
      </c>
      <c r="B32" s="50" t="s">
        <v>67</v>
      </c>
      <c r="C32" s="9"/>
      <c r="D32" s="9"/>
      <c r="E32" s="9"/>
      <c r="F32" s="117" t="s">
        <v>27</v>
      </c>
      <c r="G32" s="59"/>
      <c r="H32" s="9"/>
    </row>
    <row r="33">
      <c r="A33" s="65">
        <v>25.0</v>
      </c>
      <c r="B33" s="50" t="s">
        <v>67</v>
      </c>
      <c r="C33" s="9"/>
      <c r="D33" s="9"/>
      <c r="E33" s="9"/>
      <c r="F33" s="117" t="s">
        <v>27</v>
      </c>
      <c r="G33" s="59"/>
      <c r="H33" s="9"/>
    </row>
    <row r="34">
      <c r="A34" s="65">
        <v>26.0</v>
      </c>
      <c r="B34" s="50" t="s">
        <v>67</v>
      </c>
      <c r="C34" s="9"/>
      <c r="D34" s="9"/>
      <c r="E34" s="9"/>
      <c r="F34" s="117" t="s">
        <v>27</v>
      </c>
      <c r="G34" s="59"/>
      <c r="H34" s="9"/>
    </row>
    <row r="35">
      <c r="A35" s="65">
        <v>27.0</v>
      </c>
      <c r="B35" s="50" t="s">
        <v>67</v>
      </c>
      <c r="C35" s="9"/>
      <c r="D35" s="9"/>
      <c r="E35" s="9"/>
      <c r="F35" s="117" t="s">
        <v>27</v>
      </c>
      <c r="G35" s="59"/>
      <c r="H35" s="9"/>
    </row>
    <row r="36">
      <c r="A36" s="65">
        <v>28.0</v>
      </c>
      <c r="B36" s="50" t="s">
        <v>67</v>
      </c>
      <c r="C36" s="9"/>
      <c r="D36" s="9"/>
      <c r="E36" s="9"/>
      <c r="F36" s="117" t="s">
        <v>27</v>
      </c>
      <c r="G36" s="59"/>
      <c r="H36" s="9"/>
    </row>
    <row r="37">
      <c r="A37" s="65">
        <v>29.0</v>
      </c>
      <c r="B37" s="50" t="s">
        <v>67</v>
      </c>
      <c r="C37" s="9"/>
      <c r="D37" s="9"/>
      <c r="E37" s="9"/>
      <c r="F37" s="117" t="s">
        <v>27</v>
      </c>
      <c r="G37" s="59"/>
      <c r="H37" s="9"/>
    </row>
    <row r="38">
      <c r="A38" s="65">
        <v>30.0</v>
      </c>
      <c r="B38" s="50" t="s">
        <v>67</v>
      </c>
      <c r="C38" s="9"/>
      <c r="D38" s="9"/>
      <c r="E38" s="9"/>
      <c r="F38" s="117" t="s">
        <v>27</v>
      </c>
      <c r="G38" s="59"/>
      <c r="H38" s="9"/>
    </row>
    <row r="39">
      <c r="A39" s="65">
        <v>31.0</v>
      </c>
      <c r="B39" s="50" t="s">
        <v>67</v>
      </c>
      <c r="C39" s="9"/>
      <c r="D39" s="9"/>
      <c r="E39" s="9"/>
      <c r="F39" s="117" t="s">
        <v>27</v>
      </c>
      <c r="G39" s="59"/>
      <c r="H39" s="9"/>
    </row>
    <row r="40">
      <c r="A40" s="65">
        <v>32.0</v>
      </c>
      <c r="B40" s="50" t="s">
        <v>67</v>
      </c>
      <c r="C40" s="9"/>
      <c r="D40" s="9"/>
      <c r="E40" s="9"/>
      <c r="F40" s="117" t="s">
        <v>27</v>
      </c>
      <c r="G40" s="59"/>
      <c r="H40" s="9"/>
    </row>
    <row r="41">
      <c r="A41" s="65">
        <v>33.0</v>
      </c>
      <c r="B41" s="50" t="s">
        <v>67</v>
      </c>
      <c r="C41" s="9"/>
      <c r="D41" s="9"/>
      <c r="E41" s="9"/>
      <c r="F41" s="117" t="s">
        <v>27</v>
      </c>
      <c r="G41" s="59"/>
      <c r="H41" s="9"/>
    </row>
    <row r="42">
      <c r="A42" s="65">
        <v>34.0</v>
      </c>
      <c r="B42" s="50" t="s">
        <v>67</v>
      </c>
      <c r="C42" s="9"/>
      <c r="D42" s="9"/>
      <c r="E42" s="9"/>
      <c r="F42" s="117" t="s">
        <v>27</v>
      </c>
      <c r="G42" s="59"/>
      <c r="H42" s="9"/>
    </row>
    <row r="43">
      <c r="A43" s="65">
        <v>35.0</v>
      </c>
      <c r="B43" s="50" t="s">
        <v>67</v>
      </c>
      <c r="C43" s="9"/>
      <c r="D43" s="9"/>
      <c r="E43" s="9"/>
      <c r="F43" s="117" t="s">
        <v>27</v>
      </c>
      <c r="G43" s="59"/>
      <c r="H43" s="9"/>
    </row>
    <row r="44">
      <c r="A44" s="65">
        <v>36.0</v>
      </c>
      <c r="B44" s="50" t="s">
        <v>67</v>
      </c>
      <c r="C44" s="9"/>
      <c r="D44" s="9"/>
      <c r="E44" s="9"/>
      <c r="F44" s="117" t="s">
        <v>27</v>
      </c>
      <c r="G44" s="59"/>
      <c r="H44" s="9"/>
    </row>
    <row r="45">
      <c r="A45" s="65">
        <v>37.0</v>
      </c>
      <c r="B45" s="50" t="s">
        <v>67</v>
      </c>
      <c r="C45" s="9"/>
      <c r="D45" s="9"/>
      <c r="E45" s="9"/>
      <c r="F45" s="117" t="s">
        <v>27</v>
      </c>
      <c r="G45" s="59"/>
      <c r="H45" s="9"/>
    </row>
    <row r="46">
      <c r="A46" s="65">
        <v>38.0</v>
      </c>
      <c r="B46" s="50" t="s">
        <v>67</v>
      </c>
      <c r="C46" s="9"/>
      <c r="D46" s="9"/>
      <c r="E46" s="9"/>
      <c r="F46" s="117" t="s">
        <v>27</v>
      </c>
      <c r="G46" s="59"/>
      <c r="H46" s="9"/>
    </row>
    <row r="47">
      <c r="A47" s="65">
        <v>39.0</v>
      </c>
      <c r="B47" s="50" t="s">
        <v>67</v>
      </c>
      <c r="C47" s="9"/>
      <c r="D47" s="9"/>
      <c r="E47" s="9"/>
      <c r="F47" s="117" t="s">
        <v>27</v>
      </c>
      <c r="G47" s="59"/>
      <c r="H47" s="9"/>
    </row>
    <row r="48">
      <c r="A48" s="65">
        <v>40.0</v>
      </c>
      <c r="B48" s="50" t="s">
        <v>67</v>
      </c>
      <c r="C48" s="9"/>
      <c r="D48" s="9"/>
      <c r="E48" s="9"/>
      <c r="F48" s="117" t="s">
        <v>27</v>
      </c>
      <c r="G48" s="59"/>
      <c r="H48" s="9"/>
    </row>
    <row r="49">
      <c r="A49" s="65">
        <v>41.0</v>
      </c>
      <c r="B49" s="50" t="s">
        <v>67</v>
      </c>
      <c r="C49" s="9"/>
      <c r="D49" s="9"/>
      <c r="E49" s="9"/>
      <c r="F49" s="117" t="s">
        <v>27</v>
      </c>
      <c r="G49" s="59"/>
      <c r="H49" s="9"/>
    </row>
    <row r="50">
      <c r="A50" s="65">
        <v>42.0</v>
      </c>
      <c r="B50" s="50" t="s">
        <v>67</v>
      </c>
      <c r="C50" s="9"/>
      <c r="D50" s="9"/>
      <c r="E50" s="9"/>
      <c r="F50" s="117" t="s">
        <v>27</v>
      </c>
      <c r="G50" s="59"/>
      <c r="H50" s="9"/>
    </row>
    <row r="51">
      <c r="A51" s="65">
        <v>43.0</v>
      </c>
      <c r="B51" s="50" t="s">
        <v>67</v>
      </c>
      <c r="C51" s="9"/>
      <c r="D51" s="9"/>
      <c r="E51" s="9"/>
      <c r="F51" s="117" t="s">
        <v>27</v>
      </c>
      <c r="G51" s="59"/>
      <c r="H51" s="9"/>
    </row>
    <row r="52">
      <c r="A52" s="65">
        <v>44.0</v>
      </c>
      <c r="B52" s="50" t="s">
        <v>67</v>
      </c>
      <c r="C52" s="9"/>
      <c r="D52" s="9"/>
      <c r="E52" s="9"/>
      <c r="F52" s="117" t="s">
        <v>27</v>
      </c>
      <c r="G52" s="59"/>
      <c r="H52" s="9"/>
    </row>
    <row r="53">
      <c r="A53" s="65">
        <v>45.0</v>
      </c>
      <c r="B53" s="50" t="s">
        <v>67</v>
      </c>
      <c r="C53" s="9"/>
      <c r="D53" s="9"/>
      <c r="E53" s="9"/>
      <c r="F53" s="117" t="s">
        <v>27</v>
      </c>
      <c r="G53" s="59"/>
      <c r="H53" s="9"/>
    </row>
    <row r="54">
      <c r="A54" s="65">
        <v>46.0</v>
      </c>
      <c r="B54" s="50" t="s">
        <v>67</v>
      </c>
      <c r="C54" s="9"/>
      <c r="D54" s="9"/>
      <c r="E54" s="9"/>
      <c r="F54" s="117" t="s">
        <v>27</v>
      </c>
      <c r="G54" s="59"/>
      <c r="H54" s="9"/>
    </row>
    <row r="55">
      <c r="A55" s="65">
        <v>47.0</v>
      </c>
      <c r="B55" s="50" t="s">
        <v>67</v>
      </c>
      <c r="C55" s="9"/>
      <c r="D55" s="9"/>
      <c r="E55" s="9"/>
      <c r="F55" s="117" t="s">
        <v>27</v>
      </c>
      <c r="G55" s="59"/>
      <c r="H55" s="9"/>
    </row>
    <row r="56">
      <c r="A56" s="65">
        <v>48.0</v>
      </c>
      <c r="B56" s="50" t="s">
        <v>67</v>
      </c>
      <c r="C56" s="9"/>
      <c r="D56" s="9"/>
      <c r="E56" s="9"/>
      <c r="F56" s="117" t="s">
        <v>27</v>
      </c>
      <c r="G56" s="59"/>
      <c r="H56" s="9"/>
    </row>
    <row r="57">
      <c r="A57" s="65">
        <v>49.0</v>
      </c>
      <c r="B57" s="50" t="s">
        <v>67</v>
      </c>
      <c r="C57" s="9"/>
      <c r="D57" s="9"/>
      <c r="E57" s="9"/>
      <c r="F57" s="117" t="s">
        <v>27</v>
      </c>
      <c r="G57" s="59"/>
      <c r="H57" s="9"/>
    </row>
    <row r="58">
      <c r="A58" s="65">
        <v>50.0</v>
      </c>
      <c r="B58" s="50" t="s">
        <v>67</v>
      </c>
      <c r="C58" s="9"/>
      <c r="D58" s="9"/>
      <c r="E58" s="9"/>
      <c r="F58" s="117" t="s">
        <v>27</v>
      </c>
      <c r="G58" s="59"/>
      <c r="H58" s="9"/>
    </row>
    <row r="59">
      <c r="A59" s="9"/>
      <c r="B59" s="9"/>
      <c r="C59" s="9"/>
      <c r="D59" s="9"/>
      <c r="E59" s="9"/>
      <c r="F59" s="9"/>
      <c r="G59" s="59"/>
      <c r="H59" s="9"/>
    </row>
    <row r="60">
      <c r="A60" s="9"/>
      <c r="B60" s="9"/>
      <c r="C60" s="9"/>
      <c r="D60" s="9"/>
      <c r="E60" s="9"/>
      <c r="F60" s="9"/>
      <c r="G60" s="59"/>
      <c r="H60" s="9"/>
    </row>
    <row r="61">
      <c r="A61" s="9"/>
      <c r="B61" s="9"/>
      <c r="C61" s="9"/>
      <c r="D61" s="9"/>
      <c r="E61" s="9"/>
      <c r="F61" s="9"/>
      <c r="G61" s="59"/>
      <c r="H61" s="9"/>
    </row>
    <row r="62">
      <c r="A62" s="9"/>
      <c r="B62" s="9"/>
      <c r="C62" s="9"/>
      <c r="D62" s="9"/>
      <c r="E62" s="9"/>
      <c r="F62" s="9"/>
      <c r="G62" s="59"/>
      <c r="H62" s="9"/>
    </row>
    <row r="63">
      <c r="A63" s="9"/>
      <c r="B63" s="9"/>
      <c r="C63" s="9"/>
      <c r="D63" s="9"/>
      <c r="E63" s="9"/>
      <c r="F63" s="9"/>
      <c r="G63" s="59"/>
      <c r="H63" s="9"/>
    </row>
    <row r="64">
      <c r="A64" s="9"/>
      <c r="B64" s="9"/>
      <c r="C64" s="9"/>
      <c r="D64" s="9"/>
      <c r="E64" s="9"/>
      <c r="F64" s="9"/>
      <c r="G64" s="59"/>
      <c r="H64" s="9"/>
    </row>
    <row r="65">
      <c r="A65" s="9"/>
      <c r="B65" s="9"/>
      <c r="C65" s="9"/>
      <c r="D65" s="9"/>
      <c r="E65" s="9"/>
      <c r="F65" s="9"/>
      <c r="G65" s="59"/>
      <c r="H65" s="9"/>
    </row>
    <row r="66">
      <c r="A66" s="9"/>
      <c r="B66" s="9"/>
      <c r="C66" s="9"/>
      <c r="D66" s="9"/>
      <c r="E66" s="9"/>
      <c r="F66" s="9"/>
      <c r="G66" s="59"/>
      <c r="H66" s="9"/>
    </row>
    <row r="67">
      <c r="A67" s="9"/>
      <c r="B67" s="9"/>
      <c r="C67" s="9"/>
      <c r="D67" s="9"/>
      <c r="E67" s="9"/>
      <c r="F67" s="9"/>
      <c r="G67" s="59"/>
      <c r="H67" s="9"/>
    </row>
    <row r="68">
      <c r="A68" s="9"/>
      <c r="B68" s="9"/>
      <c r="C68" s="9"/>
      <c r="D68" s="9"/>
      <c r="E68" s="9"/>
      <c r="F68" s="9"/>
      <c r="G68" s="59"/>
      <c r="H68" s="9"/>
    </row>
    <row r="69">
      <c r="A69" s="9"/>
      <c r="B69" s="9"/>
      <c r="C69" s="9"/>
      <c r="D69" s="9"/>
      <c r="E69" s="9"/>
      <c r="F69" s="9"/>
      <c r="G69" s="59"/>
      <c r="H69" s="9"/>
    </row>
    <row r="70">
      <c r="A70" s="9"/>
      <c r="B70" s="9"/>
      <c r="C70" s="9"/>
      <c r="D70" s="9"/>
      <c r="E70" s="9"/>
      <c r="F70" s="9"/>
      <c r="G70" s="59"/>
      <c r="H70" s="9"/>
    </row>
    <row r="71">
      <c r="A71" s="9"/>
      <c r="B71" s="9"/>
      <c r="C71" s="9"/>
      <c r="D71" s="9"/>
      <c r="E71" s="9"/>
      <c r="F71" s="9"/>
      <c r="G71" s="59"/>
      <c r="H71" s="9"/>
    </row>
    <row r="72">
      <c r="A72" s="9"/>
      <c r="B72" s="9"/>
      <c r="C72" s="9"/>
      <c r="D72" s="9"/>
      <c r="E72" s="9"/>
      <c r="F72" s="9"/>
      <c r="G72" s="59"/>
      <c r="H72" s="9"/>
    </row>
    <row r="73">
      <c r="A73" s="9"/>
      <c r="B73" s="9"/>
      <c r="C73" s="9"/>
      <c r="D73" s="9"/>
      <c r="E73" s="9"/>
      <c r="F73" s="9"/>
      <c r="G73" s="59"/>
      <c r="H73" s="9"/>
    </row>
    <row r="74">
      <c r="A74" s="9"/>
      <c r="B74" s="9"/>
      <c r="C74" s="9"/>
      <c r="D74" s="9"/>
      <c r="E74" s="9"/>
      <c r="F74" s="9"/>
      <c r="G74" s="59"/>
      <c r="H74" s="9"/>
    </row>
    <row r="75">
      <c r="A75" s="9"/>
      <c r="B75" s="9"/>
      <c r="C75" s="9"/>
      <c r="D75" s="9"/>
      <c r="E75" s="9"/>
      <c r="F75" s="9"/>
      <c r="G75" s="59"/>
      <c r="H75" s="9"/>
    </row>
    <row r="76">
      <c r="A76" s="9"/>
      <c r="B76" s="9"/>
      <c r="C76" s="9"/>
      <c r="D76" s="9"/>
      <c r="E76" s="9"/>
      <c r="F76" s="9"/>
      <c r="G76" s="59"/>
      <c r="H76" s="9"/>
    </row>
    <row r="77">
      <c r="A77" s="9"/>
      <c r="B77" s="9"/>
      <c r="C77" s="9"/>
      <c r="D77" s="9"/>
      <c r="E77" s="9"/>
      <c r="F77" s="9"/>
      <c r="G77" s="59"/>
      <c r="H77" s="9"/>
    </row>
    <row r="78">
      <c r="A78" s="9"/>
      <c r="B78" s="9"/>
      <c r="C78" s="9"/>
      <c r="D78" s="9"/>
      <c r="E78" s="9"/>
      <c r="F78" s="9"/>
      <c r="G78" s="59"/>
      <c r="H78" s="9"/>
    </row>
    <row r="79">
      <c r="A79" s="9"/>
      <c r="B79" s="9"/>
      <c r="C79" s="9"/>
      <c r="D79" s="9"/>
      <c r="E79" s="9"/>
      <c r="F79" s="9"/>
      <c r="G79" s="59"/>
      <c r="H79" s="9"/>
    </row>
    <row r="80">
      <c r="A80" s="9"/>
      <c r="B80" s="9"/>
      <c r="C80" s="9"/>
      <c r="D80" s="9"/>
      <c r="E80" s="9"/>
      <c r="F80" s="9"/>
      <c r="G80" s="59"/>
      <c r="H80" s="9"/>
    </row>
    <row r="81">
      <c r="A81" s="9"/>
      <c r="B81" s="9"/>
      <c r="C81" s="9"/>
      <c r="D81" s="9"/>
      <c r="E81" s="9"/>
      <c r="F81" s="9"/>
      <c r="G81" s="59"/>
      <c r="H81" s="9"/>
    </row>
    <row r="82">
      <c r="A82" s="9"/>
      <c r="B82" s="9"/>
      <c r="C82" s="9"/>
      <c r="D82" s="9"/>
      <c r="E82" s="9"/>
      <c r="F82" s="9"/>
      <c r="G82" s="59"/>
      <c r="H82" s="9"/>
    </row>
    <row r="83">
      <c r="A83" s="9"/>
      <c r="B83" s="9"/>
      <c r="C83" s="9"/>
      <c r="D83" s="9"/>
      <c r="E83" s="9"/>
      <c r="F83" s="9"/>
      <c r="G83" s="59"/>
      <c r="H83" s="9"/>
    </row>
    <row r="84">
      <c r="A84" s="9"/>
      <c r="B84" s="9"/>
      <c r="C84" s="9"/>
      <c r="D84" s="9"/>
      <c r="E84" s="9"/>
      <c r="F84" s="9"/>
      <c r="G84" s="59"/>
      <c r="H84" s="9"/>
    </row>
    <row r="85">
      <c r="A85" s="9"/>
      <c r="B85" s="9"/>
      <c r="C85" s="9"/>
      <c r="D85" s="9"/>
      <c r="E85" s="9"/>
      <c r="F85" s="9"/>
      <c r="G85" s="59"/>
      <c r="H85" s="9"/>
    </row>
    <row r="86">
      <c r="A86" s="9"/>
      <c r="B86" s="9"/>
      <c r="C86" s="9"/>
      <c r="D86" s="9"/>
      <c r="E86" s="9"/>
      <c r="F86" s="9"/>
      <c r="G86" s="59"/>
      <c r="H86" s="9"/>
    </row>
    <row r="87">
      <c r="A87" s="9"/>
      <c r="B87" s="9"/>
      <c r="C87" s="9"/>
      <c r="D87" s="9"/>
      <c r="E87" s="9"/>
      <c r="F87" s="9"/>
      <c r="G87" s="59"/>
      <c r="H87" s="9"/>
    </row>
    <row r="88">
      <c r="A88" s="9"/>
      <c r="B88" s="9"/>
      <c r="C88" s="9"/>
      <c r="D88" s="9"/>
      <c r="E88" s="9"/>
      <c r="F88" s="9"/>
      <c r="G88" s="59"/>
      <c r="H88" s="9"/>
    </row>
    <row r="89">
      <c r="A89" s="9"/>
      <c r="B89" s="9"/>
      <c r="C89" s="9"/>
      <c r="D89" s="9"/>
      <c r="E89" s="9"/>
      <c r="F89" s="9"/>
      <c r="G89" s="59"/>
      <c r="H89" s="9"/>
    </row>
    <row r="90">
      <c r="A90" s="9"/>
      <c r="B90" s="9"/>
      <c r="C90" s="9"/>
      <c r="D90" s="9"/>
      <c r="E90" s="9"/>
      <c r="F90" s="9"/>
      <c r="G90" s="59"/>
      <c r="H90" s="9"/>
    </row>
    <row r="91">
      <c r="A91" s="9"/>
      <c r="B91" s="9"/>
      <c r="C91" s="9"/>
      <c r="D91" s="9"/>
      <c r="E91" s="9"/>
      <c r="F91" s="9"/>
      <c r="G91" s="59"/>
      <c r="H91" s="9"/>
    </row>
    <row r="92">
      <c r="A92" s="9"/>
      <c r="B92" s="9"/>
      <c r="C92" s="9"/>
      <c r="D92" s="9"/>
      <c r="E92" s="9"/>
      <c r="F92" s="9"/>
      <c r="G92" s="59"/>
      <c r="H92" s="9"/>
    </row>
    <row r="93">
      <c r="A93" s="9"/>
      <c r="B93" s="9"/>
      <c r="C93" s="9"/>
      <c r="D93" s="9"/>
      <c r="E93" s="9"/>
      <c r="F93" s="9"/>
      <c r="G93" s="59"/>
      <c r="H93" s="9"/>
    </row>
    <row r="94">
      <c r="A94" s="9"/>
      <c r="B94" s="9"/>
      <c r="C94" s="9"/>
      <c r="D94" s="9"/>
      <c r="E94" s="9"/>
      <c r="F94" s="9"/>
      <c r="G94" s="59"/>
      <c r="H94" s="9"/>
    </row>
    <row r="95">
      <c r="A95" s="9"/>
      <c r="B95" s="9"/>
      <c r="C95" s="9"/>
      <c r="D95" s="9"/>
      <c r="E95" s="9"/>
      <c r="F95" s="9"/>
      <c r="G95" s="59"/>
      <c r="H95" s="9"/>
    </row>
    <row r="96">
      <c r="A96" s="9"/>
      <c r="B96" s="9"/>
      <c r="C96" s="9"/>
      <c r="D96" s="9"/>
      <c r="E96" s="9"/>
      <c r="F96" s="9"/>
      <c r="G96" s="59"/>
      <c r="H96" s="9"/>
    </row>
    <row r="97">
      <c r="A97" s="9"/>
      <c r="B97" s="9"/>
      <c r="C97" s="9"/>
      <c r="D97" s="9"/>
      <c r="E97" s="9"/>
      <c r="F97" s="9"/>
      <c r="G97" s="59"/>
      <c r="H97" s="9"/>
    </row>
    <row r="98">
      <c r="A98" s="9"/>
      <c r="B98" s="9"/>
      <c r="C98" s="9"/>
      <c r="D98" s="9"/>
      <c r="E98" s="9"/>
      <c r="F98" s="9"/>
      <c r="G98" s="59"/>
      <c r="H98" s="9"/>
    </row>
    <row r="99">
      <c r="A99" s="9"/>
      <c r="B99" s="9"/>
      <c r="C99" s="9"/>
      <c r="D99" s="9"/>
      <c r="E99" s="9"/>
      <c r="F99" s="9"/>
      <c r="G99" s="59"/>
      <c r="H99" s="9"/>
    </row>
    <row r="100">
      <c r="A100" s="9"/>
      <c r="B100" s="9"/>
      <c r="C100" s="9"/>
      <c r="D100" s="9"/>
      <c r="E100" s="9"/>
      <c r="F100" s="9"/>
      <c r="G100" s="59"/>
      <c r="H100" s="9"/>
    </row>
    <row r="101">
      <c r="A101" s="9"/>
      <c r="B101" s="9"/>
      <c r="C101" s="9"/>
      <c r="D101" s="9"/>
      <c r="E101" s="9"/>
      <c r="F101" s="9"/>
      <c r="G101" s="59"/>
      <c r="H101" s="9"/>
    </row>
    <row r="102">
      <c r="A102" s="9"/>
      <c r="B102" s="9"/>
      <c r="C102" s="9"/>
      <c r="D102" s="9"/>
      <c r="E102" s="9"/>
      <c r="F102" s="9"/>
      <c r="G102" s="59"/>
      <c r="H102" s="9"/>
    </row>
    <row r="103">
      <c r="A103" s="9"/>
      <c r="B103" s="9"/>
      <c r="C103" s="9"/>
      <c r="D103" s="9"/>
      <c r="E103" s="9"/>
      <c r="F103" s="9"/>
      <c r="G103" s="59"/>
      <c r="H103" s="9"/>
    </row>
    <row r="104">
      <c r="A104" s="9"/>
      <c r="B104" s="9"/>
      <c r="C104" s="9"/>
      <c r="D104" s="9"/>
      <c r="E104" s="9"/>
      <c r="F104" s="9"/>
      <c r="G104" s="59"/>
      <c r="H104" s="9"/>
    </row>
    <row r="105">
      <c r="A105" s="9"/>
      <c r="B105" s="9"/>
      <c r="C105" s="9"/>
      <c r="D105" s="9"/>
      <c r="E105" s="9"/>
      <c r="F105" s="9"/>
      <c r="G105" s="59"/>
      <c r="H105" s="9"/>
    </row>
    <row r="106">
      <c r="A106" s="9"/>
      <c r="B106" s="9"/>
      <c r="C106" s="9"/>
      <c r="D106" s="9"/>
      <c r="E106" s="9"/>
      <c r="F106" s="9"/>
      <c r="G106" s="59"/>
      <c r="H106" s="9"/>
    </row>
    <row r="107">
      <c r="A107" s="9"/>
      <c r="B107" s="9"/>
      <c r="C107" s="9"/>
      <c r="D107" s="9"/>
      <c r="E107" s="9"/>
      <c r="F107" s="9"/>
      <c r="G107" s="59"/>
      <c r="H107" s="9"/>
    </row>
    <row r="108">
      <c r="A108" s="9"/>
      <c r="B108" s="9"/>
      <c r="C108" s="9"/>
      <c r="D108" s="9"/>
      <c r="E108" s="9"/>
      <c r="F108" s="9"/>
      <c r="G108" s="59"/>
      <c r="H108" s="9"/>
    </row>
    <row r="109">
      <c r="A109" s="9"/>
      <c r="B109" s="9"/>
      <c r="C109" s="9"/>
      <c r="D109" s="9"/>
      <c r="E109" s="9"/>
      <c r="F109" s="9"/>
      <c r="G109" s="59"/>
      <c r="H109" s="9"/>
    </row>
    <row r="110">
      <c r="A110" s="9"/>
      <c r="B110" s="9"/>
      <c r="C110" s="9"/>
      <c r="D110" s="9"/>
      <c r="E110" s="9"/>
      <c r="F110" s="9"/>
      <c r="G110" s="59"/>
      <c r="H110" s="9"/>
    </row>
    <row r="111">
      <c r="A111" s="9"/>
      <c r="B111" s="9"/>
      <c r="C111" s="9"/>
      <c r="D111" s="9"/>
      <c r="E111" s="9"/>
      <c r="F111" s="9"/>
      <c r="G111" s="59"/>
      <c r="H111" s="9"/>
    </row>
    <row r="112">
      <c r="A112" s="9"/>
      <c r="B112" s="9"/>
      <c r="C112" s="9"/>
      <c r="D112" s="9"/>
      <c r="E112" s="9"/>
      <c r="F112" s="9"/>
      <c r="G112" s="59"/>
      <c r="H112" s="9"/>
    </row>
    <row r="113">
      <c r="A113" s="9"/>
      <c r="B113" s="9"/>
      <c r="C113" s="9"/>
      <c r="D113" s="9"/>
      <c r="E113" s="9"/>
      <c r="F113" s="9"/>
      <c r="G113" s="59"/>
      <c r="H113" s="9"/>
    </row>
    <row r="114">
      <c r="A114" s="9"/>
      <c r="B114" s="9"/>
      <c r="C114" s="9"/>
      <c r="D114" s="9"/>
      <c r="E114" s="9"/>
      <c r="F114" s="9"/>
      <c r="G114" s="59"/>
      <c r="H114" s="9"/>
    </row>
    <row r="115">
      <c r="A115" s="9"/>
      <c r="B115" s="9"/>
      <c r="C115" s="9"/>
      <c r="D115" s="9"/>
      <c r="E115" s="9"/>
      <c r="F115" s="9"/>
      <c r="G115" s="59"/>
      <c r="H115" s="9"/>
    </row>
    <row r="116">
      <c r="A116" s="9"/>
      <c r="B116" s="9"/>
      <c r="C116" s="9"/>
      <c r="D116" s="9"/>
      <c r="E116" s="9"/>
      <c r="F116" s="9"/>
      <c r="G116" s="59"/>
      <c r="H116" s="9"/>
    </row>
    <row r="117">
      <c r="A117" s="9"/>
      <c r="B117" s="9"/>
      <c r="C117" s="9"/>
      <c r="D117" s="9"/>
      <c r="E117" s="9"/>
      <c r="F117" s="9"/>
      <c r="G117" s="59"/>
      <c r="H117" s="9"/>
    </row>
    <row r="118">
      <c r="A118" s="9"/>
      <c r="B118" s="9"/>
      <c r="C118" s="9"/>
      <c r="D118" s="9"/>
      <c r="E118" s="9"/>
      <c r="F118" s="9"/>
      <c r="G118" s="59"/>
      <c r="H118" s="9"/>
    </row>
    <row r="119">
      <c r="A119" s="9"/>
      <c r="B119" s="9"/>
      <c r="C119" s="9"/>
      <c r="D119" s="9"/>
      <c r="E119" s="9"/>
      <c r="F119" s="9"/>
      <c r="G119" s="59"/>
      <c r="H119" s="9"/>
    </row>
    <row r="120">
      <c r="A120" s="9"/>
      <c r="B120" s="9"/>
      <c r="C120" s="9"/>
      <c r="D120" s="9"/>
      <c r="E120" s="9"/>
      <c r="F120" s="9"/>
      <c r="G120" s="59"/>
      <c r="H120" s="9"/>
    </row>
    <row r="121">
      <c r="A121" s="9"/>
      <c r="B121" s="9"/>
      <c r="C121" s="9"/>
      <c r="D121" s="9"/>
      <c r="E121" s="9"/>
      <c r="F121" s="9"/>
      <c r="G121" s="59"/>
      <c r="H121" s="9"/>
    </row>
    <row r="122">
      <c r="A122" s="9"/>
      <c r="B122" s="9"/>
      <c r="C122" s="9"/>
      <c r="D122" s="9"/>
      <c r="E122" s="9"/>
      <c r="F122" s="9"/>
      <c r="G122" s="59"/>
      <c r="H122" s="9"/>
    </row>
    <row r="123">
      <c r="A123" s="9"/>
      <c r="B123" s="9"/>
      <c r="C123" s="9"/>
      <c r="D123" s="9"/>
      <c r="E123" s="9"/>
      <c r="F123" s="9"/>
      <c r="G123" s="59"/>
      <c r="H123" s="9"/>
    </row>
    <row r="124">
      <c r="A124" s="9"/>
      <c r="B124" s="9"/>
      <c r="C124" s="9"/>
      <c r="D124" s="9"/>
      <c r="E124" s="9"/>
      <c r="F124" s="9"/>
      <c r="G124" s="59"/>
      <c r="H124" s="9"/>
    </row>
    <row r="125">
      <c r="A125" s="9"/>
      <c r="B125" s="9"/>
      <c r="C125" s="9"/>
      <c r="D125" s="9"/>
      <c r="E125" s="9"/>
      <c r="F125" s="9"/>
      <c r="G125" s="59"/>
      <c r="H125" s="9"/>
    </row>
    <row r="126">
      <c r="A126" s="9"/>
      <c r="B126" s="9"/>
      <c r="C126" s="9"/>
      <c r="D126" s="9"/>
      <c r="E126" s="9"/>
      <c r="F126" s="9"/>
      <c r="G126" s="59"/>
      <c r="H126" s="9"/>
    </row>
    <row r="127">
      <c r="A127" s="9"/>
      <c r="B127" s="9"/>
      <c r="C127" s="9"/>
      <c r="D127" s="9"/>
      <c r="E127" s="9"/>
      <c r="F127" s="9"/>
      <c r="G127" s="59"/>
      <c r="H127" s="9"/>
    </row>
    <row r="128">
      <c r="A128" s="9"/>
      <c r="B128" s="9"/>
      <c r="C128" s="9"/>
      <c r="D128" s="9"/>
      <c r="E128" s="9"/>
      <c r="F128" s="9"/>
      <c r="G128" s="59"/>
      <c r="H128" s="9"/>
    </row>
    <row r="129">
      <c r="A129" s="9"/>
      <c r="B129" s="9"/>
      <c r="C129" s="9"/>
      <c r="D129" s="9"/>
      <c r="E129" s="9"/>
      <c r="F129" s="9"/>
      <c r="G129" s="59"/>
      <c r="H129" s="9"/>
    </row>
    <row r="130">
      <c r="A130" s="9"/>
      <c r="B130" s="9"/>
      <c r="C130" s="9"/>
      <c r="D130" s="9"/>
      <c r="E130" s="9"/>
      <c r="F130" s="9"/>
      <c r="G130" s="59"/>
      <c r="H130" s="9"/>
    </row>
    <row r="131">
      <c r="A131" s="9"/>
      <c r="B131" s="9"/>
      <c r="C131" s="9"/>
      <c r="D131" s="9"/>
      <c r="E131" s="9"/>
      <c r="F131" s="9"/>
      <c r="G131" s="59"/>
      <c r="H131" s="9"/>
    </row>
    <row r="132">
      <c r="A132" s="9"/>
      <c r="B132" s="9"/>
      <c r="C132" s="9"/>
      <c r="D132" s="9"/>
      <c r="E132" s="9"/>
      <c r="F132" s="9"/>
      <c r="G132" s="59"/>
      <c r="H132" s="9"/>
    </row>
    <row r="133">
      <c r="A133" s="9"/>
      <c r="B133" s="9"/>
      <c r="C133" s="9"/>
      <c r="D133" s="9"/>
      <c r="E133" s="9"/>
      <c r="F133" s="9"/>
      <c r="G133" s="59"/>
      <c r="H133" s="9"/>
    </row>
    <row r="134">
      <c r="A134" s="9"/>
      <c r="B134" s="9"/>
      <c r="C134" s="9"/>
      <c r="D134" s="9"/>
      <c r="E134" s="9"/>
      <c r="F134" s="9"/>
      <c r="G134" s="59"/>
      <c r="H134" s="9"/>
    </row>
    <row r="135">
      <c r="A135" s="9"/>
      <c r="B135" s="9"/>
      <c r="C135" s="9"/>
      <c r="D135" s="9"/>
      <c r="E135" s="9"/>
      <c r="F135" s="9"/>
      <c r="G135" s="59"/>
      <c r="H135" s="9"/>
    </row>
    <row r="136">
      <c r="A136" s="9"/>
      <c r="B136" s="9"/>
      <c r="C136" s="9"/>
      <c r="D136" s="9"/>
      <c r="E136" s="9"/>
      <c r="F136" s="9"/>
      <c r="G136" s="59"/>
      <c r="H136" s="9"/>
    </row>
    <row r="137">
      <c r="A137" s="9"/>
      <c r="B137" s="9"/>
      <c r="C137" s="9"/>
      <c r="D137" s="9"/>
      <c r="E137" s="9"/>
      <c r="F137" s="9"/>
      <c r="G137" s="59"/>
      <c r="H137" s="9"/>
    </row>
    <row r="138">
      <c r="A138" s="9"/>
      <c r="B138" s="9"/>
      <c r="C138" s="9"/>
      <c r="D138" s="9"/>
      <c r="E138" s="9"/>
      <c r="F138" s="9"/>
      <c r="G138" s="59"/>
      <c r="H138" s="9"/>
    </row>
    <row r="139">
      <c r="A139" s="9"/>
      <c r="B139" s="9"/>
      <c r="C139" s="9"/>
      <c r="D139" s="9"/>
      <c r="E139" s="9"/>
      <c r="F139" s="9"/>
      <c r="G139" s="59"/>
      <c r="H139" s="9"/>
    </row>
    <row r="140">
      <c r="A140" s="9"/>
      <c r="B140" s="9"/>
      <c r="C140" s="9"/>
      <c r="D140" s="9"/>
      <c r="E140" s="9"/>
      <c r="F140" s="9"/>
      <c r="G140" s="59"/>
      <c r="H140" s="9"/>
    </row>
    <row r="141">
      <c r="A141" s="9"/>
      <c r="B141" s="9"/>
      <c r="C141" s="9"/>
      <c r="D141" s="9"/>
      <c r="E141" s="9"/>
      <c r="F141" s="9"/>
      <c r="G141" s="59"/>
      <c r="H141" s="9"/>
    </row>
    <row r="142">
      <c r="A142" s="9"/>
      <c r="B142" s="9"/>
      <c r="C142" s="9"/>
      <c r="D142" s="9"/>
      <c r="E142" s="9"/>
      <c r="F142" s="9"/>
      <c r="G142" s="59"/>
      <c r="H142" s="9"/>
    </row>
    <row r="143">
      <c r="A143" s="9"/>
      <c r="B143" s="9"/>
      <c r="C143" s="9"/>
      <c r="D143" s="9"/>
      <c r="E143" s="9"/>
      <c r="F143" s="9"/>
      <c r="G143" s="59"/>
      <c r="H143" s="9"/>
    </row>
    <row r="144">
      <c r="A144" s="9"/>
      <c r="B144" s="9"/>
      <c r="C144" s="9"/>
      <c r="D144" s="9"/>
      <c r="E144" s="9"/>
      <c r="F144" s="9"/>
      <c r="G144" s="59"/>
      <c r="H144" s="9"/>
    </row>
    <row r="145">
      <c r="A145" s="9"/>
      <c r="B145" s="9"/>
      <c r="C145" s="9"/>
      <c r="D145" s="9"/>
      <c r="E145" s="9"/>
      <c r="F145" s="9"/>
      <c r="G145" s="59"/>
      <c r="H145" s="9"/>
    </row>
    <row r="146">
      <c r="A146" s="9"/>
      <c r="B146" s="9"/>
      <c r="C146" s="9"/>
      <c r="D146" s="9"/>
      <c r="E146" s="9"/>
      <c r="F146" s="9"/>
      <c r="G146" s="59"/>
      <c r="H146" s="9"/>
    </row>
    <row r="147">
      <c r="A147" s="9"/>
      <c r="B147" s="9"/>
      <c r="C147" s="9"/>
      <c r="D147" s="9"/>
      <c r="E147" s="9"/>
      <c r="F147" s="9"/>
      <c r="G147" s="59"/>
      <c r="H147" s="9"/>
    </row>
    <row r="148">
      <c r="A148" s="9"/>
      <c r="B148" s="9"/>
      <c r="C148" s="9"/>
      <c r="D148" s="9"/>
      <c r="E148" s="9"/>
      <c r="F148" s="9"/>
      <c r="G148" s="59"/>
      <c r="H148" s="9"/>
    </row>
    <row r="149">
      <c r="A149" s="9"/>
      <c r="B149" s="9"/>
      <c r="C149" s="9"/>
      <c r="D149" s="9"/>
      <c r="E149" s="9"/>
      <c r="F149" s="9"/>
      <c r="G149" s="59"/>
      <c r="H149" s="9"/>
    </row>
    <row r="150">
      <c r="A150" s="9"/>
      <c r="B150" s="9"/>
      <c r="C150" s="9"/>
      <c r="D150" s="9"/>
      <c r="E150" s="9"/>
      <c r="F150" s="9"/>
      <c r="G150" s="59"/>
      <c r="H150" s="9"/>
    </row>
    <row r="151">
      <c r="A151" s="9"/>
      <c r="B151" s="9"/>
      <c r="C151" s="9"/>
      <c r="D151" s="9"/>
      <c r="E151" s="9"/>
      <c r="F151" s="9"/>
      <c r="G151" s="59"/>
      <c r="H151" s="9"/>
    </row>
    <row r="152">
      <c r="A152" s="9"/>
      <c r="B152" s="9"/>
      <c r="C152" s="9"/>
      <c r="D152" s="9"/>
      <c r="E152" s="9"/>
      <c r="F152" s="9"/>
      <c r="G152" s="59"/>
      <c r="H152" s="9"/>
    </row>
    <row r="153">
      <c r="A153" s="9"/>
      <c r="B153" s="9"/>
      <c r="C153" s="9"/>
      <c r="D153" s="9"/>
      <c r="E153" s="9"/>
      <c r="F153" s="9"/>
      <c r="G153" s="59"/>
      <c r="H153" s="9"/>
    </row>
    <row r="154">
      <c r="A154" s="9"/>
      <c r="B154" s="9"/>
      <c r="C154" s="9"/>
      <c r="D154" s="9"/>
      <c r="E154" s="9"/>
      <c r="F154" s="9"/>
      <c r="G154" s="59"/>
      <c r="H154" s="9"/>
    </row>
    <row r="155">
      <c r="A155" s="9"/>
      <c r="B155" s="9"/>
      <c r="C155" s="9"/>
      <c r="D155" s="9"/>
      <c r="E155" s="9"/>
      <c r="F155" s="9"/>
      <c r="G155" s="59"/>
      <c r="H155" s="9"/>
    </row>
    <row r="156">
      <c r="A156" s="9"/>
      <c r="B156" s="9"/>
      <c r="C156" s="9"/>
      <c r="D156" s="9"/>
      <c r="E156" s="9"/>
      <c r="F156" s="9"/>
      <c r="G156" s="59"/>
      <c r="H156" s="9"/>
    </row>
    <row r="157">
      <c r="A157" s="9"/>
      <c r="B157" s="9"/>
      <c r="C157" s="9"/>
      <c r="D157" s="9"/>
      <c r="E157" s="9"/>
      <c r="F157" s="9"/>
      <c r="G157" s="59"/>
      <c r="H157" s="9"/>
    </row>
    <row r="158">
      <c r="A158" s="9"/>
      <c r="B158" s="9"/>
      <c r="C158" s="9"/>
      <c r="D158" s="9"/>
      <c r="E158" s="9"/>
      <c r="F158" s="9"/>
      <c r="G158" s="59"/>
      <c r="H158" s="9"/>
    </row>
    <row r="159">
      <c r="A159" s="9"/>
      <c r="B159" s="9"/>
      <c r="C159" s="9"/>
      <c r="D159" s="9"/>
      <c r="E159" s="9"/>
      <c r="F159" s="9"/>
      <c r="G159" s="59"/>
      <c r="H159" s="9"/>
    </row>
    <row r="160">
      <c r="A160" s="9"/>
      <c r="B160" s="9"/>
      <c r="C160" s="9"/>
      <c r="D160" s="9"/>
      <c r="E160" s="9"/>
      <c r="F160" s="9"/>
      <c r="G160" s="59"/>
      <c r="H160" s="9"/>
    </row>
    <row r="161">
      <c r="A161" s="9"/>
      <c r="B161" s="9"/>
      <c r="C161" s="9"/>
      <c r="D161" s="9"/>
      <c r="E161" s="9"/>
      <c r="F161" s="9"/>
      <c r="G161" s="59"/>
      <c r="H161" s="9"/>
    </row>
    <row r="162">
      <c r="A162" s="9"/>
      <c r="B162" s="9"/>
      <c r="C162" s="9"/>
      <c r="D162" s="9"/>
      <c r="E162" s="9"/>
      <c r="F162" s="9"/>
      <c r="G162" s="59"/>
      <c r="H162" s="9"/>
    </row>
    <row r="163">
      <c r="A163" s="9"/>
      <c r="B163" s="9"/>
      <c r="C163" s="9"/>
      <c r="D163" s="9"/>
      <c r="E163" s="9"/>
      <c r="F163" s="9"/>
      <c r="G163" s="59"/>
      <c r="H163" s="9"/>
    </row>
    <row r="164">
      <c r="A164" s="9"/>
      <c r="B164" s="9"/>
      <c r="C164" s="9"/>
      <c r="D164" s="9"/>
      <c r="E164" s="9"/>
      <c r="F164" s="9"/>
      <c r="G164" s="59"/>
      <c r="H164" s="9"/>
    </row>
    <row r="165">
      <c r="A165" s="9"/>
      <c r="B165" s="9"/>
      <c r="C165" s="9"/>
      <c r="D165" s="9"/>
      <c r="E165" s="9"/>
      <c r="F165" s="9"/>
      <c r="G165" s="59"/>
      <c r="H165" s="9"/>
    </row>
    <row r="166">
      <c r="A166" s="9"/>
      <c r="B166" s="9"/>
      <c r="C166" s="9"/>
      <c r="D166" s="9"/>
      <c r="E166" s="9"/>
      <c r="F166" s="9"/>
      <c r="G166" s="59"/>
      <c r="H166" s="9"/>
    </row>
    <row r="167">
      <c r="A167" s="9"/>
      <c r="B167" s="9"/>
      <c r="C167" s="9"/>
      <c r="D167" s="9"/>
      <c r="E167" s="9"/>
      <c r="F167" s="9"/>
      <c r="G167" s="59"/>
      <c r="H167" s="9"/>
    </row>
    <row r="168">
      <c r="A168" s="9"/>
      <c r="B168" s="9"/>
      <c r="C168" s="9"/>
      <c r="D168" s="9"/>
      <c r="E168" s="9"/>
      <c r="F168" s="9"/>
      <c r="G168" s="59"/>
      <c r="H168" s="9"/>
    </row>
    <row r="169">
      <c r="A169" s="9"/>
      <c r="B169" s="9"/>
      <c r="C169" s="9"/>
      <c r="D169" s="9"/>
      <c r="E169" s="9"/>
      <c r="F169" s="9"/>
      <c r="G169" s="59"/>
      <c r="H169" s="9"/>
    </row>
    <row r="170">
      <c r="A170" s="9"/>
      <c r="B170" s="9"/>
      <c r="C170" s="9"/>
      <c r="D170" s="9"/>
      <c r="E170" s="9"/>
      <c r="F170" s="9"/>
      <c r="G170" s="59"/>
      <c r="H170" s="9"/>
    </row>
    <row r="171">
      <c r="A171" s="9"/>
      <c r="B171" s="9"/>
      <c r="C171" s="9"/>
      <c r="D171" s="9"/>
      <c r="E171" s="9"/>
      <c r="F171" s="9"/>
      <c r="G171" s="59"/>
      <c r="H171" s="9"/>
    </row>
    <row r="172">
      <c r="A172" s="9"/>
      <c r="B172" s="9"/>
      <c r="C172" s="9"/>
      <c r="D172" s="9"/>
      <c r="E172" s="9"/>
      <c r="F172" s="9"/>
      <c r="G172" s="59"/>
      <c r="H172" s="9"/>
    </row>
    <row r="173">
      <c r="A173" s="9"/>
      <c r="B173" s="9"/>
      <c r="C173" s="9"/>
      <c r="D173" s="9"/>
      <c r="E173" s="9"/>
      <c r="F173" s="9"/>
      <c r="G173" s="59"/>
      <c r="H173" s="9"/>
    </row>
    <row r="174">
      <c r="A174" s="9"/>
      <c r="B174" s="9"/>
      <c r="C174" s="9"/>
      <c r="D174" s="9"/>
      <c r="E174" s="9"/>
      <c r="F174" s="9"/>
      <c r="G174" s="59"/>
      <c r="H174" s="9"/>
    </row>
    <row r="175">
      <c r="A175" s="9"/>
      <c r="B175" s="9"/>
      <c r="C175" s="9"/>
      <c r="D175" s="9"/>
      <c r="E175" s="9"/>
      <c r="F175" s="9"/>
      <c r="G175" s="59"/>
      <c r="H175" s="9"/>
    </row>
    <row r="176">
      <c r="A176" s="9"/>
      <c r="B176" s="9"/>
      <c r="C176" s="9"/>
      <c r="D176" s="9"/>
      <c r="E176" s="9"/>
      <c r="F176" s="9"/>
      <c r="G176" s="59"/>
      <c r="H176" s="9"/>
    </row>
    <row r="177">
      <c r="A177" s="9"/>
      <c r="B177" s="9"/>
      <c r="C177" s="9"/>
      <c r="D177" s="9"/>
      <c r="E177" s="9"/>
      <c r="F177" s="9"/>
      <c r="G177" s="59"/>
      <c r="H177" s="9"/>
    </row>
    <row r="178">
      <c r="A178" s="9"/>
      <c r="B178" s="9"/>
      <c r="C178" s="9"/>
      <c r="D178" s="9"/>
      <c r="E178" s="9"/>
      <c r="F178" s="9"/>
      <c r="G178" s="59"/>
      <c r="H178" s="9"/>
    </row>
    <row r="179">
      <c r="A179" s="9"/>
      <c r="B179" s="9"/>
      <c r="C179" s="9"/>
      <c r="D179" s="9"/>
      <c r="E179" s="9"/>
      <c r="F179" s="9"/>
      <c r="G179" s="59"/>
      <c r="H179" s="9"/>
    </row>
    <row r="180">
      <c r="A180" s="9"/>
      <c r="B180" s="9"/>
      <c r="C180" s="9"/>
      <c r="D180" s="9"/>
      <c r="E180" s="9"/>
      <c r="F180" s="9"/>
      <c r="G180" s="59"/>
      <c r="H180" s="9"/>
    </row>
    <row r="181">
      <c r="A181" s="9"/>
      <c r="B181" s="9"/>
      <c r="C181" s="9"/>
      <c r="D181" s="9"/>
      <c r="E181" s="9"/>
      <c r="F181" s="9"/>
      <c r="G181" s="59"/>
      <c r="H181" s="9"/>
    </row>
    <row r="182">
      <c r="A182" s="9"/>
      <c r="B182" s="9"/>
      <c r="C182" s="9"/>
      <c r="D182" s="9"/>
      <c r="E182" s="9"/>
      <c r="F182" s="9"/>
      <c r="G182" s="59"/>
      <c r="H182" s="9"/>
    </row>
    <row r="183">
      <c r="A183" s="9"/>
      <c r="B183" s="9"/>
      <c r="C183" s="9"/>
      <c r="D183" s="9"/>
      <c r="E183" s="9"/>
      <c r="F183" s="9"/>
      <c r="G183" s="59"/>
      <c r="H183" s="9"/>
    </row>
    <row r="184">
      <c r="A184" s="9"/>
      <c r="B184" s="9"/>
      <c r="C184" s="9"/>
      <c r="D184" s="9"/>
      <c r="E184" s="9"/>
      <c r="F184" s="9"/>
      <c r="G184" s="59"/>
      <c r="H184" s="9"/>
    </row>
    <row r="185">
      <c r="A185" s="9"/>
      <c r="B185" s="9"/>
      <c r="C185" s="9"/>
      <c r="D185" s="9"/>
      <c r="E185" s="9"/>
      <c r="F185" s="9"/>
      <c r="G185" s="59"/>
      <c r="H185" s="9"/>
    </row>
    <row r="186">
      <c r="A186" s="9"/>
      <c r="B186" s="9"/>
      <c r="C186" s="9"/>
      <c r="D186" s="9"/>
      <c r="E186" s="9"/>
      <c r="F186" s="9"/>
      <c r="G186" s="59"/>
      <c r="H186" s="9"/>
    </row>
    <row r="187">
      <c r="A187" s="9"/>
      <c r="B187" s="9"/>
      <c r="C187" s="9"/>
      <c r="D187" s="9"/>
      <c r="E187" s="9"/>
      <c r="F187" s="9"/>
      <c r="G187" s="59"/>
      <c r="H187" s="9"/>
    </row>
    <row r="188">
      <c r="A188" s="9"/>
      <c r="B188" s="9"/>
      <c r="C188" s="9"/>
      <c r="D188" s="9"/>
      <c r="E188" s="9"/>
      <c r="F188" s="9"/>
      <c r="G188" s="59"/>
      <c r="H188" s="9"/>
    </row>
    <row r="189">
      <c r="A189" s="9"/>
      <c r="B189" s="9"/>
      <c r="C189" s="9"/>
      <c r="D189" s="9"/>
      <c r="E189" s="9"/>
      <c r="F189" s="9"/>
      <c r="G189" s="59"/>
      <c r="H189" s="9"/>
    </row>
    <row r="190">
      <c r="A190" s="9"/>
      <c r="B190" s="9"/>
      <c r="C190" s="9"/>
      <c r="D190" s="9"/>
      <c r="E190" s="9"/>
      <c r="F190" s="9"/>
      <c r="G190" s="59"/>
      <c r="H190" s="9"/>
    </row>
    <row r="191">
      <c r="A191" s="9"/>
      <c r="B191" s="9"/>
      <c r="C191" s="9"/>
      <c r="D191" s="9"/>
      <c r="E191" s="9"/>
      <c r="F191" s="9"/>
      <c r="G191" s="59"/>
      <c r="H191" s="9"/>
    </row>
    <row r="192">
      <c r="A192" s="9"/>
      <c r="B192" s="9"/>
      <c r="C192" s="9"/>
      <c r="D192" s="9"/>
      <c r="E192" s="9"/>
      <c r="F192" s="9"/>
      <c r="G192" s="59"/>
      <c r="H192" s="9"/>
    </row>
    <row r="193">
      <c r="A193" s="9"/>
      <c r="B193" s="9"/>
      <c r="C193" s="9"/>
      <c r="D193" s="9"/>
      <c r="E193" s="9"/>
      <c r="F193" s="9"/>
      <c r="G193" s="59"/>
      <c r="H193" s="9"/>
    </row>
    <row r="194">
      <c r="A194" s="9"/>
      <c r="B194" s="9"/>
      <c r="C194" s="9"/>
      <c r="D194" s="9"/>
      <c r="E194" s="9"/>
      <c r="F194" s="9"/>
      <c r="G194" s="59"/>
      <c r="H194" s="9"/>
    </row>
    <row r="195">
      <c r="A195" s="9"/>
      <c r="B195" s="9"/>
      <c r="C195" s="9"/>
      <c r="D195" s="9"/>
      <c r="E195" s="9"/>
      <c r="F195" s="9"/>
      <c r="G195" s="59"/>
      <c r="H195" s="9"/>
    </row>
    <row r="196">
      <c r="A196" s="9"/>
      <c r="B196" s="9"/>
      <c r="C196" s="9"/>
      <c r="D196" s="9"/>
      <c r="E196" s="9"/>
      <c r="F196" s="9"/>
      <c r="G196" s="59"/>
      <c r="H196" s="9"/>
    </row>
    <row r="197">
      <c r="A197" s="9"/>
      <c r="B197" s="9"/>
      <c r="C197" s="9"/>
      <c r="D197" s="9"/>
      <c r="E197" s="9"/>
      <c r="F197" s="9"/>
      <c r="G197" s="59"/>
      <c r="H197" s="9"/>
    </row>
    <row r="198">
      <c r="A198" s="9"/>
      <c r="B198" s="9"/>
      <c r="C198" s="9"/>
      <c r="D198" s="9"/>
      <c r="E198" s="9"/>
      <c r="F198" s="9"/>
      <c r="G198" s="59"/>
      <c r="H198" s="9"/>
    </row>
    <row r="199">
      <c r="A199" s="9"/>
      <c r="B199" s="9"/>
      <c r="C199" s="9"/>
      <c r="D199" s="9"/>
      <c r="E199" s="9"/>
      <c r="F199" s="9"/>
      <c r="G199" s="59"/>
      <c r="H199" s="9"/>
    </row>
    <row r="200">
      <c r="A200" s="9"/>
      <c r="B200" s="9"/>
      <c r="C200" s="9"/>
      <c r="D200" s="9"/>
      <c r="E200" s="9"/>
      <c r="F200" s="9"/>
      <c r="G200" s="59"/>
      <c r="H200" s="9"/>
    </row>
    <row r="201">
      <c r="A201" s="9"/>
      <c r="B201" s="9"/>
      <c r="C201" s="9"/>
      <c r="D201" s="9"/>
      <c r="E201" s="9"/>
      <c r="F201" s="9"/>
      <c r="G201" s="59"/>
      <c r="H201" s="9"/>
    </row>
    <row r="202">
      <c r="A202" s="9"/>
      <c r="B202" s="9"/>
      <c r="C202" s="9"/>
      <c r="D202" s="9"/>
      <c r="E202" s="9"/>
      <c r="F202" s="9"/>
      <c r="G202" s="59"/>
      <c r="H202" s="9"/>
    </row>
    <row r="203">
      <c r="A203" s="9"/>
      <c r="B203" s="9"/>
      <c r="C203" s="9"/>
      <c r="D203" s="9"/>
      <c r="E203" s="9"/>
      <c r="F203" s="9"/>
      <c r="G203" s="59"/>
      <c r="H203" s="9"/>
    </row>
    <row r="204">
      <c r="A204" s="9"/>
      <c r="B204" s="9"/>
      <c r="C204" s="9"/>
      <c r="D204" s="9"/>
      <c r="E204" s="9"/>
      <c r="F204" s="9"/>
      <c r="G204" s="59"/>
      <c r="H204" s="9"/>
    </row>
    <row r="205">
      <c r="A205" s="9"/>
      <c r="B205" s="9"/>
      <c r="C205" s="9"/>
      <c r="D205" s="9"/>
      <c r="E205" s="9"/>
      <c r="F205" s="9"/>
      <c r="G205" s="59"/>
      <c r="H205" s="9"/>
    </row>
    <row r="206">
      <c r="A206" s="9"/>
      <c r="B206" s="9"/>
      <c r="C206" s="9"/>
      <c r="D206" s="9"/>
      <c r="E206" s="9"/>
      <c r="F206" s="9"/>
      <c r="G206" s="59"/>
      <c r="H206" s="9"/>
    </row>
    <row r="207">
      <c r="A207" s="9"/>
      <c r="B207" s="9"/>
      <c r="C207" s="9"/>
      <c r="D207" s="9"/>
      <c r="E207" s="9"/>
      <c r="F207" s="9"/>
      <c r="G207" s="59"/>
      <c r="H207" s="9"/>
    </row>
    <row r="208">
      <c r="A208" s="9"/>
      <c r="B208" s="9"/>
      <c r="C208" s="9"/>
      <c r="D208" s="9"/>
      <c r="E208" s="9"/>
      <c r="F208" s="9"/>
      <c r="G208" s="59"/>
      <c r="H208" s="9"/>
    </row>
    <row r="209">
      <c r="A209" s="9"/>
      <c r="B209" s="9"/>
      <c r="C209" s="9"/>
      <c r="D209" s="9"/>
      <c r="E209" s="9"/>
      <c r="F209" s="9"/>
      <c r="G209" s="59"/>
      <c r="H209" s="9"/>
    </row>
    <row r="210">
      <c r="A210" s="9"/>
      <c r="B210" s="9"/>
      <c r="C210" s="9"/>
      <c r="D210" s="9"/>
      <c r="E210" s="9"/>
      <c r="F210" s="9"/>
      <c r="G210" s="59"/>
      <c r="H210" s="9"/>
    </row>
    <row r="211">
      <c r="A211" s="9"/>
      <c r="B211" s="9"/>
      <c r="C211" s="9"/>
      <c r="D211" s="9"/>
      <c r="E211" s="9"/>
      <c r="F211" s="9"/>
      <c r="G211" s="59"/>
      <c r="H211" s="9"/>
    </row>
    <row r="212">
      <c r="A212" s="9"/>
      <c r="B212" s="9"/>
      <c r="C212" s="9"/>
      <c r="D212" s="9"/>
      <c r="E212" s="9"/>
      <c r="F212" s="9"/>
      <c r="G212" s="59"/>
      <c r="H212" s="9"/>
    </row>
    <row r="213">
      <c r="A213" s="9"/>
      <c r="B213" s="9"/>
      <c r="C213" s="9"/>
      <c r="D213" s="9"/>
      <c r="E213" s="9"/>
      <c r="F213" s="9"/>
      <c r="G213" s="59"/>
      <c r="H213" s="9"/>
    </row>
    <row r="214">
      <c r="A214" s="9"/>
      <c r="B214" s="9"/>
      <c r="C214" s="9"/>
      <c r="D214" s="9"/>
      <c r="E214" s="9"/>
      <c r="F214" s="9"/>
      <c r="G214" s="59"/>
      <c r="H214" s="9"/>
    </row>
    <row r="215">
      <c r="A215" s="9"/>
      <c r="B215" s="9"/>
      <c r="C215" s="9"/>
      <c r="D215" s="9"/>
      <c r="E215" s="9"/>
      <c r="F215" s="9"/>
      <c r="G215" s="59"/>
      <c r="H215" s="9"/>
    </row>
    <row r="216">
      <c r="A216" s="9"/>
      <c r="B216" s="9"/>
      <c r="C216" s="9"/>
      <c r="D216" s="9"/>
      <c r="E216" s="9"/>
      <c r="F216" s="9"/>
      <c r="G216" s="59"/>
      <c r="H216" s="9"/>
    </row>
    <row r="217">
      <c r="A217" s="9"/>
      <c r="B217" s="9"/>
      <c r="C217" s="9"/>
      <c r="D217" s="9"/>
      <c r="E217" s="9"/>
      <c r="F217" s="9"/>
      <c r="G217" s="59"/>
      <c r="H217" s="9"/>
    </row>
    <row r="218">
      <c r="A218" s="9"/>
      <c r="B218" s="9"/>
      <c r="C218" s="9"/>
      <c r="D218" s="9"/>
      <c r="E218" s="9"/>
      <c r="F218" s="9"/>
      <c r="G218" s="59"/>
      <c r="H218" s="9"/>
    </row>
    <row r="219">
      <c r="A219" s="9"/>
      <c r="B219" s="9"/>
      <c r="C219" s="9"/>
      <c r="D219" s="9"/>
      <c r="E219" s="9"/>
      <c r="F219" s="9"/>
      <c r="G219" s="59"/>
      <c r="H219" s="9"/>
    </row>
    <row r="220">
      <c r="A220" s="9"/>
      <c r="B220" s="9"/>
      <c r="C220" s="9"/>
      <c r="D220" s="9"/>
      <c r="E220" s="9"/>
      <c r="F220" s="9"/>
      <c r="G220" s="59"/>
      <c r="H220" s="9"/>
    </row>
    <row r="221">
      <c r="A221" s="9"/>
      <c r="B221" s="9"/>
      <c r="C221" s="9"/>
      <c r="D221" s="9"/>
      <c r="E221" s="9"/>
      <c r="F221" s="9"/>
      <c r="G221" s="59"/>
      <c r="H221" s="9"/>
    </row>
    <row r="222">
      <c r="A222" s="9"/>
      <c r="B222" s="9"/>
      <c r="C222" s="9"/>
      <c r="D222" s="9"/>
      <c r="E222" s="9"/>
      <c r="F222" s="9"/>
      <c r="G222" s="59"/>
      <c r="H222" s="9"/>
    </row>
    <row r="223">
      <c r="A223" s="9"/>
      <c r="B223" s="9"/>
      <c r="C223" s="9"/>
      <c r="D223" s="9"/>
      <c r="E223" s="9"/>
      <c r="F223" s="9"/>
      <c r="G223" s="59"/>
      <c r="H223" s="9"/>
    </row>
    <row r="224">
      <c r="A224" s="9"/>
      <c r="B224" s="9"/>
      <c r="C224" s="9"/>
      <c r="D224" s="9"/>
      <c r="E224" s="9"/>
      <c r="F224" s="9"/>
      <c r="G224" s="59"/>
      <c r="H224" s="9"/>
    </row>
    <row r="225">
      <c r="A225" s="9"/>
      <c r="B225" s="9"/>
      <c r="C225" s="9"/>
      <c r="D225" s="9"/>
      <c r="E225" s="9"/>
      <c r="F225" s="9"/>
      <c r="G225" s="59"/>
      <c r="H225" s="9"/>
    </row>
    <row r="226">
      <c r="A226" s="9"/>
      <c r="B226" s="9"/>
      <c r="C226" s="9"/>
      <c r="D226" s="9"/>
      <c r="E226" s="9"/>
      <c r="F226" s="9"/>
      <c r="G226" s="59"/>
      <c r="H226" s="9"/>
    </row>
    <row r="227">
      <c r="A227" s="9"/>
      <c r="B227" s="9"/>
      <c r="C227" s="9"/>
      <c r="D227" s="9"/>
      <c r="E227" s="9"/>
      <c r="F227" s="9"/>
      <c r="G227" s="59"/>
      <c r="H227" s="9"/>
    </row>
    <row r="228">
      <c r="A228" s="9"/>
      <c r="B228" s="9"/>
      <c r="C228" s="9"/>
      <c r="D228" s="9"/>
      <c r="E228" s="9"/>
      <c r="F228" s="9"/>
      <c r="G228" s="59"/>
      <c r="H228" s="9"/>
    </row>
    <row r="229">
      <c r="A229" s="9"/>
      <c r="B229" s="9"/>
      <c r="C229" s="9"/>
      <c r="D229" s="9"/>
      <c r="E229" s="9"/>
      <c r="F229" s="9"/>
      <c r="G229" s="59"/>
      <c r="H229" s="9"/>
    </row>
    <row r="230">
      <c r="A230" s="9"/>
      <c r="B230" s="9"/>
      <c r="C230" s="9"/>
      <c r="D230" s="9"/>
      <c r="E230" s="9"/>
      <c r="F230" s="9"/>
      <c r="G230" s="59"/>
      <c r="H230" s="9"/>
    </row>
    <row r="231">
      <c r="A231" s="9"/>
      <c r="B231" s="9"/>
      <c r="C231" s="9"/>
      <c r="D231" s="9"/>
      <c r="E231" s="9"/>
      <c r="F231" s="9"/>
      <c r="G231" s="59"/>
      <c r="H231" s="9"/>
    </row>
    <row r="232">
      <c r="A232" s="9"/>
      <c r="B232" s="9"/>
      <c r="C232" s="9"/>
      <c r="D232" s="9"/>
      <c r="E232" s="9"/>
      <c r="F232" s="9"/>
      <c r="G232" s="59"/>
      <c r="H232" s="9"/>
    </row>
    <row r="233">
      <c r="A233" s="9"/>
      <c r="B233" s="9"/>
      <c r="C233" s="9"/>
      <c r="D233" s="9"/>
      <c r="E233" s="9"/>
      <c r="F233" s="9"/>
      <c r="G233" s="59"/>
      <c r="H233" s="9"/>
    </row>
    <row r="234">
      <c r="A234" s="9"/>
      <c r="B234" s="9"/>
      <c r="C234" s="9"/>
      <c r="D234" s="9"/>
      <c r="E234" s="9"/>
      <c r="F234" s="9"/>
      <c r="G234" s="59"/>
      <c r="H234" s="9"/>
    </row>
    <row r="235">
      <c r="A235" s="9"/>
      <c r="B235" s="9"/>
      <c r="C235" s="9"/>
      <c r="D235" s="9"/>
      <c r="E235" s="9"/>
      <c r="F235" s="9"/>
      <c r="G235" s="59"/>
      <c r="H235" s="9"/>
    </row>
    <row r="236">
      <c r="A236" s="9"/>
      <c r="B236" s="9"/>
      <c r="C236" s="9"/>
      <c r="D236" s="9"/>
      <c r="E236" s="9"/>
      <c r="F236" s="9"/>
      <c r="G236" s="59"/>
      <c r="H236" s="9"/>
    </row>
    <row r="237">
      <c r="A237" s="9"/>
      <c r="B237" s="9"/>
      <c r="C237" s="9"/>
      <c r="D237" s="9"/>
      <c r="E237" s="9"/>
      <c r="F237" s="9"/>
      <c r="G237" s="59"/>
      <c r="H237" s="9"/>
    </row>
    <row r="238">
      <c r="A238" s="9"/>
      <c r="B238" s="9"/>
      <c r="C238" s="9"/>
      <c r="D238" s="9"/>
      <c r="E238" s="9"/>
      <c r="F238" s="9"/>
      <c r="G238" s="59"/>
      <c r="H238" s="9"/>
    </row>
    <row r="239">
      <c r="A239" s="9"/>
      <c r="B239" s="9"/>
      <c r="C239" s="9"/>
      <c r="D239" s="9"/>
      <c r="E239" s="9"/>
      <c r="F239" s="9"/>
      <c r="G239" s="59"/>
      <c r="H239" s="9"/>
    </row>
    <row r="240">
      <c r="A240" s="9"/>
      <c r="B240" s="9"/>
      <c r="C240" s="9"/>
      <c r="D240" s="9"/>
      <c r="E240" s="9"/>
      <c r="F240" s="9"/>
      <c r="G240" s="59"/>
      <c r="H240" s="9"/>
    </row>
    <row r="241">
      <c r="A241" s="9"/>
      <c r="B241" s="9"/>
      <c r="C241" s="9"/>
      <c r="D241" s="9"/>
      <c r="E241" s="9"/>
      <c r="F241" s="9"/>
      <c r="G241" s="59"/>
      <c r="H241" s="9"/>
    </row>
    <row r="242">
      <c r="A242" s="9"/>
      <c r="B242" s="9"/>
      <c r="C242" s="9"/>
      <c r="D242" s="9"/>
      <c r="E242" s="9"/>
      <c r="F242" s="9"/>
      <c r="G242" s="59"/>
      <c r="H242" s="9"/>
    </row>
    <row r="243">
      <c r="A243" s="9"/>
      <c r="B243" s="9"/>
      <c r="C243" s="9"/>
      <c r="D243" s="9"/>
      <c r="E243" s="9"/>
      <c r="F243" s="9"/>
      <c r="G243" s="59"/>
      <c r="H243" s="9"/>
    </row>
    <row r="244">
      <c r="A244" s="9"/>
      <c r="B244" s="9"/>
      <c r="C244" s="9"/>
      <c r="D244" s="9"/>
      <c r="E244" s="9"/>
      <c r="F244" s="9"/>
      <c r="G244" s="59"/>
      <c r="H244" s="9"/>
    </row>
    <row r="245">
      <c r="A245" s="9"/>
      <c r="B245" s="9"/>
      <c r="C245" s="9"/>
      <c r="D245" s="9"/>
      <c r="E245" s="9"/>
      <c r="F245" s="9"/>
      <c r="G245" s="59"/>
      <c r="H245" s="9"/>
    </row>
    <row r="246">
      <c r="A246" s="9"/>
      <c r="B246" s="9"/>
      <c r="C246" s="9"/>
      <c r="D246" s="9"/>
      <c r="E246" s="9"/>
      <c r="F246" s="9"/>
      <c r="G246" s="59"/>
      <c r="H246" s="9"/>
    </row>
    <row r="247">
      <c r="A247" s="9"/>
      <c r="B247" s="9"/>
      <c r="C247" s="9"/>
      <c r="D247" s="9"/>
      <c r="E247" s="9"/>
      <c r="F247" s="9"/>
      <c r="G247" s="59"/>
      <c r="H247" s="9"/>
    </row>
    <row r="248">
      <c r="A248" s="9"/>
      <c r="B248" s="9"/>
      <c r="C248" s="9"/>
      <c r="D248" s="9"/>
      <c r="E248" s="9"/>
      <c r="F248" s="9"/>
      <c r="G248" s="59"/>
      <c r="H248" s="9"/>
    </row>
    <row r="249">
      <c r="A249" s="9"/>
      <c r="B249" s="9"/>
      <c r="C249" s="9"/>
      <c r="D249" s="9"/>
      <c r="E249" s="9"/>
      <c r="F249" s="9"/>
      <c r="G249" s="59"/>
      <c r="H249" s="9"/>
    </row>
    <row r="250">
      <c r="A250" s="9"/>
      <c r="B250" s="9"/>
      <c r="C250" s="9"/>
      <c r="D250" s="9"/>
      <c r="E250" s="9"/>
      <c r="F250" s="9"/>
      <c r="G250" s="59"/>
      <c r="H250" s="9"/>
    </row>
    <row r="251">
      <c r="A251" s="9"/>
      <c r="B251" s="9"/>
      <c r="C251" s="9"/>
      <c r="D251" s="9"/>
      <c r="E251" s="9"/>
      <c r="F251" s="9"/>
      <c r="G251" s="59"/>
      <c r="H251" s="9"/>
    </row>
    <row r="252">
      <c r="A252" s="9"/>
      <c r="B252" s="9"/>
      <c r="C252" s="9"/>
      <c r="D252" s="9"/>
      <c r="E252" s="9"/>
      <c r="F252" s="9"/>
      <c r="G252" s="59"/>
      <c r="H252" s="9"/>
    </row>
    <row r="253">
      <c r="A253" s="9"/>
      <c r="B253" s="9"/>
      <c r="C253" s="9"/>
      <c r="D253" s="9"/>
      <c r="E253" s="9"/>
      <c r="F253" s="9"/>
      <c r="G253" s="59"/>
      <c r="H253" s="9"/>
    </row>
    <row r="254">
      <c r="A254" s="9"/>
      <c r="B254" s="9"/>
      <c r="C254" s="9"/>
      <c r="D254" s="9"/>
      <c r="E254" s="9"/>
      <c r="F254" s="9"/>
      <c r="G254" s="59"/>
      <c r="H254" s="9"/>
    </row>
    <row r="255">
      <c r="A255" s="9"/>
      <c r="B255" s="9"/>
      <c r="C255" s="9"/>
      <c r="D255" s="9"/>
      <c r="E255" s="9"/>
      <c r="F255" s="9"/>
      <c r="G255" s="59"/>
      <c r="H255" s="9"/>
    </row>
    <row r="256">
      <c r="A256" s="9"/>
      <c r="B256" s="9"/>
      <c r="C256" s="9"/>
      <c r="D256" s="9"/>
      <c r="E256" s="9"/>
      <c r="F256" s="9"/>
      <c r="G256" s="59"/>
      <c r="H256" s="9"/>
    </row>
    <row r="257">
      <c r="A257" s="9"/>
      <c r="B257" s="9"/>
      <c r="C257" s="9"/>
      <c r="D257" s="9"/>
      <c r="E257" s="9"/>
      <c r="F257" s="9"/>
      <c r="G257" s="59"/>
      <c r="H257" s="9"/>
    </row>
    <row r="258">
      <c r="A258" s="9"/>
      <c r="B258" s="9"/>
      <c r="C258" s="9"/>
      <c r="D258" s="9"/>
      <c r="E258" s="9"/>
      <c r="F258" s="9"/>
      <c r="G258" s="59"/>
      <c r="H258" s="9"/>
    </row>
    <row r="259">
      <c r="A259" s="9"/>
      <c r="B259" s="9"/>
      <c r="C259" s="9"/>
      <c r="D259" s="9"/>
      <c r="E259" s="9"/>
      <c r="F259" s="9"/>
      <c r="G259" s="59"/>
      <c r="H259" s="9"/>
    </row>
    <row r="260">
      <c r="A260" s="9"/>
      <c r="B260" s="9"/>
      <c r="C260" s="9"/>
      <c r="D260" s="9"/>
      <c r="E260" s="9"/>
      <c r="F260" s="9"/>
      <c r="G260" s="59"/>
      <c r="H260" s="9"/>
    </row>
    <row r="261">
      <c r="A261" s="9"/>
      <c r="B261" s="9"/>
      <c r="C261" s="9"/>
      <c r="D261" s="9"/>
      <c r="E261" s="9"/>
      <c r="F261" s="9"/>
      <c r="G261" s="59"/>
      <c r="H261" s="9"/>
    </row>
    <row r="262">
      <c r="A262" s="9"/>
      <c r="B262" s="9"/>
      <c r="C262" s="9"/>
      <c r="D262" s="9"/>
      <c r="E262" s="9"/>
      <c r="F262" s="9"/>
      <c r="G262" s="59"/>
      <c r="H262" s="9"/>
    </row>
    <row r="263">
      <c r="A263" s="9"/>
      <c r="B263" s="9"/>
      <c r="C263" s="9"/>
      <c r="D263" s="9"/>
      <c r="E263" s="9"/>
      <c r="F263" s="9"/>
      <c r="G263" s="59"/>
      <c r="H263" s="9"/>
    </row>
    <row r="264">
      <c r="A264" s="9"/>
      <c r="B264" s="9"/>
      <c r="C264" s="9"/>
      <c r="D264" s="9"/>
      <c r="E264" s="9"/>
      <c r="F264" s="9"/>
      <c r="G264" s="59"/>
      <c r="H264" s="9"/>
    </row>
    <row r="265">
      <c r="A265" s="9"/>
      <c r="B265" s="9"/>
      <c r="C265" s="9"/>
      <c r="D265" s="9"/>
      <c r="E265" s="9"/>
      <c r="F265" s="9"/>
      <c r="G265" s="59"/>
      <c r="H265" s="9"/>
    </row>
    <row r="266">
      <c r="A266" s="9"/>
      <c r="B266" s="9"/>
      <c r="C266" s="9"/>
      <c r="D266" s="9"/>
      <c r="E266" s="9"/>
      <c r="F266" s="9"/>
      <c r="G266" s="59"/>
      <c r="H266" s="9"/>
    </row>
    <row r="267">
      <c r="A267" s="9"/>
      <c r="B267" s="9"/>
      <c r="C267" s="9"/>
      <c r="D267" s="9"/>
      <c r="E267" s="9"/>
      <c r="F267" s="9"/>
      <c r="G267" s="59"/>
      <c r="H267" s="9"/>
    </row>
    <row r="268">
      <c r="A268" s="9"/>
      <c r="B268" s="9"/>
      <c r="C268" s="9"/>
      <c r="D268" s="9"/>
      <c r="E268" s="9"/>
      <c r="F268" s="9"/>
      <c r="G268" s="59"/>
      <c r="H268" s="9"/>
    </row>
    <row r="269">
      <c r="A269" s="9"/>
      <c r="B269" s="9"/>
      <c r="C269" s="9"/>
      <c r="D269" s="9"/>
      <c r="E269" s="9"/>
      <c r="F269" s="9"/>
      <c r="G269" s="59"/>
      <c r="H269" s="9"/>
    </row>
    <row r="270">
      <c r="A270" s="9"/>
      <c r="B270" s="9"/>
      <c r="C270" s="9"/>
      <c r="D270" s="9"/>
      <c r="E270" s="9"/>
      <c r="F270" s="9"/>
      <c r="G270" s="59"/>
      <c r="H270" s="9"/>
    </row>
    <row r="271">
      <c r="A271" s="9"/>
      <c r="B271" s="9"/>
      <c r="C271" s="9"/>
      <c r="D271" s="9"/>
      <c r="E271" s="9"/>
      <c r="F271" s="9"/>
      <c r="G271" s="59"/>
      <c r="H271" s="9"/>
    </row>
    <row r="272">
      <c r="A272" s="9"/>
      <c r="B272" s="9"/>
      <c r="C272" s="9"/>
      <c r="D272" s="9"/>
      <c r="E272" s="9"/>
      <c r="F272" s="9"/>
      <c r="G272" s="59"/>
      <c r="H272" s="9"/>
    </row>
    <row r="273">
      <c r="A273" s="9"/>
      <c r="B273" s="9"/>
      <c r="C273" s="9"/>
      <c r="D273" s="9"/>
      <c r="E273" s="9"/>
      <c r="F273" s="9"/>
      <c r="G273" s="59"/>
      <c r="H273" s="9"/>
    </row>
    <row r="274">
      <c r="A274" s="9"/>
      <c r="B274" s="9"/>
      <c r="C274" s="9"/>
      <c r="D274" s="9"/>
      <c r="E274" s="9"/>
      <c r="F274" s="9"/>
      <c r="G274" s="59"/>
      <c r="H274" s="9"/>
    </row>
    <row r="275">
      <c r="A275" s="9"/>
      <c r="B275" s="9"/>
      <c r="C275" s="9"/>
      <c r="D275" s="9"/>
      <c r="E275" s="9"/>
      <c r="F275" s="9"/>
      <c r="G275" s="59"/>
      <c r="H275" s="9"/>
    </row>
    <row r="276">
      <c r="A276" s="9"/>
      <c r="B276" s="9"/>
      <c r="C276" s="9"/>
      <c r="D276" s="9"/>
      <c r="E276" s="9"/>
      <c r="F276" s="9"/>
      <c r="G276" s="59"/>
      <c r="H276" s="9"/>
    </row>
    <row r="277">
      <c r="A277" s="9"/>
      <c r="B277" s="9"/>
      <c r="C277" s="9"/>
      <c r="D277" s="9"/>
      <c r="E277" s="9"/>
      <c r="F277" s="9"/>
      <c r="G277" s="59"/>
      <c r="H277" s="9"/>
    </row>
    <row r="278">
      <c r="A278" s="9"/>
      <c r="B278" s="9"/>
      <c r="C278" s="9"/>
      <c r="D278" s="9"/>
      <c r="E278" s="9"/>
      <c r="F278" s="9"/>
      <c r="G278" s="59"/>
      <c r="H278" s="9"/>
    </row>
    <row r="279">
      <c r="A279" s="9"/>
      <c r="B279" s="9"/>
      <c r="C279" s="9"/>
      <c r="D279" s="9"/>
      <c r="E279" s="9"/>
      <c r="F279" s="9"/>
      <c r="G279" s="59"/>
      <c r="H279" s="9"/>
    </row>
    <row r="280">
      <c r="A280" s="9"/>
      <c r="B280" s="9"/>
      <c r="C280" s="9"/>
      <c r="D280" s="9"/>
      <c r="E280" s="9"/>
      <c r="F280" s="9"/>
      <c r="G280" s="59"/>
      <c r="H280" s="9"/>
    </row>
    <row r="281">
      <c r="A281" s="9"/>
      <c r="B281" s="9"/>
      <c r="C281" s="9"/>
      <c r="D281" s="9"/>
      <c r="E281" s="9"/>
      <c r="F281" s="9"/>
      <c r="G281" s="59"/>
      <c r="H281" s="9"/>
    </row>
    <row r="282">
      <c r="A282" s="9"/>
      <c r="B282" s="9"/>
      <c r="C282" s="9"/>
      <c r="D282" s="9"/>
      <c r="E282" s="9"/>
      <c r="F282" s="9"/>
      <c r="G282" s="59"/>
      <c r="H282" s="9"/>
    </row>
    <row r="283">
      <c r="A283" s="9"/>
      <c r="B283" s="9"/>
      <c r="C283" s="9"/>
      <c r="D283" s="9"/>
      <c r="E283" s="9"/>
      <c r="F283" s="9"/>
      <c r="G283" s="59"/>
      <c r="H283" s="9"/>
    </row>
    <row r="284">
      <c r="A284" s="9"/>
      <c r="B284" s="9"/>
      <c r="C284" s="9"/>
      <c r="D284" s="9"/>
      <c r="E284" s="9"/>
      <c r="F284" s="9"/>
      <c r="G284" s="59"/>
      <c r="H284" s="9"/>
    </row>
    <row r="285">
      <c r="A285" s="9"/>
      <c r="B285" s="9"/>
      <c r="C285" s="9"/>
      <c r="D285" s="9"/>
      <c r="E285" s="9"/>
      <c r="F285" s="9"/>
      <c r="G285" s="59"/>
      <c r="H285" s="9"/>
    </row>
    <row r="286">
      <c r="A286" s="9"/>
      <c r="B286" s="9"/>
      <c r="C286" s="9"/>
      <c r="D286" s="9"/>
      <c r="E286" s="9"/>
      <c r="F286" s="9"/>
      <c r="G286" s="59"/>
      <c r="H286" s="9"/>
    </row>
    <row r="287">
      <c r="A287" s="9"/>
      <c r="B287" s="9"/>
      <c r="C287" s="9"/>
      <c r="D287" s="9"/>
      <c r="E287" s="9"/>
      <c r="F287" s="9"/>
      <c r="G287" s="59"/>
      <c r="H287" s="9"/>
    </row>
    <row r="288">
      <c r="A288" s="9"/>
      <c r="B288" s="9"/>
      <c r="C288" s="9"/>
      <c r="D288" s="9"/>
      <c r="E288" s="9"/>
      <c r="F288" s="9"/>
      <c r="G288" s="59"/>
      <c r="H288" s="9"/>
    </row>
    <row r="289">
      <c r="A289" s="9"/>
      <c r="B289" s="9"/>
      <c r="C289" s="9"/>
      <c r="D289" s="9"/>
      <c r="E289" s="9"/>
      <c r="F289" s="9"/>
      <c r="G289" s="59"/>
      <c r="H289" s="9"/>
    </row>
    <row r="290">
      <c r="A290" s="9"/>
      <c r="B290" s="9"/>
      <c r="C290" s="9"/>
      <c r="D290" s="9"/>
      <c r="E290" s="9"/>
      <c r="F290" s="9"/>
      <c r="G290" s="59"/>
      <c r="H290" s="9"/>
    </row>
    <row r="291">
      <c r="A291" s="9"/>
      <c r="B291" s="9"/>
      <c r="C291" s="9"/>
      <c r="D291" s="9"/>
      <c r="E291" s="9"/>
      <c r="F291" s="9"/>
      <c r="G291" s="59"/>
      <c r="H291" s="9"/>
    </row>
    <row r="292">
      <c r="A292" s="9"/>
      <c r="B292" s="9"/>
      <c r="C292" s="9"/>
      <c r="D292" s="9"/>
      <c r="E292" s="9"/>
      <c r="F292" s="9"/>
      <c r="G292" s="59"/>
      <c r="H292" s="9"/>
    </row>
    <row r="293">
      <c r="A293" s="9"/>
      <c r="B293" s="9"/>
      <c r="C293" s="9"/>
      <c r="D293" s="9"/>
      <c r="E293" s="9"/>
      <c r="F293" s="9"/>
      <c r="G293" s="59"/>
      <c r="H293" s="9"/>
    </row>
    <row r="294">
      <c r="A294" s="9"/>
      <c r="B294" s="9"/>
      <c r="C294" s="9"/>
      <c r="D294" s="9"/>
      <c r="E294" s="9"/>
      <c r="F294" s="9"/>
      <c r="G294" s="59"/>
      <c r="H294" s="9"/>
    </row>
    <row r="295">
      <c r="A295" s="9"/>
      <c r="B295" s="9"/>
      <c r="C295" s="9"/>
      <c r="D295" s="9"/>
      <c r="E295" s="9"/>
      <c r="F295" s="9"/>
      <c r="G295" s="59"/>
      <c r="H295" s="9"/>
    </row>
    <row r="296">
      <c r="A296" s="9"/>
      <c r="B296" s="9"/>
      <c r="C296" s="9"/>
      <c r="D296" s="9"/>
      <c r="E296" s="9"/>
      <c r="F296" s="9"/>
      <c r="G296" s="59"/>
      <c r="H296" s="9"/>
    </row>
    <row r="297">
      <c r="A297" s="9"/>
      <c r="B297" s="9"/>
      <c r="C297" s="9"/>
      <c r="D297" s="9"/>
      <c r="E297" s="9"/>
      <c r="F297" s="9"/>
      <c r="G297" s="59"/>
      <c r="H297" s="9"/>
    </row>
    <row r="298">
      <c r="A298" s="9"/>
      <c r="B298" s="9"/>
      <c r="C298" s="9"/>
      <c r="D298" s="9"/>
      <c r="E298" s="9"/>
      <c r="F298" s="9"/>
      <c r="G298" s="59"/>
      <c r="H298" s="9"/>
    </row>
    <row r="299">
      <c r="A299" s="9"/>
      <c r="B299" s="9"/>
      <c r="C299" s="9"/>
      <c r="D299" s="9"/>
      <c r="E299" s="9"/>
      <c r="F299" s="9"/>
      <c r="G299" s="59"/>
      <c r="H299" s="9"/>
    </row>
    <row r="300">
      <c r="A300" s="9"/>
      <c r="B300" s="9"/>
      <c r="C300" s="9"/>
      <c r="D300" s="9"/>
      <c r="E300" s="9"/>
      <c r="F300" s="9"/>
      <c r="G300" s="59"/>
      <c r="H300" s="9"/>
    </row>
    <row r="301">
      <c r="A301" s="9"/>
      <c r="B301" s="9"/>
      <c r="C301" s="9"/>
      <c r="D301" s="9"/>
      <c r="E301" s="9"/>
      <c r="F301" s="9"/>
      <c r="G301" s="59"/>
      <c r="H301" s="9"/>
    </row>
    <row r="302">
      <c r="A302" s="9"/>
      <c r="B302" s="9"/>
      <c r="C302" s="9"/>
      <c r="D302" s="9"/>
      <c r="E302" s="9"/>
      <c r="F302" s="9"/>
      <c r="G302" s="59"/>
      <c r="H302" s="9"/>
    </row>
    <row r="303">
      <c r="A303" s="9"/>
      <c r="B303" s="9"/>
      <c r="C303" s="9"/>
      <c r="D303" s="9"/>
      <c r="E303" s="9"/>
      <c r="F303" s="9"/>
      <c r="G303" s="59"/>
      <c r="H303" s="9"/>
    </row>
    <row r="304">
      <c r="A304" s="9"/>
      <c r="B304" s="9"/>
      <c r="C304" s="9"/>
      <c r="D304" s="9"/>
      <c r="E304" s="9"/>
      <c r="F304" s="9"/>
      <c r="G304" s="59"/>
      <c r="H304" s="9"/>
    </row>
    <row r="305">
      <c r="A305" s="9"/>
      <c r="B305" s="9"/>
      <c r="C305" s="9"/>
      <c r="D305" s="9"/>
      <c r="E305" s="9"/>
      <c r="F305" s="9"/>
      <c r="G305" s="59"/>
      <c r="H305" s="9"/>
    </row>
    <row r="306">
      <c r="A306" s="9"/>
      <c r="B306" s="9"/>
      <c r="C306" s="9"/>
      <c r="D306" s="9"/>
      <c r="E306" s="9"/>
      <c r="F306" s="9"/>
      <c r="G306" s="59"/>
      <c r="H306" s="9"/>
    </row>
    <row r="307">
      <c r="A307" s="9"/>
      <c r="B307" s="9"/>
      <c r="C307" s="9"/>
      <c r="D307" s="9"/>
      <c r="E307" s="9"/>
      <c r="F307" s="9"/>
      <c r="G307" s="59"/>
      <c r="H307" s="9"/>
    </row>
    <row r="308">
      <c r="A308" s="9"/>
      <c r="B308" s="9"/>
      <c r="C308" s="9"/>
      <c r="D308" s="9"/>
      <c r="E308" s="9"/>
      <c r="F308" s="9"/>
      <c r="G308" s="59"/>
      <c r="H308" s="9"/>
    </row>
    <row r="309">
      <c r="A309" s="9"/>
      <c r="B309" s="9"/>
      <c r="C309" s="9"/>
      <c r="D309" s="9"/>
      <c r="E309" s="9"/>
      <c r="F309" s="9"/>
      <c r="G309" s="59"/>
      <c r="H309" s="9"/>
    </row>
    <row r="310">
      <c r="A310" s="9"/>
      <c r="B310" s="9"/>
      <c r="C310" s="9"/>
      <c r="D310" s="9"/>
      <c r="E310" s="9"/>
      <c r="F310" s="9"/>
      <c r="G310" s="59"/>
      <c r="H310" s="9"/>
    </row>
    <row r="311">
      <c r="A311" s="9"/>
      <c r="B311" s="9"/>
      <c r="C311" s="9"/>
      <c r="D311" s="9"/>
      <c r="E311" s="9"/>
      <c r="F311" s="9"/>
      <c r="G311" s="59"/>
      <c r="H311" s="9"/>
    </row>
    <row r="312">
      <c r="A312" s="9"/>
      <c r="B312" s="9"/>
      <c r="C312" s="9"/>
      <c r="D312" s="9"/>
      <c r="E312" s="9"/>
      <c r="F312" s="9"/>
      <c r="G312" s="59"/>
      <c r="H312" s="9"/>
    </row>
    <row r="313">
      <c r="A313" s="9"/>
      <c r="B313" s="9"/>
      <c r="C313" s="9"/>
      <c r="D313" s="9"/>
      <c r="E313" s="9"/>
      <c r="F313" s="9"/>
      <c r="G313" s="59"/>
      <c r="H313" s="9"/>
    </row>
    <row r="314">
      <c r="A314" s="9"/>
      <c r="B314" s="9"/>
      <c r="C314" s="9"/>
      <c r="D314" s="9"/>
      <c r="E314" s="9"/>
      <c r="F314" s="9"/>
      <c r="G314" s="59"/>
      <c r="H314" s="9"/>
    </row>
    <row r="315">
      <c r="A315" s="9"/>
      <c r="B315" s="9"/>
      <c r="C315" s="9"/>
      <c r="D315" s="9"/>
      <c r="E315" s="9"/>
      <c r="F315" s="9"/>
      <c r="G315" s="59"/>
      <c r="H315" s="9"/>
    </row>
    <row r="316">
      <c r="A316" s="9"/>
      <c r="B316" s="9"/>
      <c r="C316" s="9"/>
      <c r="D316" s="9"/>
      <c r="E316" s="9"/>
      <c r="F316" s="9"/>
      <c r="G316" s="59"/>
      <c r="H316" s="9"/>
    </row>
    <row r="317">
      <c r="A317" s="9"/>
      <c r="B317" s="9"/>
      <c r="C317" s="9"/>
      <c r="D317" s="9"/>
      <c r="E317" s="9"/>
      <c r="F317" s="9"/>
      <c r="G317" s="59"/>
      <c r="H317" s="9"/>
    </row>
    <row r="318">
      <c r="A318" s="9"/>
      <c r="B318" s="9"/>
      <c r="C318" s="9"/>
      <c r="D318" s="9"/>
      <c r="E318" s="9"/>
      <c r="F318" s="9"/>
      <c r="G318" s="59"/>
      <c r="H318" s="9"/>
    </row>
    <row r="319">
      <c r="A319" s="9"/>
      <c r="B319" s="9"/>
      <c r="C319" s="9"/>
      <c r="D319" s="9"/>
      <c r="E319" s="9"/>
      <c r="F319" s="9"/>
      <c r="G319" s="59"/>
      <c r="H319" s="9"/>
    </row>
    <row r="320">
      <c r="A320" s="9"/>
      <c r="B320" s="9"/>
      <c r="C320" s="9"/>
      <c r="D320" s="9"/>
      <c r="E320" s="9"/>
      <c r="F320" s="9"/>
      <c r="G320" s="59"/>
      <c r="H320" s="9"/>
    </row>
    <row r="321">
      <c r="A321" s="9"/>
      <c r="B321" s="9"/>
      <c r="C321" s="9"/>
      <c r="D321" s="9"/>
      <c r="E321" s="9"/>
      <c r="F321" s="9"/>
      <c r="G321" s="59"/>
      <c r="H321" s="9"/>
    </row>
    <row r="322">
      <c r="A322" s="9"/>
      <c r="B322" s="9"/>
      <c r="C322" s="9"/>
      <c r="D322" s="9"/>
      <c r="E322" s="9"/>
      <c r="F322" s="9"/>
      <c r="G322" s="59"/>
      <c r="H322" s="9"/>
    </row>
    <row r="323">
      <c r="A323" s="9"/>
      <c r="B323" s="9"/>
      <c r="C323" s="9"/>
      <c r="D323" s="9"/>
      <c r="E323" s="9"/>
      <c r="F323" s="9"/>
      <c r="G323" s="59"/>
      <c r="H323" s="9"/>
    </row>
    <row r="324">
      <c r="A324" s="9"/>
      <c r="B324" s="9"/>
      <c r="C324" s="9"/>
      <c r="D324" s="9"/>
      <c r="E324" s="9"/>
      <c r="F324" s="9"/>
      <c r="G324" s="59"/>
      <c r="H324" s="9"/>
    </row>
    <row r="325">
      <c r="A325" s="9"/>
      <c r="B325" s="9"/>
      <c r="C325" s="9"/>
      <c r="D325" s="9"/>
      <c r="E325" s="9"/>
      <c r="F325" s="9"/>
      <c r="G325" s="59"/>
      <c r="H325" s="9"/>
    </row>
    <row r="326">
      <c r="A326" s="9"/>
      <c r="B326" s="9"/>
      <c r="C326" s="9"/>
      <c r="D326" s="9"/>
      <c r="E326" s="9"/>
      <c r="F326" s="9"/>
      <c r="G326" s="59"/>
      <c r="H326" s="9"/>
    </row>
    <row r="327">
      <c r="A327" s="9"/>
      <c r="B327" s="9"/>
      <c r="C327" s="9"/>
      <c r="D327" s="9"/>
      <c r="E327" s="9"/>
      <c r="F327" s="9"/>
      <c r="G327" s="59"/>
      <c r="H327" s="9"/>
    </row>
    <row r="328">
      <c r="A328" s="9"/>
      <c r="B328" s="9"/>
      <c r="C328" s="9"/>
      <c r="D328" s="9"/>
      <c r="E328" s="9"/>
      <c r="F328" s="9"/>
      <c r="G328" s="59"/>
      <c r="H328" s="9"/>
    </row>
    <row r="329">
      <c r="A329" s="9"/>
      <c r="B329" s="9"/>
      <c r="C329" s="9"/>
      <c r="D329" s="9"/>
      <c r="E329" s="9"/>
      <c r="F329" s="9"/>
      <c r="G329" s="59"/>
      <c r="H329" s="9"/>
    </row>
    <row r="330">
      <c r="A330" s="9"/>
      <c r="B330" s="9"/>
      <c r="C330" s="9"/>
      <c r="D330" s="9"/>
      <c r="E330" s="9"/>
      <c r="F330" s="9"/>
      <c r="G330" s="59"/>
      <c r="H330" s="9"/>
    </row>
    <row r="331">
      <c r="A331" s="9"/>
      <c r="B331" s="9"/>
      <c r="C331" s="9"/>
      <c r="D331" s="9"/>
      <c r="E331" s="9"/>
      <c r="F331" s="9"/>
      <c r="G331" s="59"/>
      <c r="H331" s="9"/>
    </row>
    <row r="332">
      <c r="A332" s="9"/>
      <c r="B332" s="9"/>
      <c r="C332" s="9"/>
      <c r="D332" s="9"/>
      <c r="E332" s="9"/>
      <c r="F332" s="9"/>
      <c r="G332" s="59"/>
      <c r="H332" s="9"/>
    </row>
    <row r="333">
      <c r="A333" s="9"/>
      <c r="B333" s="9"/>
      <c r="C333" s="9"/>
      <c r="D333" s="9"/>
      <c r="E333" s="9"/>
      <c r="F333" s="9"/>
      <c r="G333" s="59"/>
      <c r="H333" s="9"/>
    </row>
    <row r="334">
      <c r="A334" s="9"/>
      <c r="B334" s="9"/>
      <c r="C334" s="9"/>
      <c r="D334" s="9"/>
      <c r="E334" s="9"/>
      <c r="F334" s="9"/>
      <c r="G334" s="59"/>
      <c r="H334" s="9"/>
    </row>
    <row r="335">
      <c r="A335" s="9"/>
      <c r="B335" s="9"/>
      <c r="C335" s="9"/>
      <c r="D335" s="9"/>
      <c r="E335" s="9"/>
      <c r="F335" s="9"/>
      <c r="G335" s="59"/>
      <c r="H335" s="9"/>
    </row>
    <row r="336">
      <c r="A336" s="9"/>
      <c r="B336" s="9"/>
      <c r="C336" s="9"/>
      <c r="D336" s="9"/>
      <c r="E336" s="9"/>
      <c r="F336" s="9"/>
      <c r="G336" s="59"/>
      <c r="H336" s="9"/>
    </row>
    <row r="337">
      <c r="A337" s="9"/>
      <c r="B337" s="9"/>
      <c r="C337" s="9"/>
      <c r="D337" s="9"/>
      <c r="E337" s="9"/>
      <c r="F337" s="9"/>
      <c r="G337" s="59"/>
      <c r="H337" s="9"/>
    </row>
    <row r="338">
      <c r="A338" s="9"/>
      <c r="B338" s="9"/>
      <c r="C338" s="9"/>
      <c r="D338" s="9"/>
      <c r="E338" s="9"/>
      <c r="F338" s="9"/>
      <c r="G338" s="59"/>
      <c r="H338" s="9"/>
    </row>
    <row r="339">
      <c r="A339" s="9"/>
      <c r="B339" s="9"/>
      <c r="C339" s="9"/>
      <c r="D339" s="9"/>
      <c r="E339" s="9"/>
      <c r="F339" s="9"/>
      <c r="G339" s="59"/>
      <c r="H339" s="9"/>
    </row>
    <row r="340">
      <c r="A340" s="9"/>
      <c r="B340" s="9"/>
      <c r="C340" s="9"/>
      <c r="D340" s="9"/>
      <c r="E340" s="9"/>
      <c r="F340" s="9"/>
      <c r="G340" s="59"/>
      <c r="H340" s="9"/>
    </row>
    <row r="341">
      <c r="A341" s="9"/>
      <c r="B341" s="9"/>
      <c r="C341" s="9"/>
      <c r="D341" s="9"/>
      <c r="E341" s="9"/>
      <c r="F341" s="9"/>
      <c r="G341" s="59"/>
      <c r="H341" s="9"/>
    </row>
    <row r="342">
      <c r="A342" s="9"/>
      <c r="B342" s="9"/>
      <c r="C342" s="9"/>
      <c r="D342" s="9"/>
      <c r="E342" s="9"/>
      <c r="F342" s="9"/>
      <c r="G342" s="59"/>
      <c r="H342" s="9"/>
    </row>
    <row r="343">
      <c r="A343" s="9"/>
      <c r="B343" s="9"/>
      <c r="C343" s="9"/>
      <c r="D343" s="9"/>
      <c r="E343" s="9"/>
      <c r="F343" s="9"/>
      <c r="G343" s="59"/>
      <c r="H343" s="9"/>
    </row>
    <row r="344">
      <c r="A344" s="9"/>
      <c r="B344" s="9"/>
      <c r="C344" s="9"/>
      <c r="D344" s="9"/>
      <c r="E344" s="9"/>
      <c r="F344" s="9"/>
      <c r="G344" s="59"/>
      <c r="H344" s="9"/>
    </row>
    <row r="345">
      <c r="A345" s="9"/>
      <c r="B345" s="9"/>
      <c r="C345" s="9"/>
      <c r="D345" s="9"/>
      <c r="E345" s="9"/>
      <c r="F345" s="9"/>
      <c r="G345" s="59"/>
      <c r="H345" s="9"/>
    </row>
    <row r="346">
      <c r="A346" s="9"/>
      <c r="B346" s="9"/>
      <c r="C346" s="9"/>
      <c r="D346" s="9"/>
      <c r="E346" s="9"/>
      <c r="F346" s="9"/>
      <c r="G346" s="59"/>
      <c r="H346" s="9"/>
    </row>
    <row r="347">
      <c r="A347" s="9"/>
      <c r="B347" s="9"/>
      <c r="C347" s="9"/>
      <c r="D347" s="9"/>
      <c r="E347" s="9"/>
      <c r="F347" s="9"/>
      <c r="G347" s="59"/>
      <c r="H347" s="9"/>
    </row>
    <row r="348">
      <c r="A348" s="9"/>
      <c r="B348" s="9"/>
      <c r="C348" s="9"/>
      <c r="D348" s="9"/>
      <c r="E348" s="9"/>
      <c r="F348" s="9"/>
      <c r="G348" s="59"/>
      <c r="H348" s="9"/>
    </row>
    <row r="349">
      <c r="A349" s="9"/>
      <c r="B349" s="9"/>
      <c r="C349" s="9"/>
      <c r="D349" s="9"/>
      <c r="E349" s="9"/>
      <c r="F349" s="9"/>
      <c r="G349" s="59"/>
      <c r="H349" s="9"/>
    </row>
    <row r="350">
      <c r="A350" s="9"/>
      <c r="B350" s="9"/>
      <c r="C350" s="9"/>
      <c r="D350" s="9"/>
      <c r="E350" s="9"/>
      <c r="F350" s="9"/>
      <c r="G350" s="59"/>
      <c r="H350" s="9"/>
    </row>
    <row r="351">
      <c r="A351" s="9"/>
      <c r="B351" s="9"/>
      <c r="C351" s="9"/>
      <c r="D351" s="9"/>
      <c r="E351" s="9"/>
      <c r="F351" s="9"/>
      <c r="G351" s="59"/>
      <c r="H351" s="9"/>
    </row>
    <row r="352">
      <c r="A352" s="9"/>
      <c r="B352" s="9"/>
      <c r="C352" s="9"/>
      <c r="D352" s="9"/>
      <c r="E352" s="9"/>
      <c r="F352" s="9"/>
      <c r="G352" s="59"/>
      <c r="H352" s="9"/>
    </row>
    <row r="353">
      <c r="A353" s="9"/>
      <c r="B353" s="9"/>
      <c r="C353" s="9"/>
      <c r="D353" s="9"/>
      <c r="E353" s="9"/>
      <c r="F353" s="9"/>
      <c r="G353" s="59"/>
      <c r="H353" s="9"/>
    </row>
    <row r="354">
      <c r="A354" s="9"/>
      <c r="B354" s="9"/>
      <c r="C354" s="9"/>
      <c r="D354" s="9"/>
      <c r="E354" s="9"/>
      <c r="F354" s="9"/>
      <c r="G354" s="59"/>
      <c r="H354" s="9"/>
    </row>
    <row r="355">
      <c r="A355" s="9"/>
      <c r="B355" s="9"/>
      <c r="C355" s="9"/>
      <c r="D355" s="9"/>
      <c r="E355" s="9"/>
      <c r="F355" s="9"/>
      <c r="G355" s="59"/>
      <c r="H355" s="9"/>
    </row>
    <row r="356">
      <c r="A356" s="9"/>
      <c r="B356" s="9"/>
      <c r="C356" s="9"/>
      <c r="D356" s="9"/>
      <c r="E356" s="9"/>
      <c r="F356" s="9"/>
      <c r="G356" s="59"/>
      <c r="H356" s="9"/>
    </row>
    <row r="357">
      <c r="A357" s="9"/>
      <c r="B357" s="9"/>
      <c r="C357" s="9"/>
      <c r="D357" s="9"/>
      <c r="E357" s="9"/>
      <c r="F357" s="9"/>
      <c r="G357" s="59"/>
      <c r="H357" s="9"/>
    </row>
    <row r="358">
      <c r="A358" s="9"/>
      <c r="B358" s="9"/>
      <c r="C358" s="9"/>
      <c r="D358" s="9"/>
      <c r="E358" s="9"/>
      <c r="F358" s="9"/>
      <c r="G358" s="59"/>
      <c r="H358" s="9"/>
    </row>
    <row r="359">
      <c r="A359" s="9"/>
      <c r="B359" s="9"/>
      <c r="C359" s="9"/>
      <c r="D359" s="9"/>
      <c r="E359" s="9"/>
      <c r="F359" s="9"/>
      <c r="G359" s="59"/>
      <c r="H359" s="9"/>
    </row>
    <row r="360">
      <c r="A360" s="9"/>
      <c r="B360" s="9"/>
      <c r="C360" s="9"/>
      <c r="D360" s="9"/>
      <c r="E360" s="9"/>
      <c r="F360" s="9"/>
      <c r="G360" s="59"/>
      <c r="H360" s="9"/>
    </row>
    <row r="361">
      <c r="A361" s="9"/>
      <c r="B361" s="9"/>
      <c r="C361" s="9"/>
      <c r="D361" s="9"/>
      <c r="E361" s="9"/>
      <c r="F361" s="9"/>
      <c r="G361" s="59"/>
      <c r="H361" s="9"/>
    </row>
    <row r="362">
      <c r="A362" s="9"/>
      <c r="B362" s="9"/>
      <c r="C362" s="9"/>
      <c r="D362" s="9"/>
      <c r="E362" s="9"/>
      <c r="F362" s="9"/>
      <c r="G362" s="59"/>
      <c r="H362" s="9"/>
    </row>
    <row r="363">
      <c r="A363" s="9"/>
      <c r="B363" s="9"/>
      <c r="C363" s="9"/>
      <c r="D363" s="9"/>
      <c r="E363" s="9"/>
      <c r="F363" s="9"/>
      <c r="G363" s="59"/>
      <c r="H363" s="9"/>
    </row>
    <row r="364">
      <c r="A364" s="9"/>
      <c r="B364" s="9"/>
      <c r="C364" s="9"/>
      <c r="D364" s="9"/>
      <c r="E364" s="9"/>
      <c r="F364" s="9"/>
      <c r="G364" s="59"/>
      <c r="H364" s="9"/>
    </row>
    <row r="365">
      <c r="A365" s="9"/>
      <c r="B365" s="9"/>
      <c r="C365" s="9"/>
      <c r="D365" s="9"/>
      <c r="E365" s="9"/>
      <c r="F365" s="9"/>
      <c r="G365" s="59"/>
      <c r="H365" s="9"/>
    </row>
    <row r="366">
      <c r="A366" s="9"/>
      <c r="B366" s="9"/>
      <c r="C366" s="9"/>
      <c r="D366" s="9"/>
      <c r="E366" s="9"/>
      <c r="F366" s="9"/>
      <c r="G366" s="59"/>
      <c r="H366" s="9"/>
    </row>
    <row r="367">
      <c r="A367" s="9"/>
      <c r="B367" s="9"/>
      <c r="C367" s="9"/>
      <c r="D367" s="9"/>
      <c r="E367" s="9"/>
      <c r="F367" s="9"/>
      <c r="G367" s="59"/>
      <c r="H367" s="9"/>
    </row>
    <row r="368">
      <c r="A368" s="9"/>
      <c r="B368" s="9"/>
      <c r="C368" s="9"/>
      <c r="D368" s="9"/>
      <c r="E368" s="9"/>
      <c r="F368" s="9"/>
      <c r="G368" s="59"/>
      <c r="H368" s="9"/>
    </row>
    <row r="369">
      <c r="A369" s="9"/>
      <c r="B369" s="9"/>
      <c r="C369" s="9"/>
      <c r="D369" s="9"/>
      <c r="E369" s="9"/>
      <c r="F369" s="9"/>
      <c r="G369" s="59"/>
      <c r="H369" s="9"/>
    </row>
    <row r="370">
      <c r="A370" s="9"/>
      <c r="B370" s="9"/>
      <c r="C370" s="9"/>
      <c r="D370" s="9"/>
      <c r="E370" s="9"/>
      <c r="F370" s="9"/>
      <c r="G370" s="59"/>
      <c r="H370" s="9"/>
    </row>
    <row r="371">
      <c r="A371" s="9"/>
      <c r="B371" s="9"/>
      <c r="C371" s="9"/>
      <c r="D371" s="9"/>
      <c r="E371" s="9"/>
      <c r="F371" s="9"/>
      <c r="G371" s="59"/>
      <c r="H371" s="9"/>
    </row>
    <row r="372">
      <c r="A372" s="9"/>
      <c r="B372" s="9"/>
      <c r="C372" s="9"/>
      <c r="D372" s="9"/>
      <c r="E372" s="9"/>
      <c r="F372" s="9"/>
      <c r="G372" s="59"/>
      <c r="H372" s="9"/>
    </row>
    <row r="373">
      <c r="A373" s="9"/>
      <c r="B373" s="9"/>
      <c r="C373" s="9"/>
      <c r="D373" s="9"/>
      <c r="E373" s="9"/>
      <c r="F373" s="9"/>
      <c r="G373" s="59"/>
      <c r="H373" s="9"/>
    </row>
    <row r="374">
      <c r="A374" s="9"/>
      <c r="B374" s="9"/>
      <c r="C374" s="9"/>
      <c r="D374" s="9"/>
      <c r="E374" s="9"/>
      <c r="F374" s="9"/>
      <c r="G374" s="59"/>
      <c r="H374" s="9"/>
    </row>
    <row r="375">
      <c r="A375" s="9"/>
      <c r="B375" s="9"/>
      <c r="C375" s="9"/>
      <c r="D375" s="9"/>
      <c r="E375" s="9"/>
      <c r="F375" s="9"/>
      <c r="G375" s="59"/>
      <c r="H375" s="9"/>
    </row>
    <row r="376">
      <c r="A376" s="9"/>
      <c r="B376" s="9"/>
      <c r="C376" s="9"/>
      <c r="D376" s="9"/>
      <c r="E376" s="9"/>
      <c r="F376" s="9"/>
      <c r="G376" s="59"/>
      <c r="H376" s="9"/>
    </row>
    <row r="377">
      <c r="A377" s="9"/>
      <c r="B377" s="9"/>
      <c r="C377" s="9"/>
      <c r="D377" s="9"/>
      <c r="E377" s="9"/>
      <c r="F377" s="9"/>
      <c r="G377" s="59"/>
      <c r="H377" s="9"/>
    </row>
    <row r="378">
      <c r="A378" s="9"/>
      <c r="B378" s="9"/>
      <c r="C378" s="9"/>
      <c r="D378" s="9"/>
      <c r="E378" s="9"/>
      <c r="F378" s="9"/>
      <c r="G378" s="59"/>
      <c r="H378" s="9"/>
    </row>
    <row r="379">
      <c r="A379" s="9"/>
      <c r="B379" s="9"/>
      <c r="C379" s="9"/>
      <c r="D379" s="9"/>
      <c r="E379" s="9"/>
      <c r="F379" s="9"/>
      <c r="G379" s="59"/>
      <c r="H379" s="9"/>
    </row>
    <row r="380">
      <c r="A380" s="9"/>
      <c r="B380" s="9"/>
      <c r="C380" s="9"/>
      <c r="D380" s="9"/>
      <c r="E380" s="9"/>
      <c r="F380" s="9"/>
      <c r="G380" s="59"/>
      <c r="H380" s="9"/>
    </row>
    <row r="381">
      <c r="A381" s="9"/>
      <c r="B381" s="9"/>
      <c r="C381" s="9"/>
      <c r="D381" s="9"/>
      <c r="E381" s="9"/>
      <c r="F381" s="9"/>
      <c r="G381" s="59"/>
      <c r="H381" s="9"/>
    </row>
    <row r="382">
      <c r="A382" s="9"/>
      <c r="B382" s="9"/>
      <c r="C382" s="9"/>
      <c r="D382" s="9"/>
      <c r="E382" s="9"/>
      <c r="F382" s="9"/>
      <c r="G382" s="59"/>
      <c r="H382" s="9"/>
    </row>
    <row r="383">
      <c r="A383" s="9"/>
      <c r="B383" s="9"/>
      <c r="C383" s="9"/>
      <c r="D383" s="9"/>
      <c r="E383" s="9"/>
      <c r="F383" s="9"/>
      <c r="G383" s="59"/>
      <c r="H383" s="9"/>
    </row>
    <row r="384">
      <c r="A384" s="9"/>
      <c r="B384" s="9"/>
      <c r="C384" s="9"/>
      <c r="D384" s="9"/>
      <c r="E384" s="9"/>
      <c r="F384" s="9"/>
      <c r="G384" s="59"/>
      <c r="H384" s="9"/>
    </row>
    <row r="385">
      <c r="A385" s="9"/>
      <c r="B385" s="9"/>
      <c r="C385" s="9"/>
      <c r="D385" s="9"/>
      <c r="E385" s="9"/>
      <c r="F385" s="9"/>
      <c r="G385" s="59"/>
      <c r="H385" s="9"/>
    </row>
    <row r="386">
      <c r="A386" s="9"/>
      <c r="B386" s="9"/>
      <c r="C386" s="9"/>
      <c r="D386" s="9"/>
      <c r="E386" s="9"/>
      <c r="F386" s="9"/>
      <c r="G386" s="59"/>
      <c r="H386" s="9"/>
    </row>
    <row r="387">
      <c r="A387" s="9"/>
      <c r="B387" s="9"/>
      <c r="C387" s="9"/>
      <c r="D387" s="9"/>
      <c r="E387" s="9"/>
      <c r="F387" s="9"/>
      <c r="G387" s="59"/>
      <c r="H387" s="9"/>
    </row>
    <row r="388">
      <c r="A388" s="9"/>
      <c r="B388" s="9"/>
      <c r="C388" s="9"/>
      <c r="D388" s="9"/>
      <c r="E388" s="9"/>
      <c r="F388" s="9"/>
      <c r="G388" s="59"/>
      <c r="H388" s="9"/>
    </row>
    <row r="389">
      <c r="A389" s="9"/>
      <c r="B389" s="9"/>
      <c r="C389" s="9"/>
      <c r="D389" s="9"/>
      <c r="E389" s="9"/>
      <c r="F389" s="9"/>
      <c r="G389" s="59"/>
      <c r="H389" s="9"/>
    </row>
    <row r="390">
      <c r="A390" s="9"/>
      <c r="B390" s="9"/>
      <c r="C390" s="9"/>
      <c r="D390" s="9"/>
      <c r="E390" s="9"/>
      <c r="F390" s="9"/>
      <c r="G390" s="59"/>
      <c r="H390" s="9"/>
    </row>
    <row r="391">
      <c r="A391" s="9"/>
      <c r="B391" s="9"/>
      <c r="C391" s="9"/>
      <c r="D391" s="9"/>
      <c r="E391" s="9"/>
      <c r="F391" s="9"/>
      <c r="G391" s="59"/>
      <c r="H391" s="9"/>
    </row>
    <row r="392">
      <c r="A392" s="9"/>
      <c r="B392" s="9"/>
      <c r="C392" s="9"/>
      <c r="D392" s="9"/>
      <c r="E392" s="9"/>
      <c r="F392" s="9"/>
      <c r="G392" s="59"/>
      <c r="H392" s="9"/>
    </row>
    <row r="393">
      <c r="A393" s="9"/>
      <c r="B393" s="9"/>
      <c r="C393" s="9"/>
      <c r="D393" s="9"/>
      <c r="E393" s="9"/>
      <c r="F393" s="9"/>
      <c r="G393" s="59"/>
      <c r="H393" s="9"/>
    </row>
    <row r="394">
      <c r="A394" s="9"/>
      <c r="B394" s="9"/>
      <c r="C394" s="9"/>
      <c r="D394" s="9"/>
      <c r="E394" s="9"/>
      <c r="F394" s="9"/>
      <c r="G394" s="59"/>
      <c r="H394" s="9"/>
    </row>
    <row r="395">
      <c r="A395" s="9"/>
      <c r="B395" s="9"/>
      <c r="C395" s="9"/>
      <c r="D395" s="9"/>
      <c r="E395" s="9"/>
      <c r="F395" s="9"/>
      <c r="G395" s="59"/>
      <c r="H395" s="9"/>
    </row>
    <row r="396">
      <c r="A396" s="9"/>
      <c r="B396" s="9"/>
      <c r="C396" s="9"/>
      <c r="D396" s="9"/>
      <c r="E396" s="9"/>
      <c r="F396" s="9"/>
      <c r="G396" s="59"/>
      <c r="H396" s="9"/>
    </row>
    <row r="397">
      <c r="A397" s="9"/>
      <c r="B397" s="9"/>
      <c r="C397" s="9"/>
      <c r="D397" s="9"/>
      <c r="E397" s="9"/>
      <c r="F397" s="9"/>
      <c r="G397" s="59"/>
      <c r="H397" s="9"/>
    </row>
    <row r="398">
      <c r="A398" s="9"/>
      <c r="B398" s="9"/>
      <c r="C398" s="9"/>
      <c r="D398" s="9"/>
      <c r="E398" s="9"/>
      <c r="F398" s="9"/>
      <c r="G398" s="59"/>
      <c r="H398" s="9"/>
    </row>
    <row r="399">
      <c r="A399" s="9"/>
      <c r="B399" s="9"/>
      <c r="C399" s="9"/>
      <c r="D399" s="9"/>
      <c r="E399" s="9"/>
      <c r="F399" s="9"/>
      <c r="G399" s="59"/>
      <c r="H399" s="9"/>
    </row>
    <row r="400">
      <c r="A400" s="9"/>
      <c r="B400" s="9"/>
      <c r="C400" s="9"/>
      <c r="D400" s="9"/>
      <c r="E400" s="9"/>
      <c r="F400" s="9"/>
      <c r="G400" s="59"/>
      <c r="H400" s="9"/>
    </row>
    <row r="401">
      <c r="A401" s="9"/>
      <c r="B401" s="9"/>
      <c r="C401" s="9"/>
      <c r="D401" s="9"/>
      <c r="E401" s="9"/>
      <c r="F401" s="9"/>
      <c r="G401" s="59"/>
      <c r="H401" s="9"/>
    </row>
    <row r="402">
      <c r="A402" s="9"/>
      <c r="B402" s="9"/>
      <c r="C402" s="9"/>
      <c r="D402" s="9"/>
      <c r="E402" s="9"/>
      <c r="F402" s="9"/>
      <c r="G402" s="59"/>
      <c r="H402" s="9"/>
    </row>
    <row r="403">
      <c r="A403" s="9"/>
      <c r="B403" s="9"/>
      <c r="C403" s="9"/>
      <c r="D403" s="9"/>
      <c r="E403" s="9"/>
      <c r="F403" s="9"/>
      <c r="G403" s="59"/>
      <c r="H403" s="9"/>
    </row>
    <row r="404">
      <c r="A404" s="9"/>
      <c r="B404" s="9"/>
      <c r="C404" s="9"/>
      <c r="D404" s="9"/>
      <c r="E404" s="9"/>
      <c r="F404" s="9"/>
      <c r="G404" s="59"/>
      <c r="H404" s="9"/>
    </row>
    <row r="405">
      <c r="A405" s="9"/>
      <c r="B405" s="9"/>
      <c r="C405" s="9"/>
      <c r="D405" s="9"/>
      <c r="E405" s="9"/>
      <c r="F405" s="9"/>
      <c r="G405" s="59"/>
      <c r="H405" s="9"/>
    </row>
    <row r="406">
      <c r="A406" s="9"/>
      <c r="B406" s="9"/>
      <c r="C406" s="9"/>
      <c r="D406" s="9"/>
      <c r="E406" s="9"/>
      <c r="F406" s="9"/>
      <c r="G406" s="59"/>
      <c r="H406" s="9"/>
    </row>
    <row r="407">
      <c r="A407" s="9"/>
      <c r="B407" s="9"/>
      <c r="C407" s="9"/>
      <c r="D407" s="9"/>
      <c r="E407" s="9"/>
      <c r="F407" s="9"/>
      <c r="G407" s="59"/>
      <c r="H407" s="9"/>
    </row>
    <row r="408">
      <c r="A408" s="9"/>
      <c r="B408" s="9"/>
      <c r="C408" s="9"/>
      <c r="D408" s="9"/>
      <c r="E408" s="9"/>
      <c r="F408" s="9"/>
      <c r="G408" s="59"/>
      <c r="H408" s="9"/>
    </row>
    <row r="409">
      <c r="A409" s="9"/>
      <c r="B409" s="9"/>
      <c r="C409" s="9"/>
      <c r="D409" s="9"/>
      <c r="E409" s="9"/>
      <c r="F409" s="9"/>
      <c r="G409" s="59"/>
      <c r="H409" s="9"/>
    </row>
    <row r="410">
      <c r="A410" s="9"/>
      <c r="B410" s="9"/>
      <c r="C410" s="9"/>
      <c r="D410" s="9"/>
      <c r="E410" s="9"/>
      <c r="F410" s="9"/>
      <c r="G410" s="59"/>
      <c r="H410" s="9"/>
    </row>
    <row r="411">
      <c r="A411" s="9"/>
      <c r="B411" s="9"/>
      <c r="C411" s="9"/>
      <c r="D411" s="9"/>
      <c r="E411" s="9"/>
      <c r="F411" s="9"/>
      <c r="G411" s="59"/>
      <c r="H411" s="9"/>
    </row>
    <row r="412">
      <c r="A412" s="9"/>
      <c r="B412" s="9"/>
      <c r="C412" s="9"/>
      <c r="D412" s="9"/>
      <c r="E412" s="9"/>
      <c r="F412" s="9"/>
      <c r="G412" s="59"/>
      <c r="H412" s="9"/>
    </row>
    <row r="413">
      <c r="A413" s="9"/>
      <c r="B413" s="9"/>
      <c r="C413" s="9"/>
      <c r="D413" s="9"/>
      <c r="E413" s="9"/>
      <c r="F413" s="9"/>
      <c r="G413" s="59"/>
      <c r="H413" s="9"/>
    </row>
    <row r="414">
      <c r="A414" s="9"/>
      <c r="B414" s="9"/>
      <c r="C414" s="9"/>
      <c r="D414" s="9"/>
      <c r="E414" s="9"/>
      <c r="F414" s="9"/>
      <c r="G414" s="59"/>
      <c r="H414" s="9"/>
    </row>
    <row r="415">
      <c r="A415" s="9"/>
      <c r="B415" s="9"/>
      <c r="C415" s="9"/>
      <c r="D415" s="9"/>
      <c r="E415" s="9"/>
      <c r="F415" s="9"/>
      <c r="G415" s="59"/>
      <c r="H415" s="9"/>
    </row>
    <row r="416">
      <c r="A416" s="9"/>
      <c r="B416" s="9"/>
      <c r="C416" s="9"/>
      <c r="D416" s="9"/>
      <c r="E416" s="9"/>
      <c r="F416" s="9"/>
      <c r="G416" s="59"/>
      <c r="H416" s="9"/>
    </row>
    <row r="417">
      <c r="A417" s="9"/>
      <c r="B417" s="9"/>
      <c r="C417" s="9"/>
      <c r="D417" s="9"/>
      <c r="E417" s="9"/>
      <c r="F417" s="9"/>
      <c r="G417" s="59"/>
      <c r="H417" s="9"/>
    </row>
    <row r="418">
      <c r="A418" s="9"/>
      <c r="B418" s="9"/>
      <c r="C418" s="9"/>
      <c r="D418" s="9"/>
      <c r="E418" s="9"/>
      <c r="F418" s="9"/>
      <c r="G418" s="59"/>
      <c r="H418" s="9"/>
    </row>
    <row r="419">
      <c r="A419" s="9"/>
      <c r="B419" s="9"/>
      <c r="C419" s="9"/>
      <c r="D419" s="9"/>
      <c r="E419" s="9"/>
      <c r="F419" s="9"/>
      <c r="G419" s="59"/>
      <c r="H419" s="9"/>
    </row>
    <row r="420">
      <c r="A420" s="9"/>
      <c r="B420" s="9"/>
      <c r="C420" s="9"/>
      <c r="D420" s="9"/>
      <c r="E420" s="9"/>
      <c r="F420" s="9"/>
      <c r="G420" s="59"/>
      <c r="H420" s="9"/>
    </row>
    <row r="421">
      <c r="A421" s="9"/>
      <c r="B421" s="9"/>
      <c r="C421" s="9"/>
      <c r="D421" s="9"/>
      <c r="E421" s="9"/>
      <c r="F421" s="9"/>
      <c r="G421" s="59"/>
      <c r="H421" s="9"/>
    </row>
    <row r="422">
      <c r="A422" s="9"/>
      <c r="B422" s="9"/>
      <c r="C422" s="9"/>
      <c r="D422" s="9"/>
      <c r="E422" s="9"/>
      <c r="F422" s="9"/>
      <c r="G422" s="59"/>
      <c r="H422" s="9"/>
    </row>
    <row r="423">
      <c r="A423" s="9"/>
      <c r="B423" s="9"/>
      <c r="C423" s="9"/>
      <c r="D423" s="9"/>
      <c r="E423" s="9"/>
      <c r="F423" s="9"/>
      <c r="G423" s="59"/>
      <c r="H423" s="9"/>
    </row>
    <row r="424">
      <c r="A424" s="9"/>
      <c r="B424" s="9"/>
      <c r="C424" s="9"/>
      <c r="D424" s="9"/>
      <c r="E424" s="9"/>
      <c r="F424" s="9"/>
      <c r="G424" s="59"/>
      <c r="H424" s="9"/>
    </row>
    <row r="425">
      <c r="A425" s="9"/>
      <c r="B425" s="9"/>
      <c r="C425" s="9"/>
      <c r="D425" s="9"/>
      <c r="E425" s="9"/>
      <c r="F425" s="9"/>
      <c r="G425" s="59"/>
      <c r="H425" s="9"/>
    </row>
    <row r="426">
      <c r="A426" s="9"/>
      <c r="B426" s="9"/>
      <c r="C426" s="9"/>
      <c r="D426" s="9"/>
      <c r="E426" s="9"/>
      <c r="F426" s="9"/>
      <c r="G426" s="59"/>
      <c r="H426" s="9"/>
    </row>
    <row r="427">
      <c r="A427" s="9"/>
      <c r="B427" s="9"/>
      <c r="C427" s="9"/>
      <c r="D427" s="9"/>
      <c r="E427" s="9"/>
      <c r="F427" s="9"/>
      <c r="G427" s="59"/>
      <c r="H427" s="9"/>
    </row>
    <row r="428">
      <c r="A428" s="9"/>
      <c r="B428" s="9"/>
      <c r="C428" s="9"/>
      <c r="D428" s="9"/>
      <c r="E428" s="9"/>
      <c r="F428" s="9"/>
      <c r="G428" s="59"/>
      <c r="H428" s="9"/>
    </row>
    <row r="429">
      <c r="A429" s="9"/>
      <c r="B429" s="9"/>
      <c r="C429" s="9"/>
      <c r="D429" s="9"/>
      <c r="E429" s="9"/>
      <c r="F429" s="9"/>
      <c r="G429" s="59"/>
      <c r="H429" s="9"/>
    </row>
    <row r="430">
      <c r="A430" s="9"/>
      <c r="B430" s="9"/>
      <c r="C430" s="9"/>
      <c r="D430" s="9"/>
      <c r="E430" s="9"/>
      <c r="F430" s="9"/>
      <c r="G430" s="59"/>
      <c r="H430" s="9"/>
    </row>
    <row r="431">
      <c r="A431" s="9"/>
      <c r="B431" s="9"/>
      <c r="C431" s="9"/>
      <c r="D431" s="9"/>
      <c r="E431" s="9"/>
      <c r="F431" s="9"/>
      <c r="G431" s="59"/>
      <c r="H431" s="9"/>
    </row>
    <row r="432">
      <c r="A432" s="9"/>
      <c r="B432" s="9"/>
      <c r="C432" s="9"/>
      <c r="D432" s="9"/>
      <c r="E432" s="9"/>
      <c r="F432" s="9"/>
      <c r="G432" s="59"/>
      <c r="H432" s="9"/>
    </row>
    <row r="433">
      <c r="A433" s="9"/>
      <c r="B433" s="9"/>
      <c r="C433" s="9"/>
      <c r="D433" s="9"/>
      <c r="E433" s="9"/>
      <c r="F433" s="9"/>
      <c r="G433" s="59"/>
      <c r="H433" s="9"/>
    </row>
    <row r="434">
      <c r="A434" s="9"/>
      <c r="B434" s="9"/>
      <c r="C434" s="9"/>
      <c r="D434" s="9"/>
      <c r="E434" s="9"/>
      <c r="F434" s="9"/>
      <c r="G434" s="59"/>
      <c r="H434" s="9"/>
    </row>
    <row r="435">
      <c r="A435" s="9"/>
      <c r="B435" s="9"/>
      <c r="C435" s="9"/>
      <c r="D435" s="9"/>
      <c r="E435" s="9"/>
      <c r="F435" s="9"/>
      <c r="G435" s="59"/>
      <c r="H435" s="9"/>
    </row>
    <row r="436">
      <c r="A436" s="9"/>
      <c r="B436" s="9"/>
      <c r="C436" s="9"/>
      <c r="D436" s="9"/>
      <c r="E436" s="9"/>
      <c r="F436" s="9"/>
      <c r="G436" s="59"/>
      <c r="H436" s="9"/>
    </row>
    <row r="437">
      <c r="A437" s="9"/>
      <c r="B437" s="9"/>
      <c r="C437" s="9"/>
      <c r="D437" s="9"/>
      <c r="E437" s="9"/>
      <c r="F437" s="9"/>
      <c r="G437" s="59"/>
      <c r="H437" s="9"/>
    </row>
    <row r="438">
      <c r="A438" s="9"/>
      <c r="B438" s="9"/>
      <c r="C438" s="9"/>
      <c r="D438" s="9"/>
      <c r="E438" s="9"/>
      <c r="F438" s="9"/>
      <c r="G438" s="59"/>
      <c r="H438" s="9"/>
    </row>
    <row r="439">
      <c r="A439" s="9"/>
      <c r="B439" s="9"/>
      <c r="C439" s="9"/>
      <c r="D439" s="9"/>
      <c r="E439" s="9"/>
      <c r="F439" s="9"/>
      <c r="G439" s="59"/>
      <c r="H439" s="9"/>
    </row>
    <row r="440">
      <c r="A440" s="9"/>
      <c r="B440" s="9"/>
      <c r="C440" s="9"/>
      <c r="D440" s="9"/>
      <c r="E440" s="9"/>
      <c r="F440" s="9"/>
      <c r="G440" s="59"/>
      <c r="H440" s="9"/>
    </row>
    <row r="441">
      <c r="A441" s="9"/>
      <c r="B441" s="9"/>
      <c r="C441" s="9"/>
      <c r="D441" s="9"/>
      <c r="E441" s="9"/>
      <c r="F441" s="9"/>
      <c r="G441" s="59"/>
      <c r="H441" s="9"/>
    </row>
    <row r="442">
      <c r="A442" s="9"/>
      <c r="B442" s="9"/>
      <c r="C442" s="9"/>
      <c r="D442" s="9"/>
      <c r="E442" s="9"/>
      <c r="F442" s="9"/>
      <c r="G442" s="59"/>
      <c r="H442" s="9"/>
    </row>
    <row r="443">
      <c r="A443" s="9"/>
      <c r="B443" s="9"/>
      <c r="C443" s="9"/>
      <c r="D443" s="9"/>
      <c r="E443" s="9"/>
      <c r="F443" s="9"/>
      <c r="G443" s="59"/>
      <c r="H443" s="9"/>
    </row>
    <row r="444">
      <c r="A444" s="9"/>
      <c r="B444" s="9"/>
      <c r="C444" s="9"/>
      <c r="D444" s="9"/>
      <c r="E444" s="9"/>
      <c r="F444" s="9"/>
      <c r="G444" s="59"/>
      <c r="H444" s="9"/>
    </row>
    <row r="445">
      <c r="A445" s="9"/>
      <c r="B445" s="9"/>
      <c r="C445" s="9"/>
      <c r="D445" s="9"/>
      <c r="E445" s="9"/>
      <c r="F445" s="9"/>
      <c r="G445" s="59"/>
      <c r="H445" s="9"/>
    </row>
    <row r="446">
      <c r="A446" s="9"/>
      <c r="B446" s="9"/>
      <c r="C446" s="9"/>
      <c r="D446" s="9"/>
      <c r="E446" s="9"/>
      <c r="F446" s="9"/>
      <c r="G446" s="59"/>
      <c r="H446" s="9"/>
    </row>
    <row r="447">
      <c r="A447" s="9"/>
      <c r="B447" s="9"/>
      <c r="C447" s="9"/>
      <c r="D447" s="9"/>
      <c r="E447" s="9"/>
      <c r="F447" s="9"/>
      <c r="G447" s="59"/>
      <c r="H447" s="9"/>
    </row>
    <row r="448">
      <c r="A448" s="9"/>
      <c r="B448" s="9"/>
      <c r="C448" s="9"/>
      <c r="D448" s="9"/>
      <c r="E448" s="9"/>
      <c r="F448" s="9"/>
      <c r="G448" s="59"/>
      <c r="H448" s="9"/>
    </row>
    <row r="449">
      <c r="A449" s="9"/>
      <c r="B449" s="9"/>
      <c r="C449" s="9"/>
      <c r="D449" s="9"/>
      <c r="E449" s="9"/>
      <c r="F449" s="9"/>
      <c r="G449" s="59"/>
      <c r="H449" s="9"/>
    </row>
    <row r="450">
      <c r="A450" s="9"/>
      <c r="B450" s="9"/>
      <c r="C450" s="9"/>
      <c r="D450" s="9"/>
      <c r="E450" s="9"/>
      <c r="F450" s="9"/>
      <c r="G450" s="59"/>
      <c r="H450" s="9"/>
    </row>
    <row r="451">
      <c r="A451" s="9"/>
      <c r="B451" s="9"/>
      <c r="C451" s="9"/>
      <c r="D451" s="9"/>
      <c r="E451" s="9"/>
      <c r="F451" s="9"/>
      <c r="G451" s="59"/>
      <c r="H451" s="9"/>
    </row>
    <row r="452">
      <c r="A452" s="9"/>
      <c r="B452" s="9"/>
      <c r="C452" s="9"/>
      <c r="D452" s="9"/>
      <c r="E452" s="9"/>
      <c r="F452" s="9"/>
      <c r="G452" s="59"/>
      <c r="H452" s="9"/>
    </row>
    <row r="453">
      <c r="A453" s="9"/>
      <c r="B453" s="9"/>
      <c r="C453" s="9"/>
      <c r="D453" s="9"/>
      <c r="E453" s="9"/>
      <c r="F453" s="9"/>
      <c r="G453" s="59"/>
      <c r="H453" s="9"/>
    </row>
    <row r="454">
      <c r="A454" s="9"/>
      <c r="B454" s="9"/>
      <c r="C454" s="9"/>
      <c r="D454" s="9"/>
      <c r="E454" s="9"/>
      <c r="F454" s="9"/>
      <c r="G454" s="59"/>
      <c r="H454" s="9"/>
    </row>
    <row r="455">
      <c r="A455" s="9"/>
      <c r="B455" s="9"/>
      <c r="C455" s="9"/>
      <c r="D455" s="9"/>
      <c r="E455" s="9"/>
      <c r="F455" s="9"/>
      <c r="G455" s="59"/>
      <c r="H455" s="9"/>
    </row>
    <row r="456">
      <c r="A456" s="9"/>
      <c r="B456" s="9"/>
      <c r="C456" s="9"/>
      <c r="D456" s="9"/>
      <c r="E456" s="9"/>
      <c r="F456" s="9"/>
      <c r="G456" s="59"/>
      <c r="H456" s="9"/>
    </row>
    <row r="457">
      <c r="A457" s="9"/>
      <c r="B457" s="9"/>
      <c r="C457" s="9"/>
      <c r="D457" s="9"/>
      <c r="E457" s="9"/>
      <c r="F457" s="9"/>
      <c r="G457" s="59"/>
      <c r="H457" s="9"/>
    </row>
    <row r="458">
      <c r="A458" s="9"/>
      <c r="B458" s="9"/>
      <c r="C458" s="9"/>
      <c r="D458" s="9"/>
      <c r="E458" s="9"/>
      <c r="F458" s="9"/>
      <c r="G458" s="59"/>
      <c r="H458" s="9"/>
    </row>
    <row r="459">
      <c r="A459" s="9"/>
      <c r="B459" s="9"/>
      <c r="C459" s="9"/>
      <c r="D459" s="9"/>
      <c r="E459" s="9"/>
      <c r="F459" s="9"/>
      <c r="G459" s="59"/>
      <c r="H459" s="9"/>
    </row>
    <row r="460">
      <c r="A460" s="9"/>
      <c r="B460" s="9"/>
      <c r="C460" s="9"/>
      <c r="D460" s="9"/>
      <c r="E460" s="9"/>
      <c r="F460" s="9"/>
      <c r="G460" s="59"/>
      <c r="H460" s="9"/>
    </row>
    <row r="461">
      <c r="A461" s="9"/>
      <c r="B461" s="9"/>
      <c r="C461" s="9"/>
      <c r="D461" s="9"/>
      <c r="E461" s="9"/>
      <c r="F461" s="9"/>
      <c r="G461" s="59"/>
      <c r="H461" s="9"/>
    </row>
    <row r="462">
      <c r="A462" s="9"/>
      <c r="B462" s="9"/>
      <c r="C462" s="9"/>
      <c r="D462" s="9"/>
      <c r="E462" s="9"/>
      <c r="F462" s="9"/>
      <c r="G462" s="59"/>
      <c r="H462" s="9"/>
    </row>
    <row r="463">
      <c r="A463" s="9"/>
      <c r="B463" s="9"/>
      <c r="C463" s="9"/>
      <c r="D463" s="9"/>
      <c r="E463" s="9"/>
      <c r="F463" s="9"/>
      <c r="G463" s="59"/>
      <c r="H463" s="9"/>
    </row>
    <row r="464">
      <c r="A464" s="9"/>
      <c r="B464" s="9"/>
      <c r="C464" s="9"/>
      <c r="D464" s="9"/>
      <c r="E464" s="9"/>
      <c r="F464" s="9"/>
      <c r="G464" s="59"/>
      <c r="H464" s="9"/>
    </row>
    <row r="465">
      <c r="A465" s="9"/>
      <c r="B465" s="9"/>
      <c r="C465" s="9"/>
      <c r="D465" s="9"/>
      <c r="E465" s="9"/>
      <c r="F465" s="9"/>
      <c r="G465" s="59"/>
      <c r="H465" s="9"/>
    </row>
    <row r="466">
      <c r="A466" s="9"/>
      <c r="B466" s="9"/>
      <c r="C466" s="9"/>
      <c r="D466" s="9"/>
      <c r="E466" s="9"/>
      <c r="F466" s="9"/>
      <c r="G466" s="59"/>
      <c r="H466" s="9"/>
    </row>
    <row r="467">
      <c r="A467" s="9"/>
      <c r="B467" s="9"/>
      <c r="C467" s="9"/>
      <c r="D467" s="9"/>
      <c r="E467" s="9"/>
      <c r="F467" s="9"/>
      <c r="G467" s="59"/>
      <c r="H467" s="9"/>
    </row>
    <row r="468">
      <c r="A468" s="9"/>
      <c r="B468" s="9"/>
      <c r="C468" s="9"/>
      <c r="D468" s="9"/>
      <c r="E468" s="9"/>
      <c r="F468" s="9"/>
      <c r="G468" s="59"/>
      <c r="H468" s="9"/>
    </row>
    <row r="469">
      <c r="A469" s="9"/>
      <c r="B469" s="9"/>
      <c r="C469" s="9"/>
      <c r="D469" s="9"/>
      <c r="E469" s="9"/>
      <c r="F469" s="9"/>
      <c r="G469" s="59"/>
      <c r="H469" s="9"/>
    </row>
    <row r="470">
      <c r="A470" s="9"/>
      <c r="B470" s="9"/>
      <c r="C470" s="9"/>
      <c r="D470" s="9"/>
      <c r="E470" s="9"/>
      <c r="F470" s="9"/>
      <c r="G470" s="59"/>
      <c r="H470" s="9"/>
    </row>
    <row r="471">
      <c r="A471" s="9"/>
      <c r="B471" s="9"/>
      <c r="C471" s="9"/>
      <c r="D471" s="9"/>
      <c r="E471" s="9"/>
      <c r="F471" s="9"/>
      <c r="G471" s="59"/>
      <c r="H471" s="9"/>
    </row>
    <row r="472">
      <c r="A472" s="9"/>
      <c r="B472" s="9"/>
      <c r="C472" s="9"/>
      <c r="D472" s="9"/>
      <c r="E472" s="9"/>
      <c r="F472" s="9"/>
      <c r="G472" s="59"/>
      <c r="H472" s="9"/>
    </row>
    <row r="473">
      <c r="A473" s="9"/>
      <c r="B473" s="9"/>
      <c r="C473" s="9"/>
      <c r="D473" s="9"/>
      <c r="E473" s="9"/>
      <c r="F473" s="9"/>
      <c r="G473" s="59"/>
      <c r="H473" s="9"/>
    </row>
    <row r="474">
      <c r="A474" s="9"/>
      <c r="B474" s="9"/>
      <c r="C474" s="9"/>
      <c r="D474" s="9"/>
      <c r="E474" s="9"/>
      <c r="F474" s="9"/>
      <c r="G474" s="59"/>
      <c r="H474" s="9"/>
    </row>
    <row r="475">
      <c r="A475" s="9"/>
      <c r="B475" s="9"/>
      <c r="C475" s="9"/>
      <c r="D475" s="9"/>
      <c r="E475" s="9"/>
      <c r="F475" s="9"/>
      <c r="G475" s="59"/>
      <c r="H475" s="9"/>
    </row>
    <row r="476">
      <c r="A476" s="9"/>
      <c r="B476" s="9"/>
      <c r="C476" s="9"/>
      <c r="D476" s="9"/>
      <c r="E476" s="9"/>
      <c r="F476" s="9"/>
      <c r="G476" s="59"/>
      <c r="H476" s="9"/>
    </row>
    <row r="477">
      <c r="A477" s="9"/>
      <c r="B477" s="9"/>
      <c r="C477" s="9"/>
      <c r="D477" s="9"/>
      <c r="E477" s="9"/>
      <c r="F477" s="9"/>
      <c r="G477" s="59"/>
      <c r="H477" s="9"/>
    </row>
    <row r="478">
      <c r="A478" s="9"/>
      <c r="B478" s="9"/>
      <c r="C478" s="9"/>
      <c r="D478" s="9"/>
      <c r="E478" s="9"/>
      <c r="F478" s="9"/>
      <c r="G478" s="59"/>
      <c r="H478" s="9"/>
    </row>
    <row r="479">
      <c r="A479" s="9"/>
      <c r="B479" s="9"/>
      <c r="C479" s="9"/>
      <c r="D479" s="9"/>
      <c r="E479" s="9"/>
      <c r="F479" s="9"/>
      <c r="G479" s="59"/>
      <c r="H479" s="9"/>
    </row>
    <row r="480">
      <c r="A480" s="9"/>
      <c r="B480" s="9"/>
      <c r="C480" s="9"/>
      <c r="D480" s="9"/>
      <c r="E480" s="9"/>
      <c r="F480" s="9"/>
      <c r="G480" s="59"/>
      <c r="H480" s="9"/>
    </row>
    <row r="481">
      <c r="A481" s="9"/>
      <c r="B481" s="9"/>
      <c r="C481" s="9"/>
      <c r="D481" s="9"/>
      <c r="E481" s="9"/>
      <c r="F481" s="9"/>
      <c r="G481" s="59"/>
      <c r="H481" s="9"/>
    </row>
    <row r="482">
      <c r="A482" s="9"/>
      <c r="B482" s="9"/>
      <c r="C482" s="9"/>
      <c r="D482" s="9"/>
      <c r="E482" s="9"/>
      <c r="F482" s="9"/>
      <c r="G482" s="59"/>
      <c r="H482" s="9"/>
    </row>
    <row r="483">
      <c r="A483" s="9"/>
      <c r="B483" s="9"/>
      <c r="C483" s="9"/>
      <c r="D483" s="9"/>
      <c r="E483" s="9"/>
      <c r="F483" s="9"/>
      <c r="G483" s="59"/>
      <c r="H483" s="9"/>
    </row>
    <row r="484">
      <c r="A484" s="9"/>
      <c r="B484" s="9"/>
      <c r="C484" s="9"/>
      <c r="D484" s="9"/>
      <c r="E484" s="9"/>
      <c r="F484" s="9"/>
      <c r="G484" s="59"/>
      <c r="H484" s="9"/>
    </row>
    <row r="485">
      <c r="A485" s="9"/>
      <c r="B485" s="9"/>
      <c r="C485" s="9"/>
      <c r="D485" s="9"/>
      <c r="E485" s="9"/>
      <c r="F485" s="9"/>
      <c r="G485" s="59"/>
      <c r="H485" s="9"/>
    </row>
    <row r="486">
      <c r="A486" s="9"/>
      <c r="B486" s="9"/>
      <c r="C486" s="9"/>
      <c r="D486" s="9"/>
      <c r="E486" s="9"/>
      <c r="F486" s="9"/>
      <c r="G486" s="59"/>
      <c r="H486" s="9"/>
    </row>
    <row r="487">
      <c r="A487" s="9"/>
      <c r="B487" s="9"/>
      <c r="C487" s="9"/>
      <c r="D487" s="9"/>
      <c r="E487" s="9"/>
      <c r="F487" s="9"/>
      <c r="G487" s="59"/>
      <c r="H487" s="9"/>
    </row>
    <row r="488">
      <c r="A488" s="9"/>
      <c r="B488" s="9"/>
      <c r="C488" s="9"/>
      <c r="D488" s="9"/>
      <c r="E488" s="9"/>
      <c r="F488" s="9"/>
      <c r="G488" s="59"/>
      <c r="H488" s="9"/>
    </row>
    <row r="489">
      <c r="A489" s="9"/>
      <c r="B489" s="9"/>
      <c r="C489" s="9"/>
      <c r="D489" s="9"/>
      <c r="E489" s="9"/>
      <c r="F489" s="9"/>
      <c r="G489" s="59"/>
      <c r="H489" s="9"/>
    </row>
    <row r="490">
      <c r="A490" s="9"/>
      <c r="B490" s="9"/>
      <c r="C490" s="9"/>
      <c r="D490" s="9"/>
      <c r="E490" s="9"/>
      <c r="F490" s="9"/>
      <c r="G490" s="59"/>
      <c r="H490" s="9"/>
    </row>
    <row r="491">
      <c r="A491" s="9"/>
      <c r="B491" s="9"/>
      <c r="C491" s="9"/>
      <c r="D491" s="9"/>
      <c r="E491" s="9"/>
      <c r="F491" s="9"/>
      <c r="G491" s="59"/>
      <c r="H491" s="9"/>
    </row>
    <row r="492">
      <c r="A492" s="9"/>
      <c r="B492" s="9"/>
      <c r="C492" s="9"/>
      <c r="D492" s="9"/>
      <c r="E492" s="9"/>
      <c r="F492" s="9"/>
      <c r="G492" s="59"/>
      <c r="H492" s="9"/>
    </row>
    <row r="493">
      <c r="A493" s="9"/>
      <c r="B493" s="9"/>
      <c r="C493" s="9"/>
      <c r="D493" s="9"/>
      <c r="E493" s="9"/>
      <c r="F493" s="9"/>
      <c r="G493" s="59"/>
      <c r="H493" s="9"/>
    </row>
    <row r="494">
      <c r="A494" s="9"/>
      <c r="B494" s="9"/>
      <c r="C494" s="9"/>
      <c r="D494" s="9"/>
      <c r="E494" s="9"/>
      <c r="F494" s="9"/>
      <c r="G494" s="59"/>
      <c r="H494" s="9"/>
    </row>
    <row r="495">
      <c r="A495" s="9"/>
      <c r="B495" s="9"/>
      <c r="C495" s="9"/>
      <c r="D495" s="9"/>
      <c r="E495" s="9"/>
      <c r="F495" s="9"/>
      <c r="G495" s="59"/>
      <c r="H495" s="9"/>
    </row>
    <row r="496">
      <c r="A496" s="9"/>
      <c r="B496" s="9"/>
      <c r="C496" s="9"/>
      <c r="D496" s="9"/>
      <c r="E496" s="9"/>
      <c r="F496" s="9"/>
      <c r="G496" s="59"/>
      <c r="H496" s="9"/>
    </row>
    <row r="497">
      <c r="A497" s="9"/>
      <c r="B497" s="9"/>
      <c r="C497" s="9"/>
      <c r="D497" s="9"/>
      <c r="E497" s="9"/>
      <c r="F497" s="9"/>
      <c r="G497" s="59"/>
      <c r="H497" s="9"/>
    </row>
    <row r="498">
      <c r="A498" s="9"/>
      <c r="B498" s="9"/>
      <c r="C498" s="9"/>
      <c r="D498" s="9"/>
      <c r="E498" s="9"/>
      <c r="F498" s="9"/>
      <c r="G498" s="59"/>
      <c r="H498" s="9"/>
    </row>
    <row r="499">
      <c r="A499" s="9"/>
      <c r="B499" s="9"/>
      <c r="C499" s="9"/>
      <c r="D499" s="9"/>
      <c r="E499" s="9"/>
      <c r="F499" s="9"/>
      <c r="G499" s="59"/>
      <c r="H499" s="9"/>
    </row>
    <row r="500">
      <c r="A500" s="9"/>
      <c r="B500" s="9"/>
      <c r="C500" s="9"/>
      <c r="D500" s="9"/>
      <c r="E500" s="9"/>
      <c r="F500" s="9"/>
      <c r="G500" s="59"/>
      <c r="H500" s="9"/>
    </row>
    <row r="501">
      <c r="A501" s="9"/>
      <c r="B501" s="9"/>
      <c r="C501" s="9"/>
      <c r="D501" s="9"/>
      <c r="E501" s="9"/>
      <c r="F501" s="9"/>
      <c r="G501" s="59"/>
      <c r="H501" s="9"/>
    </row>
    <row r="502">
      <c r="A502" s="9"/>
      <c r="B502" s="9"/>
      <c r="C502" s="9"/>
      <c r="D502" s="9"/>
      <c r="E502" s="9"/>
      <c r="F502" s="9"/>
      <c r="G502" s="59"/>
      <c r="H502" s="9"/>
    </row>
    <row r="503">
      <c r="A503" s="9"/>
      <c r="B503" s="9"/>
      <c r="C503" s="9"/>
      <c r="D503" s="9"/>
      <c r="E503" s="9"/>
      <c r="F503" s="9"/>
      <c r="G503" s="59"/>
      <c r="H503" s="9"/>
    </row>
    <row r="504">
      <c r="A504" s="9"/>
      <c r="B504" s="9"/>
      <c r="C504" s="9"/>
      <c r="D504" s="9"/>
      <c r="E504" s="9"/>
      <c r="F504" s="9"/>
      <c r="G504" s="59"/>
      <c r="H504" s="9"/>
    </row>
    <row r="505">
      <c r="A505" s="9"/>
      <c r="B505" s="9"/>
      <c r="C505" s="9"/>
      <c r="D505" s="9"/>
      <c r="E505" s="9"/>
      <c r="F505" s="9"/>
      <c r="G505" s="59"/>
      <c r="H505" s="9"/>
    </row>
    <row r="506">
      <c r="A506" s="9"/>
      <c r="B506" s="9"/>
      <c r="C506" s="9"/>
      <c r="D506" s="9"/>
      <c r="E506" s="9"/>
      <c r="F506" s="9"/>
      <c r="G506" s="59"/>
      <c r="H506" s="9"/>
    </row>
    <row r="507">
      <c r="A507" s="9"/>
      <c r="B507" s="9"/>
      <c r="C507" s="9"/>
      <c r="D507" s="9"/>
      <c r="E507" s="9"/>
      <c r="F507" s="9"/>
      <c r="G507" s="59"/>
      <c r="H507" s="9"/>
    </row>
    <row r="508">
      <c r="A508" s="9"/>
      <c r="B508" s="9"/>
      <c r="C508" s="9"/>
      <c r="D508" s="9"/>
      <c r="E508" s="9"/>
      <c r="F508" s="9"/>
      <c r="G508" s="59"/>
      <c r="H508" s="9"/>
    </row>
    <row r="509">
      <c r="A509" s="9"/>
      <c r="B509" s="9"/>
      <c r="C509" s="9"/>
      <c r="D509" s="9"/>
      <c r="E509" s="9"/>
      <c r="F509" s="9"/>
      <c r="G509" s="59"/>
      <c r="H509" s="9"/>
    </row>
    <row r="510">
      <c r="A510" s="9"/>
      <c r="B510" s="9"/>
      <c r="C510" s="9"/>
      <c r="D510" s="9"/>
      <c r="E510" s="9"/>
      <c r="F510" s="9"/>
      <c r="G510" s="59"/>
      <c r="H510" s="9"/>
    </row>
    <row r="511">
      <c r="A511" s="9"/>
      <c r="B511" s="9"/>
      <c r="C511" s="9"/>
      <c r="D511" s="9"/>
      <c r="E511" s="9"/>
      <c r="F511" s="9"/>
      <c r="G511" s="59"/>
      <c r="H511" s="9"/>
    </row>
    <row r="512">
      <c r="A512" s="9"/>
      <c r="B512" s="9"/>
      <c r="C512" s="9"/>
      <c r="D512" s="9"/>
      <c r="E512" s="9"/>
      <c r="F512" s="9"/>
      <c r="G512" s="59"/>
      <c r="H512" s="9"/>
    </row>
    <row r="513">
      <c r="A513" s="9"/>
      <c r="B513" s="9"/>
      <c r="C513" s="9"/>
      <c r="D513" s="9"/>
      <c r="E513" s="9"/>
      <c r="F513" s="9"/>
      <c r="G513" s="59"/>
      <c r="H513" s="9"/>
    </row>
    <row r="514">
      <c r="A514" s="9"/>
      <c r="B514" s="9"/>
      <c r="C514" s="9"/>
      <c r="D514" s="9"/>
      <c r="E514" s="9"/>
      <c r="F514" s="9"/>
      <c r="G514" s="59"/>
      <c r="H514" s="9"/>
    </row>
    <row r="515">
      <c r="A515" s="9"/>
      <c r="B515" s="9"/>
      <c r="C515" s="9"/>
      <c r="D515" s="9"/>
      <c r="E515" s="9"/>
      <c r="F515" s="9"/>
      <c r="G515" s="59"/>
      <c r="H515" s="9"/>
    </row>
    <row r="516">
      <c r="A516" s="9"/>
      <c r="B516" s="9"/>
      <c r="C516" s="9"/>
      <c r="D516" s="9"/>
      <c r="E516" s="9"/>
      <c r="F516" s="9"/>
      <c r="G516" s="59"/>
      <c r="H516" s="9"/>
    </row>
    <row r="517">
      <c r="A517" s="9"/>
      <c r="B517" s="9"/>
      <c r="C517" s="9"/>
      <c r="D517" s="9"/>
      <c r="E517" s="9"/>
      <c r="F517" s="9"/>
      <c r="G517" s="59"/>
      <c r="H517" s="9"/>
    </row>
    <row r="518">
      <c r="A518" s="9"/>
      <c r="B518" s="9"/>
      <c r="C518" s="9"/>
      <c r="D518" s="9"/>
      <c r="E518" s="9"/>
      <c r="F518" s="9"/>
      <c r="G518" s="59"/>
      <c r="H518" s="9"/>
    </row>
    <row r="519">
      <c r="A519" s="9"/>
      <c r="B519" s="9"/>
      <c r="C519" s="9"/>
      <c r="D519" s="9"/>
      <c r="E519" s="9"/>
      <c r="F519" s="9"/>
      <c r="G519" s="59"/>
      <c r="H519" s="9"/>
    </row>
    <row r="520">
      <c r="A520" s="9"/>
      <c r="B520" s="9"/>
      <c r="C520" s="9"/>
      <c r="D520" s="9"/>
      <c r="E520" s="9"/>
      <c r="F520" s="9"/>
      <c r="G520" s="59"/>
      <c r="H520" s="9"/>
    </row>
    <row r="521">
      <c r="A521" s="9"/>
      <c r="B521" s="9"/>
      <c r="C521" s="9"/>
      <c r="D521" s="9"/>
      <c r="E521" s="9"/>
      <c r="F521" s="9"/>
      <c r="G521" s="59"/>
      <c r="H521" s="9"/>
    </row>
    <row r="522">
      <c r="A522" s="9"/>
      <c r="B522" s="9"/>
      <c r="C522" s="9"/>
      <c r="D522" s="9"/>
      <c r="E522" s="9"/>
      <c r="F522" s="9"/>
      <c r="G522" s="59"/>
      <c r="H522" s="9"/>
    </row>
    <row r="523">
      <c r="A523" s="9"/>
      <c r="B523" s="9"/>
      <c r="C523" s="9"/>
      <c r="D523" s="9"/>
      <c r="E523" s="9"/>
      <c r="F523" s="9"/>
      <c r="G523" s="59"/>
      <c r="H523" s="9"/>
    </row>
    <row r="524">
      <c r="A524" s="9"/>
      <c r="B524" s="9"/>
      <c r="C524" s="9"/>
      <c r="D524" s="9"/>
      <c r="E524" s="9"/>
      <c r="F524" s="9"/>
      <c r="G524" s="59"/>
      <c r="H524" s="9"/>
    </row>
    <row r="525">
      <c r="A525" s="9"/>
      <c r="B525" s="9"/>
      <c r="C525" s="9"/>
      <c r="D525" s="9"/>
      <c r="E525" s="9"/>
      <c r="F525" s="9"/>
      <c r="G525" s="59"/>
      <c r="H525" s="9"/>
    </row>
    <row r="526">
      <c r="A526" s="9"/>
      <c r="B526" s="9"/>
      <c r="C526" s="9"/>
      <c r="D526" s="9"/>
      <c r="E526" s="9"/>
      <c r="F526" s="9"/>
      <c r="G526" s="59"/>
      <c r="H526" s="9"/>
    </row>
    <row r="527">
      <c r="A527" s="9"/>
      <c r="B527" s="9"/>
      <c r="C527" s="9"/>
      <c r="D527" s="9"/>
      <c r="E527" s="9"/>
      <c r="F527" s="9"/>
      <c r="G527" s="59"/>
      <c r="H527" s="9"/>
    </row>
    <row r="528">
      <c r="A528" s="9"/>
      <c r="B528" s="9"/>
      <c r="C528" s="9"/>
      <c r="D528" s="9"/>
      <c r="E528" s="9"/>
      <c r="F528" s="9"/>
      <c r="G528" s="59"/>
      <c r="H528" s="9"/>
    </row>
    <row r="529">
      <c r="A529" s="9"/>
      <c r="B529" s="9"/>
      <c r="C529" s="9"/>
      <c r="D529" s="9"/>
      <c r="E529" s="9"/>
      <c r="F529" s="9"/>
      <c r="G529" s="59"/>
      <c r="H529" s="9"/>
    </row>
    <row r="530">
      <c r="A530" s="9"/>
      <c r="B530" s="9"/>
      <c r="C530" s="9"/>
      <c r="D530" s="9"/>
      <c r="E530" s="9"/>
      <c r="F530" s="9"/>
      <c r="G530" s="59"/>
      <c r="H530" s="9"/>
    </row>
    <row r="531">
      <c r="A531" s="9"/>
      <c r="B531" s="9"/>
      <c r="C531" s="9"/>
      <c r="D531" s="9"/>
      <c r="E531" s="9"/>
      <c r="F531" s="9"/>
      <c r="G531" s="59"/>
      <c r="H531" s="9"/>
    </row>
    <row r="532">
      <c r="A532" s="9"/>
      <c r="B532" s="9"/>
      <c r="C532" s="9"/>
      <c r="D532" s="9"/>
      <c r="E532" s="9"/>
      <c r="F532" s="9"/>
      <c r="G532" s="59"/>
      <c r="H532" s="9"/>
    </row>
    <row r="533">
      <c r="A533" s="9"/>
      <c r="B533" s="9"/>
      <c r="C533" s="9"/>
      <c r="D533" s="9"/>
      <c r="E533" s="9"/>
      <c r="F533" s="9"/>
      <c r="G533" s="59"/>
      <c r="H533" s="9"/>
    </row>
    <row r="534">
      <c r="A534" s="9"/>
      <c r="B534" s="9"/>
      <c r="C534" s="9"/>
      <c r="D534" s="9"/>
      <c r="E534" s="9"/>
      <c r="F534" s="9"/>
      <c r="G534" s="59"/>
      <c r="H534" s="9"/>
    </row>
    <row r="535">
      <c r="A535" s="9"/>
      <c r="B535" s="9"/>
      <c r="C535" s="9"/>
      <c r="D535" s="9"/>
      <c r="E535" s="9"/>
      <c r="F535" s="9"/>
      <c r="G535" s="59"/>
      <c r="H535" s="9"/>
    </row>
    <row r="536">
      <c r="A536" s="9"/>
      <c r="B536" s="9"/>
      <c r="C536" s="9"/>
      <c r="D536" s="9"/>
      <c r="E536" s="9"/>
      <c r="F536" s="9"/>
      <c r="G536" s="59"/>
      <c r="H536" s="9"/>
    </row>
    <row r="537">
      <c r="A537" s="9"/>
      <c r="B537" s="9"/>
      <c r="C537" s="9"/>
      <c r="D537" s="9"/>
      <c r="E537" s="9"/>
      <c r="F537" s="9"/>
      <c r="G537" s="59"/>
      <c r="H537" s="9"/>
    </row>
    <row r="538">
      <c r="A538" s="9"/>
      <c r="B538" s="9"/>
      <c r="C538" s="9"/>
      <c r="D538" s="9"/>
      <c r="E538" s="9"/>
      <c r="F538" s="9"/>
      <c r="G538" s="59"/>
      <c r="H538" s="9"/>
    </row>
    <row r="539">
      <c r="A539" s="9"/>
      <c r="B539" s="9"/>
      <c r="C539" s="9"/>
      <c r="D539" s="9"/>
      <c r="E539" s="9"/>
      <c r="F539" s="9"/>
      <c r="G539" s="59"/>
      <c r="H539" s="9"/>
    </row>
    <row r="540">
      <c r="A540" s="9"/>
      <c r="B540" s="9"/>
      <c r="C540" s="9"/>
      <c r="D540" s="9"/>
      <c r="E540" s="9"/>
      <c r="F540" s="9"/>
      <c r="G540" s="59"/>
      <c r="H540" s="9"/>
    </row>
    <row r="541">
      <c r="A541" s="9"/>
      <c r="B541" s="9"/>
      <c r="C541" s="9"/>
      <c r="D541" s="9"/>
      <c r="E541" s="9"/>
      <c r="F541" s="9"/>
      <c r="G541" s="59"/>
      <c r="H541" s="9"/>
    </row>
    <row r="542">
      <c r="A542" s="9"/>
      <c r="B542" s="9"/>
      <c r="C542" s="9"/>
      <c r="D542" s="9"/>
      <c r="E542" s="9"/>
      <c r="F542" s="9"/>
      <c r="G542" s="59"/>
      <c r="H542" s="9"/>
    </row>
    <row r="543">
      <c r="A543" s="9"/>
      <c r="B543" s="9"/>
      <c r="C543" s="9"/>
      <c r="D543" s="9"/>
      <c r="E543" s="9"/>
      <c r="F543" s="9"/>
      <c r="G543" s="59"/>
      <c r="H543" s="9"/>
    </row>
    <row r="544">
      <c r="A544" s="9"/>
      <c r="B544" s="9"/>
      <c r="C544" s="9"/>
      <c r="D544" s="9"/>
      <c r="E544" s="9"/>
      <c r="F544" s="9"/>
      <c r="G544" s="59"/>
      <c r="H544" s="9"/>
    </row>
    <row r="545">
      <c r="A545" s="9"/>
      <c r="B545" s="9"/>
      <c r="C545" s="9"/>
      <c r="D545" s="9"/>
      <c r="E545" s="9"/>
      <c r="F545" s="9"/>
      <c r="G545" s="59"/>
      <c r="H545" s="9"/>
    </row>
    <row r="546">
      <c r="A546" s="9"/>
      <c r="B546" s="9"/>
      <c r="C546" s="9"/>
      <c r="D546" s="9"/>
      <c r="E546" s="9"/>
      <c r="F546" s="9"/>
      <c r="G546" s="59"/>
      <c r="H546" s="9"/>
    </row>
    <row r="547">
      <c r="A547" s="9"/>
      <c r="B547" s="9"/>
      <c r="C547" s="9"/>
      <c r="D547" s="9"/>
      <c r="E547" s="9"/>
      <c r="F547" s="9"/>
      <c r="G547" s="59"/>
      <c r="H547" s="9"/>
    </row>
    <row r="548">
      <c r="A548" s="9"/>
      <c r="B548" s="9"/>
      <c r="C548" s="9"/>
      <c r="D548" s="9"/>
      <c r="E548" s="9"/>
      <c r="F548" s="9"/>
      <c r="G548" s="59"/>
      <c r="H548" s="9"/>
    </row>
    <row r="549">
      <c r="A549" s="9"/>
      <c r="B549" s="9"/>
      <c r="C549" s="9"/>
      <c r="D549" s="9"/>
      <c r="E549" s="9"/>
      <c r="F549" s="9"/>
      <c r="G549" s="59"/>
      <c r="H549" s="9"/>
    </row>
    <row r="550">
      <c r="A550" s="9"/>
      <c r="B550" s="9"/>
      <c r="C550" s="9"/>
      <c r="D550" s="9"/>
      <c r="E550" s="9"/>
      <c r="F550" s="9"/>
      <c r="G550" s="59"/>
      <c r="H550" s="9"/>
    </row>
    <row r="551">
      <c r="A551" s="9"/>
      <c r="B551" s="9"/>
      <c r="C551" s="9"/>
      <c r="D551" s="9"/>
      <c r="E551" s="9"/>
      <c r="F551" s="9"/>
      <c r="G551" s="59"/>
      <c r="H551" s="9"/>
    </row>
    <row r="552">
      <c r="A552" s="9"/>
      <c r="B552" s="9"/>
      <c r="C552" s="9"/>
      <c r="D552" s="9"/>
      <c r="E552" s="9"/>
      <c r="F552" s="9"/>
      <c r="G552" s="59"/>
      <c r="H552" s="9"/>
    </row>
    <row r="553">
      <c r="A553" s="9"/>
      <c r="B553" s="9"/>
      <c r="C553" s="9"/>
      <c r="D553" s="9"/>
      <c r="E553" s="9"/>
      <c r="F553" s="9"/>
      <c r="G553" s="59"/>
      <c r="H553" s="9"/>
    </row>
    <row r="554">
      <c r="A554" s="9"/>
      <c r="B554" s="9"/>
      <c r="C554" s="9"/>
      <c r="D554" s="9"/>
      <c r="E554" s="9"/>
      <c r="F554" s="9"/>
      <c r="G554" s="59"/>
      <c r="H554" s="9"/>
    </row>
    <row r="555">
      <c r="A555" s="9"/>
      <c r="B555" s="9"/>
      <c r="C555" s="9"/>
      <c r="D555" s="9"/>
      <c r="E555" s="9"/>
      <c r="F555" s="9"/>
      <c r="G555" s="59"/>
      <c r="H555" s="9"/>
    </row>
    <row r="556">
      <c r="A556" s="9"/>
      <c r="B556" s="9"/>
      <c r="C556" s="9"/>
      <c r="D556" s="9"/>
      <c r="E556" s="9"/>
      <c r="F556" s="9"/>
      <c r="G556" s="59"/>
      <c r="H556" s="9"/>
    </row>
    <row r="557">
      <c r="A557" s="9"/>
      <c r="B557" s="9"/>
      <c r="C557" s="9"/>
      <c r="D557" s="9"/>
      <c r="E557" s="9"/>
      <c r="F557" s="9"/>
      <c r="G557" s="59"/>
      <c r="H557" s="9"/>
    </row>
    <row r="558">
      <c r="A558" s="9"/>
      <c r="B558" s="9"/>
      <c r="C558" s="9"/>
      <c r="D558" s="9"/>
      <c r="E558" s="9"/>
      <c r="F558" s="9"/>
      <c r="G558" s="59"/>
      <c r="H558" s="9"/>
    </row>
    <row r="559">
      <c r="A559" s="9"/>
      <c r="B559" s="9"/>
      <c r="C559" s="9"/>
      <c r="D559" s="9"/>
      <c r="E559" s="9"/>
      <c r="F559" s="9"/>
      <c r="G559" s="59"/>
      <c r="H559" s="9"/>
    </row>
    <row r="560">
      <c r="A560" s="9"/>
      <c r="B560" s="9"/>
      <c r="C560" s="9"/>
      <c r="D560" s="9"/>
      <c r="E560" s="9"/>
      <c r="F560" s="9"/>
      <c r="G560" s="59"/>
      <c r="H560" s="9"/>
    </row>
    <row r="561">
      <c r="A561" s="9"/>
      <c r="B561" s="9"/>
      <c r="C561" s="9"/>
      <c r="D561" s="9"/>
      <c r="E561" s="9"/>
      <c r="F561" s="9"/>
      <c r="G561" s="59"/>
      <c r="H561" s="9"/>
    </row>
    <row r="562">
      <c r="A562" s="9"/>
      <c r="B562" s="9"/>
      <c r="C562" s="9"/>
      <c r="D562" s="9"/>
      <c r="E562" s="9"/>
      <c r="F562" s="9"/>
      <c r="G562" s="59"/>
      <c r="H562" s="9"/>
    </row>
    <row r="563">
      <c r="A563" s="9"/>
      <c r="B563" s="9"/>
      <c r="C563" s="9"/>
      <c r="D563" s="9"/>
      <c r="E563" s="9"/>
      <c r="F563" s="9"/>
      <c r="G563" s="59"/>
      <c r="H563" s="9"/>
    </row>
    <row r="564">
      <c r="A564" s="9"/>
      <c r="B564" s="9"/>
      <c r="C564" s="9"/>
      <c r="D564" s="9"/>
      <c r="E564" s="9"/>
      <c r="F564" s="9"/>
      <c r="G564" s="59"/>
      <c r="H564" s="9"/>
    </row>
    <row r="565">
      <c r="A565" s="9"/>
      <c r="B565" s="9"/>
      <c r="C565" s="9"/>
      <c r="D565" s="9"/>
      <c r="E565" s="9"/>
      <c r="F565" s="9"/>
      <c r="G565" s="59"/>
      <c r="H565" s="9"/>
    </row>
    <row r="566">
      <c r="A566" s="9"/>
      <c r="B566" s="9"/>
      <c r="C566" s="9"/>
      <c r="D566" s="9"/>
      <c r="E566" s="9"/>
      <c r="F566" s="9"/>
      <c r="G566" s="59"/>
      <c r="H566" s="9"/>
    </row>
    <row r="567">
      <c r="A567" s="9"/>
      <c r="B567" s="9"/>
      <c r="C567" s="9"/>
      <c r="D567" s="9"/>
      <c r="E567" s="9"/>
      <c r="F567" s="9"/>
      <c r="G567" s="59"/>
      <c r="H567" s="9"/>
    </row>
    <row r="568">
      <c r="A568" s="9"/>
      <c r="B568" s="9"/>
      <c r="C568" s="9"/>
      <c r="D568" s="9"/>
      <c r="E568" s="9"/>
      <c r="F568" s="9"/>
      <c r="G568" s="59"/>
      <c r="H568" s="9"/>
    </row>
    <row r="569">
      <c r="A569" s="9"/>
      <c r="B569" s="9"/>
      <c r="C569" s="9"/>
      <c r="D569" s="9"/>
      <c r="E569" s="9"/>
      <c r="F569" s="9"/>
      <c r="G569" s="59"/>
      <c r="H569" s="9"/>
    </row>
    <row r="570">
      <c r="A570" s="9"/>
      <c r="B570" s="9"/>
      <c r="C570" s="9"/>
      <c r="D570" s="9"/>
      <c r="E570" s="9"/>
      <c r="F570" s="9"/>
      <c r="G570" s="59"/>
      <c r="H570" s="9"/>
    </row>
    <row r="571">
      <c r="A571" s="9"/>
      <c r="B571" s="9"/>
      <c r="C571" s="9"/>
      <c r="D571" s="9"/>
      <c r="E571" s="9"/>
      <c r="F571" s="9"/>
      <c r="G571" s="59"/>
      <c r="H571" s="9"/>
    </row>
    <row r="572">
      <c r="A572" s="9"/>
      <c r="B572" s="9"/>
      <c r="C572" s="9"/>
      <c r="D572" s="9"/>
      <c r="E572" s="9"/>
      <c r="F572" s="9"/>
      <c r="G572" s="59"/>
      <c r="H572" s="9"/>
    </row>
    <row r="573">
      <c r="A573" s="9"/>
      <c r="B573" s="9"/>
      <c r="C573" s="9"/>
      <c r="D573" s="9"/>
      <c r="E573" s="9"/>
      <c r="F573" s="9"/>
      <c r="G573" s="59"/>
      <c r="H573" s="9"/>
    </row>
    <row r="574">
      <c r="A574" s="9"/>
      <c r="B574" s="9"/>
      <c r="C574" s="9"/>
      <c r="D574" s="9"/>
      <c r="E574" s="9"/>
      <c r="F574" s="9"/>
      <c r="G574" s="59"/>
      <c r="H574" s="9"/>
    </row>
    <row r="575">
      <c r="A575" s="9"/>
      <c r="B575" s="9"/>
      <c r="C575" s="9"/>
      <c r="D575" s="9"/>
      <c r="E575" s="9"/>
      <c r="F575" s="9"/>
      <c r="G575" s="59"/>
      <c r="H575" s="9"/>
    </row>
    <row r="576">
      <c r="A576" s="9"/>
      <c r="B576" s="9"/>
      <c r="C576" s="9"/>
      <c r="D576" s="9"/>
      <c r="E576" s="9"/>
      <c r="F576" s="9"/>
      <c r="G576" s="59"/>
      <c r="H576" s="9"/>
    </row>
    <row r="577">
      <c r="A577" s="9"/>
      <c r="B577" s="9"/>
      <c r="C577" s="9"/>
      <c r="D577" s="9"/>
      <c r="E577" s="9"/>
      <c r="F577" s="9"/>
      <c r="G577" s="59"/>
      <c r="H577" s="9"/>
    </row>
    <row r="578">
      <c r="A578" s="9"/>
      <c r="B578" s="9"/>
      <c r="C578" s="9"/>
      <c r="D578" s="9"/>
      <c r="E578" s="9"/>
      <c r="F578" s="9"/>
      <c r="G578" s="59"/>
      <c r="H578" s="9"/>
    </row>
    <row r="579">
      <c r="A579" s="9"/>
      <c r="B579" s="9"/>
      <c r="C579" s="9"/>
      <c r="D579" s="9"/>
      <c r="E579" s="9"/>
      <c r="F579" s="9"/>
      <c r="G579" s="59"/>
      <c r="H579" s="9"/>
    </row>
    <row r="580">
      <c r="A580" s="9"/>
      <c r="B580" s="9"/>
      <c r="C580" s="9"/>
      <c r="D580" s="9"/>
      <c r="E580" s="9"/>
      <c r="F580" s="9"/>
      <c r="G580" s="59"/>
      <c r="H580" s="9"/>
    </row>
    <row r="581">
      <c r="A581" s="9"/>
      <c r="B581" s="9"/>
      <c r="C581" s="9"/>
      <c r="D581" s="9"/>
      <c r="E581" s="9"/>
      <c r="F581" s="9"/>
      <c r="G581" s="59"/>
      <c r="H581" s="9"/>
    </row>
    <row r="582">
      <c r="A582" s="9"/>
      <c r="B582" s="9"/>
      <c r="C582" s="9"/>
      <c r="D582" s="9"/>
      <c r="E582" s="9"/>
      <c r="F582" s="9"/>
      <c r="G582" s="59"/>
      <c r="H582" s="9"/>
    </row>
    <row r="583">
      <c r="A583" s="9"/>
      <c r="B583" s="9"/>
      <c r="C583" s="9"/>
      <c r="D583" s="9"/>
      <c r="E583" s="9"/>
      <c r="F583" s="9"/>
      <c r="G583" s="59"/>
      <c r="H583" s="9"/>
    </row>
    <row r="584">
      <c r="A584" s="9"/>
      <c r="B584" s="9"/>
      <c r="C584" s="9"/>
      <c r="D584" s="9"/>
      <c r="E584" s="9"/>
      <c r="F584" s="9"/>
      <c r="G584" s="59"/>
      <c r="H584" s="9"/>
    </row>
    <row r="585">
      <c r="A585" s="9"/>
      <c r="B585" s="9"/>
      <c r="C585" s="9"/>
      <c r="D585" s="9"/>
      <c r="E585" s="9"/>
      <c r="F585" s="9"/>
      <c r="G585" s="59"/>
      <c r="H585" s="9"/>
    </row>
    <row r="586">
      <c r="A586" s="9"/>
      <c r="B586" s="9"/>
      <c r="C586" s="9"/>
      <c r="D586" s="9"/>
      <c r="E586" s="9"/>
      <c r="F586" s="9"/>
      <c r="G586" s="59"/>
      <c r="H586" s="9"/>
    </row>
    <row r="587">
      <c r="A587" s="9"/>
      <c r="B587" s="9"/>
      <c r="C587" s="9"/>
      <c r="D587" s="9"/>
      <c r="E587" s="9"/>
      <c r="F587" s="9"/>
      <c r="G587" s="59"/>
      <c r="H587" s="9"/>
    </row>
    <row r="588">
      <c r="A588" s="9"/>
      <c r="B588" s="9"/>
      <c r="C588" s="9"/>
      <c r="D588" s="9"/>
      <c r="E588" s="9"/>
      <c r="F588" s="9"/>
      <c r="G588" s="59"/>
      <c r="H588" s="9"/>
    </row>
    <row r="589">
      <c r="A589" s="9"/>
      <c r="B589" s="9"/>
      <c r="C589" s="9"/>
      <c r="D589" s="9"/>
      <c r="E589" s="9"/>
      <c r="F589" s="9"/>
      <c r="G589" s="59"/>
      <c r="H589" s="9"/>
    </row>
    <row r="590">
      <c r="A590" s="9"/>
      <c r="B590" s="9"/>
      <c r="C590" s="9"/>
      <c r="D590" s="9"/>
      <c r="E590" s="9"/>
      <c r="F590" s="9"/>
      <c r="G590" s="59"/>
      <c r="H590" s="9"/>
    </row>
    <row r="591">
      <c r="A591" s="9"/>
      <c r="B591" s="9"/>
      <c r="C591" s="9"/>
      <c r="D591" s="9"/>
      <c r="E591" s="9"/>
      <c r="F591" s="9"/>
      <c r="G591" s="59"/>
      <c r="H591" s="9"/>
    </row>
    <row r="592">
      <c r="A592" s="9"/>
      <c r="B592" s="9"/>
      <c r="C592" s="9"/>
      <c r="D592" s="9"/>
      <c r="E592" s="9"/>
      <c r="F592" s="9"/>
      <c r="G592" s="59"/>
      <c r="H592" s="9"/>
    </row>
    <row r="593">
      <c r="A593" s="9"/>
      <c r="B593" s="9"/>
      <c r="C593" s="9"/>
      <c r="D593" s="9"/>
      <c r="E593" s="9"/>
      <c r="F593" s="9"/>
      <c r="G593" s="59"/>
      <c r="H593" s="9"/>
    </row>
    <row r="594">
      <c r="A594" s="9"/>
      <c r="B594" s="9"/>
      <c r="C594" s="9"/>
      <c r="D594" s="9"/>
      <c r="E594" s="9"/>
      <c r="F594" s="9"/>
      <c r="G594" s="59"/>
      <c r="H594" s="9"/>
    </row>
    <row r="595">
      <c r="A595" s="9"/>
      <c r="B595" s="9"/>
      <c r="C595" s="9"/>
      <c r="D595" s="9"/>
      <c r="E595" s="9"/>
      <c r="F595" s="9"/>
      <c r="G595" s="59"/>
      <c r="H595" s="9"/>
    </row>
    <row r="596">
      <c r="A596" s="9"/>
      <c r="B596" s="9"/>
      <c r="C596" s="9"/>
      <c r="D596" s="9"/>
      <c r="E596" s="9"/>
      <c r="F596" s="9"/>
      <c r="G596" s="59"/>
      <c r="H596" s="9"/>
    </row>
    <row r="597">
      <c r="A597" s="9"/>
      <c r="B597" s="9"/>
      <c r="C597" s="9"/>
      <c r="D597" s="9"/>
      <c r="E597" s="9"/>
      <c r="F597" s="9"/>
      <c r="G597" s="59"/>
      <c r="H597" s="9"/>
    </row>
    <row r="598">
      <c r="A598" s="9"/>
      <c r="B598" s="9"/>
      <c r="C598" s="9"/>
      <c r="D598" s="9"/>
      <c r="E598" s="9"/>
      <c r="F598" s="9"/>
      <c r="G598" s="59"/>
      <c r="H598" s="9"/>
    </row>
    <row r="599">
      <c r="A599" s="9"/>
      <c r="B599" s="9"/>
      <c r="C599" s="9"/>
      <c r="D599" s="9"/>
      <c r="E599" s="9"/>
      <c r="F599" s="9"/>
      <c r="G599" s="59"/>
      <c r="H599" s="9"/>
    </row>
    <row r="600">
      <c r="A600" s="9"/>
      <c r="B600" s="9"/>
      <c r="C600" s="9"/>
      <c r="D600" s="9"/>
      <c r="E600" s="9"/>
      <c r="F600" s="9"/>
      <c r="G600" s="59"/>
      <c r="H600" s="9"/>
    </row>
    <row r="601">
      <c r="A601" s="9"/>
      <c r="B601" s="9"/>
      <c r="C601" s="9"/>
      <c r="D601" s="9"/>
      <c r="E601" s="9"/>
      <c r="F601" s="9"/>
      <c r="G601" s="59"/>
      <c r="H601" s="9"/>
    </row>
    <row r="602">
      <c r="A602" s="9"/>
      <c r="B602" s="9"/>
      <c r="C602" s="9"/>
      <c r="D602" s="9"/>
      <c r="E602" s="9"/>
      <c r="F602" s="9"/>
      <c r="G602" s="59"/>
      <c r="H602" s="9"/>
    </row>
    <row r="603">
      <c r="A603" s="9"/>
      <c r="B603" s="9"/>
      <c r="C603" s="9"/>
      <c r="D603" s="9"/>
      <c r="E603" s="9"/>
      <c r="F603" s="9"/>
      <c r="G603" s="59"/>
      <c r="H603" s="9"/>
    </row>
    <row r="604">
      <c r="A604" s="9"/>
      <c r="B604" s="9"/>
      <c r="C604" s="9"/>
      <c r="D604" s="9"/>
      <c r="E604" s="9"/>
      <c r="F604" s="9"/>
      <c r="G604" s="59"/>
      <c r="H604" s="9"/>
    </row>
    <row r="605">
      <c r="A605" s="9"/>
      <c r="B605" s="9"/>
      <c r="C605" s="9"/>
      <c r="D605" s="9"/>
      <c r="E605" s="9"/>
      <c r="F605" s="9"/>
      <c r="G605" s="59"/>
      <c r="H605" s="9"/>
    </row>
    <row r="606">
      <c r="A606" s="9"/>
      <c r="B606" s="9"/>
      <c r="C606" s="9"/>
      <c r="D606" s="9"/>
      <c r="E606" s="9"/>
      <c r="F606" s="9"/>
      <c r="G606" s="59"/>
      <c r="H606" s="9"/>
    </row>
    <row r="607">
      <c r="A607" s="9"/>
      <c r="B607" s="9"/>
      <c r="C607" s="9"/>
      <c r="D607" s="9"/>
      <c r="E607" s="9"/>
      <c r="F607" s="9"/>
      <c r="G607" s="59"/>
      <c r="H607" s="9"/>
    </row>
    <row r="608">
      <c r="A608" s="9"/>
      <c r="B608" s="9"/>
      <c r="C608" s="9"/>
      <c r="D608" s="9"/>
      <c r="E608" s="9"/>
      <c r="F608" s="9"/>
      <c r="G608" s="59"/>
      <c r="H608" s="9"/>
    </row>
    <row r="609">
      <c r="A609" s="9"/>
      <c r="B609" s="9"/>
      <c r="C609" s="9"/>
      <c r="D609" s="9"/>
      <c r="E609" s="9"/>
      <c r="F609" s="9"/>
      <c r="G609" s="59"/>
      <c r="H609" s="9"/>
    </row>
    <row r="610">
      <c r="A610" s="9"/>
      <c r="B610" s="9"/>
      <c r="C610" s="9"/>
      <c r="D610" s="9"/>
      <c r="E610" s="9"/>
      <c r="F610" s="9"/>
      <c r="G610" s="59"/>
      <c r="H610" s="9"/>
    </row>
    <row r="611">
      <c r="A611" s="9"/>
      <c r="B611" s="9"/>
      <c r="C611" s="9"/>
      <c r="D611" s="9"/>
      <c r="E611" s="9"/>
      <c r="F611" s="9"/>
      <c r="G611" s="59"/>
      <c r="H611" s="9"/>
    </row>
    <row r="612">
      <c r="A612" s="9"/>
      <c r="B612" s="9"/>
      <c r="C612" s="9"/>
      <c r="D612" s="9"/>
      <c r="E612" s="9"/>
      <c r="F612" s="9"/>
      <c r="G612" s="59"/>
      <c r="H612" s="9"/>
    </row>
    <row r="613">
      <c r="A613" s="9"/>
      <c r="B613" s="9"/>
      <c r="C613" s="9"/>
      <c r="D613" s="9"/>
      <c r="E613" s="9"/>
      <c r="F613" s="9"/>
      <c r="G613" s="59"/>
      <c r="H613" s="9"/>
    </row>
    <row r="614">
      <c r="A614" s="9"/>
      <c r="B614" s="9"/>
      <c r="C614" s="9"/>
      <c r="D614" s="9"/>
      <c r="E614" s="9"/>
      <c r="F614" s="9"/>
      <c r="G614" s="59"/>
      <c r="H614" s="9"/>
    </row>
    <row r="615">
      <c r="A615" s="9"/>
      <c r="B615" s="9"/>
      <c r="C615" s="9"/>
      <c r="D615" s="9"/>
      <c r="E615" s="9"/>
      <c r="F615" s="9"/>
      <c r="G615" s="59"/>
      <c r="H615" s="9"/>
    </row>
    <row r="616">
      <c r="A616" s="9"/>
      <c r="B616" s="9"/>
      <c r="C616" s="9"/>
      <c r="D616" s="9"/>
      <c r="E616" s="9"/>
      <c r="F616" s="9"/>
      <c r="G616" s="59"/>
      <c r="H616" s="9"/>
    </row>
    <row r="617">
      <c r="A617" s="9"/>
      <c r="B617" s="9"/>
      <c r="C617" s="9"/>
      <c r="D617" s="9"/>
      <c r="E617" s="9"/>
      <c r="F617" s="9"/>
      <c r="G617" s="59"/>
      <c r="H617" s="9"/>
    </row>
    <row r="618">
      <c r="A618" s="9"/>
      <c r="B618" s="9"/>
      <c r="C618" s="9"/>
      <c r="D618" s="9"/>
      <c r="E618" s="9"/>
      <c r="F618" s="9"/>
      <c r="G618" s="59"/>
      <c r="H618" s="9"/>
    </row>
    <row r="619">
      <c r="A619" s="9"/>
      <c r="B619" s="9"/>
      <c r="C619" s="9"/>
      <c r="D619" s="9"/>
      <c r="E619" s="9"/>
      <c r="F619" s="9"/>
      <c r="G619" s="59"/>
      <c r="H619" s="9"/>
    </row>
    <row r="620">
      <c r="A620" s="9"/>
      <c r="B620" s="9"/>
      <c r="C620" s="9"/>
      <c r="D620" s="9"/>
      <c r="E620" s="9"/>
      <c r="F620" s="9"/>
      <c r="G620" s="59"/>
      <c r="H620" s="9"/>
    </row>
    <row r="621">
      <c r="A621" s="9"/>
      <c r="B621" s="9"/>
      <c r="C621" s="9"/>
      <c r="D621" s="9"/>
      <c r="E621" s="9"/>
      <c r="F621" s="9"/>
      <c r="G621" s="59"/>
      <c r="H621" s="9"/>
    </row>
    <row r="622">
      <c r="A622" s="9"/>
      <c r="B622" s="9"/>
      <c r="C622" s="9"/>
      <c r="D622" s="9"/>
      <c r="E622" s="9"/>
      <c r="F622" s="9"/>
      <c r="G622" s="59"/>
      <c r="H622" s="9"/>
    </row>
    <row r="623">
      <c r="A623" s="9"/>
      <c r="B623" s="9"/>
      <c r="C623" s="9"/>
      <c r="D623" s="9"/>
      <c r="E623" s="9"/>
      <c r="F623" s="9"/>
      <c r="G623" s="59"/>
      <c r="H623" s="9"/>
    </row>
    <row r="624">
      <c r="A624" s="9"/>
      <c r="B624" s="9"/>
      <c r="C624" s="9"/>
      <c r="D624" s="9"/>
      <c r="E624" s="9"/>
      <c r="F624" s="9"/>
      <c r="G624" s="59"/>
      <c r="H624" s="9"/>
    </row>
    <row r="625">
      <c r="A625" s="9"/>
      <c r="B625" s="9"/>
      <c r="C625" s="9"/>
      <c r="D625" s="9"/>
      <c r="E625" s="9"/>
      <c r="F625" s="9"/>
      <c r="G625" s="59"/>
      <c r="H625" s="9"/>
    </row>
    <row r="626">
      <c r="A626" s="9"/>
      <c r="B626" s="9"/>
      <c r="C626" s="9"/>
      <c r="D626" s="9"/>
      <c r="E626" s="9"/>
      <c r="F626" s="9"/>
      <c r="G626" s="59"/>
      <c r="H626" s="9"/>
    </row>
    <row r="627">
      <c r="A627" s="9"/>
      <c r="B627" s="9"/>
      <c r="C627" s="9"/>
      <c r="D627" s="9"/>
      <c r="E627" s="9"/>
      <c r="F627" s="9"/>
      <c r="G627" s="59"/>
      <c r="H627" s="9"/>
    </row>
    <row r="628">
      <c r="A628" s="9"/>
      <c r="B628" s="9"/>
      <c r="C628" s="9"/>
      <c r="D628" s="9"/>
      <c r="E628" s="9"/>
      <c r="F628" s="9"/>
      <c r="G628" s="59"/>
      <c r="H628" s="9"/>
    </row>
    <row r="629">
      <c r="A629" s="9"/>
      <c r="B629" s="9"/>
      <c r="C629" s="9"/>
      <c r="D629" s="9"/>
      <c r="E629" s="9"/>
      <c r="F629" s="9"/>
      <c r="G629" s="59"/>
      <c r="H629" s="9"/>
    </row>
    <row r="630">
      <c r="A630" s="9"/>
      <c r="B630" s="9"/>
      <c r="C630" s="9"/>
      <c r="D630" s="9"/>
      <c r="E630" s="9"/>
      <c r="F630" s="9"/>
      <c r="G630" s="59"/>
      <c r="H630" s="9"/>
    </row>
    <row r="631">
      <c r="A631" s="9"/>
      <c r="B631" s="9"/>
      <c r="C631" s="9"/>
      <c r="D631" s="9"/>
      <c r="E631" s="9"/>
      <c r="F631" s="9"/>
      <c r="G631" s="59"/>
      <c r="H631" s="9"/>
    </row>
    <row r="632">
      <c r="A632" s="9"/>
      <c r="B632" s="9"/>
      <c r="C632" s="9"/>
      <c r="D632" s="9"/>
      <c r="E632" s="9"/>
      <c r="F632" s="9"/>
      <c r="G632" s="59"/>
      <c r="H632" s="9"/>
    </row>
    <row r="633">
      <c r="A633" s="9"/>
      <c r="B633" s="9"/>
      <c r="C633" s="9"/>
      <c r="D633" s="9"/>
      <c r="E633" s="9"/>
      <c r="F633" s="9"/>
      <c r="G633" s="59"/>
      <c r="H633" s="9"/>
    </row>
    <row r="634">
      <c r="A634" s="9"/>
      <c r="B634" s="9"/>
      <c r="C634" s="9"/>
      <c r="D634" s="9"/>
      <c r="E634" s="9"/>
      <c r="F634" s="9"/>
      <c r="G634" s="59"/>
      <c r="H634" s="9"/>
    </row>
    <row r="635">
      <c r="A635" s="9"/>
      <c r="B635" s="9"/>
      <c r="C635" s="9"/>
      <c r="D635" s="9"/>
      <c r="E635" s="9"/>
      <c r="F635" s="9"/>
      <c r="G635" s="59"/>
      <c r="H635" s="9"/>
    </row>
    <row r="636">
      <c r="A636" s="9"/>
      <c r="B636" s="9"/>
      <c r="C636" s="9"/>
      <c r="D636" s="9"/>
      <c r="E636" s="9"/>
      <c r="F636" s="9"/>
      <c r="G636" s="59"/>
      <c r="H636" s="9"/>
    </row>
    <row r="637">
      <c r="A637" s="9"/>
      <c r="B637" s="9"/>
      <c r="C637" s="9"/>
      <c r="D637" s="9"/>
      <c r="E637" s="9"/>
      <c r="F637" s="9"/>
      <c r="G637" s="59"/>
      <c r="H637" s="9"/>
    </row>
    <row r="638">
      <c r="A638" s="9"/>
      <c r="B638" s="9"/>
      <c r="C638" s="9"/>
      <c r="D638" s="9"/>
      <c r="E638" s="9"/>
      <c r="F638" s="9"/>
      <c r="G638" s="59"/>
      <c r="H638" s="9"/>
    </row>
    <row r="639">
      <c r="A639" s="9"/>
      <c r="B639" s="9"/>
      <c r="C639" s="9"/>
      <c r="D639" s="9"/>
      <c r="E639" s="9"/>
      <c r="F639" s="9"/>
      <c r="G639" s="59"/>
      <c r="H639" s="9"/>
    </row>
    <row r="640">
      <c r="A640" s="9"/>
      <c r="B640" s="9"/>
      <c r="C640" s="9"/>
      <c r="D640" s="9"/>
      <c r="E640" s="9"/>
      <c r="F640" s="9"/>
      <c r="G640" s="59"/>
      <c r="H640" s="9"/>
    </row>
    <row r="641">
      <c r="A641" s="9"/>
      <c r="B641" s="9"/>
      <c r="C641" s="9"/>
      <c r="D641" s="9"/>
      <c r="E641" s="9"/>
      <c r="F641" s="9"/>
      <c r="G641" s="59"/>
      <c r="H641" s="9"/>
    </row>
    <row r="642">
      <c r="A642" s="9"/>
      <c r="B642" s="9"/>
      <c r="C642" s="9"/>
      <c r="D642" s="9"/>
      <c r="E642" s="9"/>
      <c r="F642" s="9"/>
      <c r="G642" s="59"/>
      <c r="H642" s="9"/>
    </row>
    <row r="643">
      <c r="A643" s="9"/>
      <c r="B643" s="9"/>
      <c r="C643" s="9"/>
      <c r="D643" s="9"/>
      <c r="E643" s="9"/>
      <c r="F643" s="9"/>
      <c r="G643" s="59"/>
      <c r="H643" s="9"/>
    </row>
    <row r="644">
      <c r="A644" s="9"/>
      <c r="B644" s="9"/>
      <c r="C644" s="9"/>
      <c r="D644" s="9"/>
      <c r="E644" s="9"/>
      <c r="F644" s="9"/>
      <c r="G644" s="59"/>
      <c r="H644" s="9"/>
    </row>
    <row r="645">
      <c r="A645" s="9"/>
      <c r="B645" s="9"/>
      <c r="C645" s="9"/>
      <c r="D645" s="9"/>
      <c r="E645" s="9"/>
      <c r="F645" s="9"/>
      <c r="G645" s="59"/>
      <c r="H645" s="9"/>
    </row>
    <row r="646">
      <c r="A646" s="9"/>
      <c r="B646" s="9"/>
      <c r="C646" s="9"/>
      <c r="D646" s="9"/>
      <c r="E646" s="9"/>
      <c r="F646" s="9"/>
      <c r="G646" s="59"/>
      <c r="H646" s="9"/>
    </row>
    <row r="647">
      <c r="A647" s="9"/>
      <c r="B647" s="9"/>
      <c r="C647" s="9"/>
      <c r="D647" s="9"/>
      <c r="E647" s="9"/>
      <c r="F647" s="9"/>
      <c r="G647" s="59"/>
      <c r="H647" s="9"/>
    </row>
    <row r="648">
      <c r="A648" s="9"/>
      <c r="B648" s="9"/>
      <c r="C648" s="9"/>
      <c r="D648" s="9"/>
      <c r="E648" s="9"/>
      <c r="F648" s="9"/>
      <c r="G648" s="59"/>
      <c r="H648" s="9"/>
    </row>
    <row r="649">
      <c r="A649" s="9"/>
      <c r="B649" s="9"/>
      <c r="C649" s="9"/>
      <c r="D649" s="9"/>
      <c r="E649" s="9"/>
      <c r="F649" s="9"/>
      <c r="G649" s="59"/>
      <c r="H649" s="9"/>
    </row>
    <row r="650">
      <c r="A650" s="9"/>
      <c r="B650" s="9"/>
      <c r="C650" s="9"/>
      <c r="D650" s="9"/>
      <c r="E650" s="9"/>
      <c r="F650" s="9"/>
      <c r="G650" s="59"/>
      <c r="H650" s="9"/>
    </row>
    <row r="651">
      <c r="A651" s="9"/>
      <c r="B651" s="9"/>
      <c r="C651" s="9"/>
      <c r="D651" s="9"/>
      <c r="E651" s="9"/>
      <c r="F651" s="9"/>
      <c r="G651" s="59"/>
      <c r="H651" s="9"/>
    </row>
    <row r="652">
      <c r="A652" s="9"/>
      <c r="B652" s="9"/>
      <c r="C652" s="9"/>
      <c r="D652" s="9"/>
      <c r="E652" s="9"/>
      <c r="F652" s="9"/>
      <c r="G652" s="59"/>
      <c r="H652" s="9"/>
    </row>
    <row r="653">
      <c r="A653" s="9"/>
      <c r="B653" s="9"/>
      <c r="C653" s="9"/>
      <c r="D653" s="9"/>
      <c r="E653" s="9"/>
      <c r="F653" s="9"/>
      <c r="G653" s="59"/>
      <c r="H653" s="9"/>
    </row>
    <row r="654">
      <c r="A654" s="9"/>
      <c r="B654" s="9"/>
      <c r="C654" s="9"/>
      <c r="D654" s="9"/>
      <c r="E654" s="9"/>
      <c r="F654" s="9"/>
      <c r="G654" s="59"/>
      <c r="H654" s="9"/>
    </row>
    <row r="655">
      <c r="A655" s="9"/>
      <c r="B655" s="9"/>
      <c r="C655" s="9"/>
      <c r="D655" s="9"/>
      <c r="E655" s="9"/>
      <c r="F655" s="9"/>
      <c r="G655" s="59"/>
      <c r="H655" s="9"/>
    </row>
    <row r="656">
      <c r="A656" s="9"/>
      <c r="B656" s="9"/>
      <c r="C656" s="9"/>
      <c r="D656" s="9"/>
      <c r="E656" s="9"/>
      <c r="F656" s="9"/>
      <c r="G656" s="59"/>
      <c r="H656" s="9"/>
    </row>
    <row r="657">
      <c r="A657" s="9"/>
      <c r="B657" s="9"/>
      <c r="C657" s="9"/>
      <c r="D657" s="9"/>
      <c r="E657" s="9"/>
      <c r="F657" s="9"/>
      <c r="G657" s="59"/>
      <c r="H657" s="9"/>
    </row>
    <row r="658">
      <c r="A658" s="9"/>
      <c r="B658" s="9"/>
      <c r="C658" s="9"/>
      <c r="D658" s="9"/>
      <c r="E658" s="9"/>
      <c r="F658" s="9"/>
      <c r="G658" s="59"/>
      <c r="H658" s="9"/>
    </row>
    <row r="659">
      <c r="A659" s="9"/>
      <c r="B659" s="9"/>
      <c r="C659" s="9"/>
      <c r="D659" s="9"/>
      <c r="E659" s="9"/>
      <c r="F659" s="9"/>
      <c r="G659" s="59"/>
      <c r="H659" s="9"/>
    </row>
    <row r="660">
      <c r="A660" s="9"/>
      <c r="B660" s="9"/>
      <c r="C660" s="9"/>
      <c r="D660" s="9"/>
      <c r="E660" s="9"/>
      <c r="F660" s="9"/>
      <c r="G660" s="59"/>
      <c r="H660" s="9"/>
    </row>
    <row r="661">
      <c r="A661" s="9"/>
      <c r="B661" s="9"/>
      <c r="C661" s="9"/>
      <c r="D661" s="9"/>
      <c r="E661" s="9"/>
      <c r="F661" s="9"/>
      <c r="G661" s="59"/>
      <c r="H661" s="9"/>
    </row>
    <row r="662">
      <c r="A662" s="9"/>
      <c r="B662" s="9"/>
      <c r="C662" s="9"/>
      <c r="D662" s="9"/>
      <c r="E662" s="9"/>
      <c r="F662" s="9"/>
      <c r="G662" s="59"/>
      <c r="H662" s="9"/>
    </row>
    <row r="663">
      <c r="A663" s="9"/>
      <c r="B663" s="9"/>
      <c r="C663" s="9"/>
      <c r="D663" s="9"/>
      <c r="E663" s="9"/>
      <c r="F663" s="9"/>
      <c r="G663" s="59"/>
      <c r="H663" s="9"/>
    </row>
    <row r="664">
      <c r="A664" s="9"/>
      <c r="B664" s="9"/>
      <c r="C664" s="9"/>
      <c r="D664" s="9"/>
      <c r="E664" s="9"/>
      <c r="F664" s="9"/>
      <c r="G664" s="59"/>
      <c r="H664" s="9"/>
    </row>
    <row r="665">
      <c r="A665" s="9"/>
      <c r="B665" s="9"/>
      <c r="C665" s="9"/>
      <c r="D665" s="9"/>
      <c r="E665" s="9"/>
      <c r="F665" s="9"/>
      <c r="G665" s="59"/>
      <c r="H665" s="9"/>
    </row>
    <row r="666">
      <c r="A666" s="9"/>
      <c r="B666" s="9"/>
      <c r="C666" s="9"/>
      <c r="D666" s="9"/>
      <c r="E666" s="9"/>
      <c r="F666" s="9"/>
      <c r="G666" s="59"/>
      <c r="H666" s="9"/>
    </row>
    <row r="667">
      <c r="A667" s="9"/>
      <c r="B667" s="9"/>
      <c r="C667" s="9"/>
      <c r="D667" s="9"/>
      <c r="E667" s="9"/>
      <c r="F667" s="9"/>
      <c r="G667" s="59"/>
      <c r="H667" s="9"/>
    </row>
    <row r="668">
      <c r="A668" s="9"/>
      <c r="B668" s="9"/>
      <c r="C668" s="9"/>
      <c r="D668" s="9"/>
      <c r="E668" s="9"/>
      <c r="F668" s="9"/>
      <c r="G668" s="59"/>
      <c r="H668" s="9"/>
    </row>
    <row r="669">
      <c r="A669" s="9"/>
      <c r="B669" s="9"/>
      <c r="C669" s="9"/>
      <c r="D669" s="9"/>
      <c r="E669" s="9"/>
      <c r="F669" s="9"/>
      <c r="G669" s="59"/>
      <c r="H669" s="9"/>
    </row>
    <row r="670">
      <c r="A670" s="9"/>
      <c r="B670" s="9"/>
      <c r="C670" s="9"/>
      <c r="D670" s="9"/>
      <c r="E670" s="9"/>
      <c r="F670" s="9"/>
      <c r="G670" s="59"/>
      <c r="H670" s="9"/>
    </row>
    <row r="671">
      <c r="A671" s="9"/>
      <c r="B671" s="9"/>
      <c r="C671" s="9"/>
      <c r="D671" s="9"/>
      <c r="E671" s="9"/>
      <c r="F671" s="9"/>
      <c r="G671" s="59"/>
      <c r="H671" s="9"/>
    </row>
    <row r="672">
      <c r="A672" s="9"/>
      <c r="B672" s="9"/>
      <c r="C672" s="9"/>
      <c r="D672" s="9"/>
      <c r="E672" s="9"/>
      <c r="F672" s="9"/>
      <c r="G672" s="59"/>
      <c r="H672" s="9"/>
    </row>
    <row r="673">
      <c r="A673" s="9"/>
      <c r="B673" s="9"/>
      <c r="C673" s="9"/>
      <c r="D673" s="9"/>
      <c r="E673" s="9"/>
      <c r="F673" s="9"/>
      <c r="G673" s="59"/>
      <c r="H673" s="9"/>
    </row>
    <row r="674">
      <c r="A674" s="9"/>
      <c r="B674" s="9"/>
      <c r="C674" s="9"/>
      <c r="D674" s="9"/>
      <c r="E674" s="9"/>
      <c r="F674" s="9"/>
      <c r="G674" s="59"/>
      <c r="H674" s="9"/>
    </row>
    <row r="675">
      <c r="A675" s="9"/>
      <c r="B675" s="9"/>
      <c r="C675" s="9"/>
      <c r="D675" s="9"/>
      <c r="E675" s="9"/>
      <c r="F675" s="9"/>
      <c r="G675" s="59"/>
      <c r="H675" s="9"/>
    </row>
    <row r="676">
      <c r="A676" s="9"/>
      <c r="B676" s="9"/>
      <c r="C676" s="9"/>
      <c r="D676" s="9"/>
      <c r="E676" s="9"/>
      <c r="F676" s="9"/>
      <c r="G676" s="59"/>
      <c r="H676" s="9"/>
    </row>
    <row r="677">
      <c r="A677" s="9"/>
      <c r="B677" s="9"/>
      <c r="C677" s="9"/>
      <c r="D677" s="9"/>
      <c r="E677" s="9"/>
      <c r="F677" s="9"/>
      <c r="G677" s="59"/>
      <c r="H677" s="9"/>
    </row>
    <row r="678">
      <c r="A678" s="9"/>
      <c r="B678" s="9"/>
      <c r="C678" s="9"/>
      <c r="D678" s="9"/>
      <c r="E678" s="9"/>
      <c r="F678" s="9"/>
      <c r="G678" s="59"/>
      <c r="H678" s="9"/>
    </row>
    <row r="679">
      <c r="A679" s="9"/>
      <c r="B679" s="9"/>
      <c r="C679" s="9"/>
      <c r="D679" s="9"/>
      <c r="E679" s="9"/>
      <c r="F679" s="9"/>
      <c r="G679" s="59"/>
      <c r="H679" s="9"/>
    </row>
    <row r="680">
      <c r="A680" s="9"/>
      <c r="B680" s="9"/>
      <c r="C680" s="9"/>
      <c r="D680" s="9"/>
      <c r="E680" s="9"/>
      <c r="F680" s="9"/>
      <c r="G680" s="59"/>
      <c r="H680" s="9"/>
    </row>
    <row r="681">
      <c r="A681" s="9"/>
      <c r="B681" s="9"/>
      <c r="C681" s="9"/>
      <c r="D681" s="9"/>
      <c r="E681" s="9"/>
      <c r="F681" s="9"/>
      <c r="G681" s="59"/>
      <c r="H681" s="9"/>
    </row>
    <row r="682">
      <c r="A682" s="9"/>
      <c r="B682" s="9"/>
      <c r="C682" s="9"/>
      <c r="D682" s="9"/>
      <c r="E682" s="9"/>
      <c r="F682" s="9"/>
      <c r="G682" s="59"/>
      <c r="H682" s="9"/>
    </row>
    <row r="683">
      <c r="A683" s="9"/>
      <c r="B683" s="9"/>
      <c r="C683" s="9"/>
      <c r="D683" s="9"/>
      <c r="E683" s="9"/>
      <c r="F683" s="9"/>
      <c r="G683" s="59"/>
      <c r="H683" s="9"/>
    </row>
    <row r="684">
      <c r="A684" s="9"/>
      <c r="B684" s="9"/>
      <c r="C684" s="9"/>
      <c r="D684" s="9"/>
      <c r="E684" s="9"/>
      <c r="F684" s="9"/>
      <c r="G684" s="59"/>
      <c r="H684" s="9"/>
    </row>
    <row r="685">
      <c r="A685" s="9"/>
      <c r="B685" s="9"/>
      <c r="C685" s="9"/>
      <c r="D685" s="9"/>
      <c r="E685" s="9"/>
      <c r="F685" s="9"/>
      <c r="G685" s="59"/>
      <c r="H685" s="9"/>
    </row>
    <row r="686">
      <c r="A686" s="9"/>
      <c r="B686" s="9"/>
      <c r="C686" s="9"/>
      <c r="D686" s="9"/>
      <c r="E686" s="9"/>
      <c r="F686" s="9"/>
      <c r="G686" s="59"/>
      <c r="H686" s="9"/>
    </row>
    <row r="687">
      <c r="A687" s="9"/>
      <c r="B687" s="9"/>
      <c r="C687" s="9"/>
      <c r="D687" s="9"/>
      <c r="E687" s="9"/>
      <c r="F687" s="9"/>
      <c r="G687" s="59"/>
      <c r="H687" s="9"/>
    </row>
    <row r="688">
      <c r="A688" s="9"/>
      <c r="B688" s="9"/>
      <c r="C688" s="9"/>
      <c r="D688" s="9"/>
      <c r="E688" s="9"/>
      <c r="F688" s="9"/>
      <c r="G688" s="59"/>
      <c r="H688" s="9"/>
    </row>
    <row r="689">
      <c r="A689" s="9"/>
      <c r="B689" s="9"/>
      <c r="C689" s="9"/>
      <c r="D689" s="9"/>
      <c r="E689" s="9"/>
      <c r="F689" s="9"/>
      <c r="G689" s="59"/>
      <c r="H689" s="9"/>
    </row>
    <row r="690">
      <c r="A690" s="9"/>
      <c r="B690" s="9"/>
      <c r="C690" s="9"/>
      <c r="D690" s="9"/>
      <c r="E690" s="9"/>
      <c r="F690" s="9"/>
      <c r="G690" s="59"/>
      <c r="H690" s="9"/>
    </row>
    <row r="691">
      <c r="A691" s="9"/>
      <c r="B691" s="9"/>
      <c r="C691" s="9"/>
      <c r="D691" s="9"/>
      <c r="E691" s="9"/>
      <c r="F691" s="9"/>
      <c r="G691" s="59"/>
      <c r="H691" s="9"/>
    </row>
    <row r="692">
      <c r="A692" s="9"/>
      <c r="B692" s="9"/>
      <c r="C692" s="9"/>
      <c r="D692" s="9"/>
      <c r="E692" s="9"/>
      <c r="F692" s="9"/>
      <c r="G692" s="59"/>
      <c r="H692" s="9"/>
    </row>
    <row r="693">
      <c r="A693" s="9"/>
      <c r="B693" s="9"/>
      <c r="C693" s="9"/>
      <c r="D693" s="9"/>
      <c r="E693" s="9"/>
      <c r="F693" s="9"/>
      <c r="G693" s="59"/>
      <c r="H693" s="9"/>
    </row>
    <row r="694">
      <c r="A694" s="9"/>
      <c r="B694" s="9"/>
      <c r="C694" s="9"/>
      <c r="D694" s="9"/>
      <c r="E694" s="9"/>
      <c r="F694" s="9"/>
      <c r="G694" s="59"/>
      <c r="H694" s="9"/>
    </row>
    <row r="695">
      <c r="A695" s="9"/>
      <c r="B695" s="9"/>
      <c r="C695" s="9"/>
      <c r="D695" s="9"/>
      <c r="E695" s="9"/>
      <c r="F695" s="9"/>
      <c r="G695" s="59"/>
      <c r="H695" s="9"/>
    </row>
    <row r="696">
      <c r="A696" s="9"/>
      <c r="B696" s="9"/>
      <c r="C696" s="9"/>
      <c r="D696" s="9"/>
      <c r="E696" s="9"/>
      <c r="F696" s="9"/>
      <c r="G696" s="59"/>
      <c r="H696" s="9"/>
    </row>
    <row r="697">
      <c r="A697" s="9"/>
      <c r="B697" s="9"/>
      <c r="C697" s="9"/>
      <c r="D697" s="9"/>
      <c r="E697" s="9"/>
      <c r="F697" s="9"/>
      <c r="G697" s="59"/>
      <c r="H697" s="9"/>
    </row>
    <row r="698">
      <c r="A698" s="9"/>
      <c r="B698" s="9"/>
      <c r="C698" s="9"/>
      <c r="D698" s="9"/>
      <c r="E698" s="9"/>
      <c r="F698" s="9"/>
      <c r="G698" s="59"/>
      <c r="H698" s="9"/>
    </row>
    <row r="699">
      <c r="A699" s="9"/>
      <c r="B699" s="9"/>
      <c r="C699" s="9"/>
      <c r="D699" s="9"/>
      <c r="E699" s="9"/>
      <c r="F699" s="9"/>
      <c r="G699" s="59"/>
      <c r="H699" s="9"/>
    </row>
    <row r="700">
      <c r="A700" s="9"/>
      <c r="B700" s="9"/>
      <c r="C700" s="9"/>
      <c r="D700" s="9"/>
      <c r="E700" s="9"/>
      <c r="F700" s="9"/>
      <c r="G700" s="59"/>
      <c r="H700" s="9"/>
    </row>
    <row r="701">
      <c r="A701" s="9"/>
      <c r="B701" s="9"/>
      <c r="C701" s="9"/>
      <c r="D701" s="9"/>
      <c r="E701" s="9"/>
      <c r="F701" s="9"/>
      <c r="G701" s="59"/>
      <c r="H701" s="9"/>
    </row>
    <row r="702">
      <c r="A702" s="9"/>
      <c r="B702" s="9"/>
      <c r="C702" s="9"/>
      <c r="D702" s="9"/>
      <c r="E702" s="9"/>
      <c r="F702" s="9"/>
      <c r="G702" s="59"/>
      <c r="H702" s="9"/>
    </row>
    <row r="703">
      <c r="A703" s="9"/>
      <c r="B703" s="9"/>
      <c r="C703" s="9"/>
      <c r="D703" s="9"/>
      <c r="E703" s="9"/>
      <c r="F703" s="9"/>
      <c r="G703" s="59"/>
      <c r="H703" s="9"/>
    </row>
    <row r="704">
      <c r="A704" s="9"/>
      <c r="B704" s="9"/>
      <c r="C704" s="9"/>
      <c r="D704" s="9"/>
      <c r="E704" s="9"/>
      <c r="F704" s="9"/>
      <c r="G704" s="59"/>
      <c r="H704" s="9"/>
    </row>
    <row r="705">
      <c r="A705" s="9"/>
      <c r="B705" s="9"/>
      <c r="C705" s="9"/>
      <c r="D705" s="9"/>
      <c r="E705" s="9"/>
      <c r="F705" s="9"/>
      <c r="G705" s="59"/>
      <c r="H705" s="9"/>
    </row>
    <row r="706">
      <c r="A706" s="9"/>
      <c r="B706" s="9"/>
      <c r="C706" s="9"/>
      <c r="D706" s="9"/>
      <c r="E706" s="9"/>
      <c r="F706" s="9"/>
      <c r="G706" s="59"/>
      <c r="H706" s="9"/>
    </row>
    <row r="707">
      <c r="A707" s="9"/>
      <c r="B707" s="9"/>
      <c r="C707" s="9"/>
      <c r="D707" s="9"/>
      <c r="E707" s="9"/>
      <c r="F707" s="9"/>
      <c r="G707" s="59"/>
      <c r="H707" s="9"/>
    </row>
    <row r="708">
      <c r="A708" s="9"/>
      <c r="B708" s="9"/>
      <c r="C708" s="9"/>
      <c r="D708" s="9"/>
      <c r="E708" s="9"/>
      <c r="F708" s="9"/>
      <c r="G708" s="59"/>
      <c r="H708" s="9"/>
    </row>
    <row r="709">
      <c r="A709" s="9"/>
      <c r="B709" s="9"/>
      <c r="C709" s="9"/>
      <c r="D709" s="9"/>
      <c r="E709" s="9"/>
      <c r="F709" s="9"/>
      <c r="G709" s="59"/>
      <c r="H709" s="9"/>
    </row>
    <row r="710">
      <c r="A710" s="9"/>
      <c r="B710" s="9"/>
      <c r="C710" s="9"/>
      <c r="D710" s="9"/>
      <c r="E710" s="9"/>
      <c r="F710" s="9"/>
      <c r="G710" s="59"/>
      <c r="H710" s="9"/>
    </row>
    <row r="711">
      <c r="A711" s="9"/>
      <c r="B711" s="9"/>
      <c r="C711" s="9"/>
      <c r="D711" s="9"/>
      <c r="E711" s="9"/>
      <c r="F711" s="9"/>
      <c r="G711" s="59"/>
      <c r="H711" s="9"/>
    </row>
    <row r="712">
      <c r="A712" s="9"/>
      <c r="B712" s="9"/>
      <c r="C712" s="9"/>
      <c r="D712" s="9"/>
      <c r="E712" s="9"/>
      <c r="F712" s="9"/>
      <c r="G712" s="59"/>
      <c r="H712" s="9"/>
    </row>
    <row r="713">
      <c r="A713" s="9"/>
      <c r="B713" s="9"/>
      <c r="C713" s="9"/>
      <c r="D713" s="9"/>
      <c r="E713" s="9"/>
      <c r="F713" s="9"/>
      <c r="G713" s="59"/>
      <c r="H713" s="9"/>
    </row>
    <row r="714">
      <c r="A714" s="9"/>
      <c r="B714" s="9"/>
      <c r="C714" s="9"/>
      <c r="D714" s="9"/>
      <c r="E714" s="9"/>
      <c r="F714" s="9"/>
      <c r="G714" s="59"/>
      <c r="H714" s="9"/>
    </row>
    <row r="715">
      <c r="A715" s="9"/>
      <c r="B715" s="9"/>
      <c r="C715" s="9"/>
      <c r="D715" s="9"/>
      <c r="E715" s="9"/>
      <c r="F715" s="9"/>
      <c r="G715" s="59"/>
      <c r="H715" s="9"/>
    </row>
    <row r="716">
      <c r="A716" s="9"/>
      <c r="B716" s="9"/>
      <c r="C716" s="9"/>
      <c r="D716" s="9"/>
      <c r="E716" s="9"/>
      <c r="F716" s="9"/>
      <c r="G716" s="59"/>
      <c r="H716" s="9"/>
    </row>
    <row r="717">
      <c r="A717" s="9"/>
      <c r="B717" s="9"/>
      <c r="C717" s="9"/>
      <c r="D717" s="9"/>
      <c r="E717" s="9"/>
      <c r="F717" s="9"/>
      <c r="G717" s="59"/>
      <c r="H717" s="9"/>
    </row>
    <row r="718">
      <c r="A718" s="9"/>
      <c r="B718" s="9"/>
      <c r="C718" s="9"/>
      <c r="D718" s="9"/>
      <c r="E718" s="9"/>
      <c r="F718" s="9"/>
      <c r="G718" s="59"/>
      <c r="H718" s="9"/>
    </row>
    <row r="719">
      <c r="A719" s="9"/>
      <c r="B719" s="9"/>
      <c r="C719" s="9"/>
      <c r="D719" s="9"/>
      <c r="E719" s="9"/>
      <c r="F719" s="9"/>
      <c r="G719" s="59"/>
      <c r="H719" s="9"/>
    </row>
    <row r="720">
      <c r="A720" s="9"/>
      <c r="B720" s="9"/>
      <c r="C720" s="9"/>
      <c r="D720" s="9"/>
      <c r="E720" s="9"/>
      <c r="F720" s="9"/>
      <c r="G720" s="59"/>
      <c r="H720" s="9"/>
    </row>
    <row r="721">
      <c r="A721" s="9"/>
      <c r="B721" s="9"/>
      <c r="C721" s="9"/>
      <c r="D721" s="9"/>
      <c r="E721" s="9"/>
      <c r="F721" s="9"/>
      <c r="G721" s="59"/>
      <c r="H721" s="9"/>
    </row>
    <row r="722">
      <c r="A722" s="9"/>
      <c r="B722" s="9"/>
      <c r="C722" s="9"/>
      <c r="D722" s="9"/>
      <c r="E722" s="9"/>
      <c r="F722" s="9"/>
      <c r="G722" s="59"/>
      <c r="H722" s="9"/>
    </row>
    <row r="723">
      <c r="A723" s="9"/>
      <c r="B723" s="9"/>
      <c r="C723" s="9"/>
      <c r="D723" s="9"/>
      <c r="E723" s="9"/>
      <c r="F723" s="9"/>
      <c r="G723" s="59"/>
      <c r="H723" s="9"/>
    </row>
    <row r="724">
      <c r="A724" s="9"/>
      <c r="B724" s="9"/>
      <c r="C724" s="9"/>
      <c r="D724" s="9"/>
      <c r="E724" s="9"/>
      <c r="F724" s="9"/>
      <c r="G724" s="59"/>
      <c r="H724" s="9"/>
    </row>
    <row r="725">
      <c r="A725" s="9"/>
      <c r="B725" s="9"/>
      <c r="C725" s="9"/>
      <c r="D725" s="9"/>
      <c r="E725" s="9"/>
      <c r="F725" s="9"/>
      <c r="G725" s="59"/>
      <c r="H725" s="9"/>
    </row>
    <row r="726">
      <c r="A726" s="9"/>
      <c r="B726" s="9"/>
      <c r="C726" s="9"/>
      <c r="D726" s="9"/>
      <c r="E726" s="9"/>
      <c r="F726" s="9"/>
      <c r="G726" s="59"/>
      <c r="H726" s="9"/>
    </row>
    <row r="727">
      <c r="A727" s="9"/>
      <c r="B727" s="9"/>
      <c r="C727" s="9"/>
      <c r="D727" s="9"/>
      <c r="E727" s="9"/>
      <c r="F727" s="9"/>
      <c r="G727" s="59"/>
      <c r="H727" s="9"/>
    </row>
    <row r="728">
      <c r="A728" s="9"/>
      <c r="B728" s="9"/>
      <c r="C728" s="9"/>
      <c r="D728" s="9"/>
      <c r="E728" s="9"/>
      <c r="F728" s="9"/>
      <c r="G728" s="59"/>
      <c r="H728" s="9"/>
    </row>
    <row r="729">
      <c r="A729" s="9"/>
      <c r="B729" s="9"/>
      <c r="C729" s="9"/>
      <c r="D729" s="9"/>
      <c r="E729" s="9"/>
      <c r="F729" s="9"/>
      <c r="G729" s="59"/>
      <c r="H729" s="9"/>
    </row>
    <row r="730">
      <c r="A730" s="9"/>
      <c r="B730" s="9"/>
      <c r="C730" s="9"/>
      <c r="D730" s="9"/>
      <c r="E730" s="9"/>
      <c r="F730" s="9"/>
      <c r="G730" s="59"/>
      <c r="H730" s="9"/>
    </row>
    <row r="731">
      <c r="A731" s="9"/>
      <c r="B731" s="9"/>
      <c r="C731" s="9"/>
      <c r="D731" s="9"/>
      <c r="E731" s="9"/>
      <c r="F731" s="9"/>
      <c r="G731" s="59"/>
      <c r="H731" s="9"/>
    </row>
    <row r="732">
      <c r="A732" s="9"/>
      <c r="B732" s="9"/>
      <c r="C732" s="9"/>
      <c r="D732" s="9"/>
      <c r="E732" s="9"/>
      <c r="F732" s="9"/>
      <c r="G732" s="59"/>
      <c r="H732" s="9"/>
    </row>
    <row r="733">
      <c r="A733" s="9"/>
      <c r="B733" s="9"/>
      <c r="C733" s="9"/>
      <c r="D733" s="9"/>
      <c r="E733" s="9"/>
      <c r="F733" s="9"/>
      <c r="G733" s="59"/>
      <c r="H733" s="9"/>
    </row>
    <row r="734">
      <c r="A734" s="9"/>
      <c r="B734" s="9"/>
      <c r="C734" s="9"/>
      <c r="D734" s="9"/>
      <c r="E734" s="9"/>
      <c r="F734" s="9"/>
      <c r="G734" s="59"/>
      <c r="H734" s="9"/>
    </row>
    <row r="735">
      <c r="A735" s="9"/>
      <c r="B735" s="9"/>
      <c r="C735" s="9"/>
      <c r="D735" s="9"/>
      <c r="E735" s="9"/>
      <c r="F735" s="9"/>
      <c r="G735" s="59"/>
      <c r="H735" s="9"/>
    </row>
    <row r="736">
      <c r="A736" s="9"/>
      <c r="B736" s="9"/>
      <c r="C736" s="9"/>
      <c r="D736" s="9"/>
      <c r="E736" s="9"/>
      <c r="F736" s="9"/>
      <c r="G736" s="59"/>
      <c r="H736" s="9"/>
    </row>
    <row r="737">
      <c r="A737" s="9"/>
      <c r="B737" s="9"/>
      <c r="C737" s="9"/>
      <c r="D737" s="9"/>
      <c r="E737" s="9"/>
      <c r="F737" s="9"/>
      <c r="G737" s="59"/>
      <c r="H737" s="9"/>
    </row>
    <row r="738">
      <c r="A738" s="9"/>
      <c r="B738" s="9"/>
      <c r="C738" s="9"/>
      <c r="D738" s="9"/>
      <c r="E738" s="9"/>
      <c r="F738" s="9"/>
      <c r="G738" s="59"/>
      <c r="H738" s="9"/>
    </row>
    <row r="739">
      <c r="A739" s="9"/>
      <c r="B739" s="9"/>
      <c r="C739" s="9"/>
      <c r="D739" s="9"/>
      <c r="E739" s="9"/>
      <c r="F739" s="9"/>
      <c r="G739" s="59"/>
      <c r="H739" s="9"/>
    </row>
    <row r="740">
      <c r="A740" s="9"/>
      <c r="B740" s="9"/>
      <c r="C740" s="9"/>
      <c r="D740" s="9"/>
      <c r="E740" s="9"/>
      <c r="F740" s="9"/>
      <c r="G740" s="59"/>
      <c r="H740" s="9"/>
    </row>
    <row r="741">
      <c r="A741" s="9"/>
      <c r="B741" s="9"/>
      <c r="C741" s="9"/>
      <c r="D741" s="9"/>
      <c r="E741" s="9"/>
      <c r="F741" s="9"/>
      <c r="G741" s="59"/>
      <c r="H741" s="9"/>
    </row>
    <row r="742">
      <c r="A742" s="9"/>
      <c r="B742" s="9"/>
      <c r="C742" s="9"/>
      <c r="D742" s="9"/>
      <c r="E742" s="9"/>
      <c r="F742" s="9"/>
      <c r="G742" s="59"/>
      <c r="H742" s="9"/>
    </row>
    <row r="743">
      <c r="A743" s="9"/>
      <c r="B743" s="9"/>
      <c r="C743" s="9"/>
      <c r="D743" s="9"/>
      <c r="E743" s="9"/>
      <c r="F743" s="9"/>
      <c r="G743" s="59"/>
      <c r="H743" s="9"/>
    </row>
    <row r="744">
      <c r="A744" s="9"/>
      <c r="B744" s="9"/>
      <c r="C744" s="9"/>
      <c r="D744" s="9"/>
      <c r="E744" s="9"/>
      <c r="F744" s="9"/>
      <c r="G744" s="59"/>
      <c r="H744" s="9"/>
    </row>
    <row r="745">
      <c r="A745" s="9"/>
      <c r="B745" s="9"/>
      <c r="C745" s="9"/>
      <c r="D745" s="9"/>
      <c r="E745" s="9"/>
      <c r="F745" s="9"/>
      <c r="G745" s="59"/>
      <c r="H745" s="9"/>
    </row>
    <row r="746">
      <c r="A746" s="9"/>
      <c r="B746" s="9"/>
      <c r="C746" s="9"/>
      <c r="D746" s="9"/>
      <c r="E746" s="9"/>
      <c r="F746" s="9"/>
      <c r="G746" s="59"/>
      <c r="H746" s="9"/>
    </row>
    <row r="747">
      <c r="A747" s="9"/>
      <c r="B747" s="9"/>
      <c r="C747" s="9"/>
      <c r="D747" s="9"/>
      <c r="E747" s="9"/>
      <c r="F747" s="9"/>
      <c r="G747" s="59"/>
      <c r="H747" s="9"/>
    </row>
    <row r="748">
      <c r="A748" s="9"/>
      <c r="B748" s="9"/>
      <c r="C748" s="9"/>
      <c r="D748" s="9"/>
      <c r="E748" s="9"/>
      <c r="F748" s="9"/>
      <c r="G748" s="59"/>
      <c r="H748" s="9"/>
    </row>
    <row r="749">
      <c r="A749" s="9"/>
      <c r="B749" s="9"/>
      <c r="C749" s="9"/>
      <c r="D749" s="9"/>
      <c r="E749" s="9"/>
      <c r="F749" s="9"/>
      <c r="G749" s="59"/>
      <c r="H749" s="9"/>
    </row>
    <row r="750">
      <c r="A750" s="9"/>
      <c r="B750" s="9"/>
      <c r="C750" s="9"/>
      <c r="D750" s="9"/>
      <c r="E750" s="9"/>
      <c r="F750" s="9"/>
      <c r="G750" s="59"/>
      <c r="H750" s="9"/>
    </row>
    <row r="751">
      <c r="A751" s="9"/>
      <c r="B751" s="9"/>
      <c r="C751" s="9"/>
      <c r="D751" s="9"/>
      <c r="E751" s="9"/>
      <c r="F751" s="9"/>
      <c r="G751" s="59"/>
      <c r="H751" s="9"/>
    </row>
    <row r="752">
      <c r="A752" s="9"/>
      <c r="B752" s="9"/>
      <c r="C752" s="9"/>
      <c r="D752" s="9"/>
      <c r="E752" s="9"/>
      <c r="F752" s="9"/>
      <c r="G752" s="59"/>
      <c r="H752" s="9"/>
    </row>
    <row r="753">
      <c r="A753" s="9"/>
      <c r="B753" s="9"/>
      <c r="C753" s="9"/>
      <c r="D753" s="9"/>
      <c r="E753" s="9"/>
      <c r="F753" s="9"/>
      <c r="G753" s="59"/>
      <c r="H753" s="9"/>
    </row>
    <row r="754">
      <c r="A754" s="9"/>
      <c r="B754" s="9"/>
      <c r="C754" s="9"/>
      <c r="D754" s="9"/>
      <c r="E754" s="9"/>
      <c r="F754" s="9"/>
      <c r="G754" s="59"/>
      <c r="H754" s="9"/>
    </row>
    <row r="755">
      <c r="A755" s="9"/>
      <c r="B755" s="9"/>
      <c r="C755" s="9"/>
      <c r="D755" s="9"/>
      <c r="E755" s="9"/>
      <c r="F755" s="9"/>
      <c r="G755" s="59"/>
      <c r="H755" s="9"/>
    </row>
    <row r="756">
      <c r="A756" s="9"/>
      <c r="B756" s="9"/>
      <c r="C756" s="9"/>
      <c r="D756" s="9"/>
      <c r="E756" s="9"/>
      <c r="F756" s="9"/>
      <c r="G756" s="59"/>
      <c r="H756" s="9"/>
    </row>
    <row r="757">
      <c r="A757" s="9"/>
      <c r="B757" s="9"/>
      <c r="C757" s="9"/>
      <c r="D757" s="9"/>
      <c r="E757" s="9"/>
      <c r="F757" s="9"/>
      <c r="G757" s="59"/>
      <c r="H757" s="9"/>
    </row>
    <row r="758">
      <c r="A758" s="9"/>
      <c r="B758" s="9"/>
      <c r="C758" s="9"/>
      <c r="D758" s="9"/>
      <c r="E758" s="9"/>
      <c r="F758" s="9"/>
      <c r="G758" s="59"/>
      <c r="H758" s="9"/>
    </row>
    <row r="759">
      <c r="A759" s="9"/>
      <c r="B759" s="9"/>
      <c r="C759" s="9"/>
      <c r="D759" s="9"/>
      <c r="E759" s="9"/>
      <c r="F759" s="9"/>
      <c r="G759" s="59"/>
      <c r="H759" s="9"/>
    </row>
    <row r="760">
      <c r="A760" s="9"/>
      <c r="B760" s="9"/>
      <c r="C760" s="9"/>
      <c r="D760" s="9"/>
      <c r="E760" s="9"/>
      <c r="F760" s="9"/>
      <c r="G760" s="59"/>
      <c r="H760" s="9"/>
    </row>
    <row r="761">
      <c r="A761" s="9"/>
      <c r="B761" s="9"/>
      <c r="C761" s="9"/>
      <c r="D761" s="9"/>
      <c r="E761" s="9"/>
      <c r="F761" s="9"/>
      <c r="G761" s="59"/>
      <c r="H761" s="9"/>
    </row>
    <row r="762">
      <c r="A762" s="9"/>
      <c r="B762" s="9"/>
      <c r="C762" s="9"/>
      <c r="D762" s="9"/>
      <c r="E762" s="9"/>
      <c r="F762" s="9"/>
      <c r="G762" s="59"/>
      <c r="H762" s="9"/>
    </row>
    <row r="763">
      <c r="A763" s="9"/>
      <c r="B763" s="9"/>
      <c r="C763" s="9"/>
      <c r="D763" s="9"/>
      <c r="E763" s="9"/>
      <c r="F763" s="9"/>
      <c r="G763" s="59"/>
      <c r="H763" s="9"/>
    </row>
    <row r="764">
      <c r="A764" s="9"/>
      <c r="B764" s="9"/>
      <c r="C764" s="9"/>
      <c r="D764" s="9"/>
      <c r="E764" s="9"/>
      <c r="F764" s="9"/>
      <c r="G764" s="59"/>
      <c r="H764" s="9"/>
    </row>
    <row r="765">
      <c r="A765" s="9"/>
      <c r="B765" s="9"/>
      <c r="C765" s="9"/>
      <c r="D765" s="9"/>
      <c r="E765" s="9"/>
      <c r="F765" s="9"/>
      <c r="G765" s="59"/>
      <c r="H765" s="9"/>
    </row>
    <row r="766">
      <c r="A766" s="9"/>
      <c r="B766" s="9"/>
      <c r="C766" s="9"/>
      <c r="D766" s="9"/>
      <c r="E766" s="9"/>
      <c r="F766" s="9"/>
      <c r="G766" s="59"/>
      <c r="H766" s="9"/>
    </row>
    <row r="767">
      <c r="A767" s="9"/>
      <c r="B767" s="9"/>
      <c r="C767" s="9"/>
      <c r="D767" s="9"/>
      <c r="E767" s="9"/>
      <c r="F767" s="9"/>
      <c r="G767" s="59"/>
      <c r="H767" s="9"/>
    </row>
    <row r="768">
      <c r="A768" s="9"/>
      <c r="B768" s="9"/>
      <c r="C768" s="9"/>
      <c r="D768" s="9"/>
      <c r="E768" s="9"/>
      <c r="F768" s="9"/>
      <c r="G768" s="59"/>
      <c r="H768" s="9"/>
    </row>
    <row r="769">
      <c r="A769" s="9"/>
      <c r="B769" s="9"/>
      <c r="C769" s="9"/>
      <c r="D769" s="9"/>
      <c r="E769" s="9"/>
      <c r="F769" s="9"/>
      <c r="G769" s="59"/>
      <c r="H769" s="9"/>
    </row>
    <row r="770">
      <c r="A770" s="9"/>
      <c r="B770" s="9"/>
      <c r="C770" s="9"/>
      <c r="D770" s="9"/>
      <c r="E770" s="9"/>
      <c r="F770" s="9"/>
      <c r="G770" s="59"/>
      <c r="H770" s="9"/>
    </row>
    <row r="771">
      <c r="A771" s="9"/>
      <c r="B771" s="9"/>
      <c r="C771" s="9"/>
      <c r="D771" s="9"/>
      <c r="E771" s="9"/>
      <c r="F771" s="9"/>
      <c r="G771" s="59"/>
      <c r="H771" s="9"/>
    </row>
    <row r="772">
      <c r="A772" s="9"/>
      <c r="B772" s="9"/>
      <c r="C772" s="9"/>
      <c r="D772" s="9"/>
      <c r="E772" s="9"/>
      <c r="F772" s="9"/>
      <c r="G772" s="59"/>
      <c r="H772" s="9"/>
    </row>
    <row r="773">
      <c r="A773" s="9"/>
      <c r="B773" s="9"/>
      <c r="C773" s="9"/>
      <c r="D773" s="9"/>
      <c r="E773" s="9"/>
      <c r="F773" s="9"/>
      <c r="G773" s="59"/>
      <c r="H773" s="9"/>
    </row>
    <row r="774">
      <c r="A774" s="9"/>
      <c r="B774" s="9"/>
      <c r="C774" s="9"/>
      <c r="D774" s="9"/>
      <c r="E774" s="9"/>
      <c r="F774" s="9"/>
      <c r="G774" s="59"/>
      <c r="H774" s="9"/>
    </row>
    <row r="775">
      <c r="A775" s="9"/>
      <c r="B775" s="9"/>
      <c r="C775" s="9"/>
      <c r="D775" s="9"/>
      <c r="E775" s="9"/>
      <c r="F775" s="9"/>
      <c r="G775" s="59"/>
      <c r="H775" s="9"/>
    </row>
    <row r="776">
      <c r="A776" s="9"/>
      <c r="B776" s="9"/>
      <c r="C776" s="9"/>
      <c r="D776" s="9"/>
      <c r="E776" s="9"/>
      <c r="F776" s="9"/>
      <c r="G776" s="59"/>
      <c r="H776" s="9"/>
    </row>
    <row r="777">
      <c r="A777" s="9"/>
      <c r="B777" s="9"/>
      <c r="C777" s="9"/>
      <c r="D777" s="9"/>
      <c r="E777" s="9"/>
      <c r="F777" s="9"/>
      <c r="G777" s="59"/>
      <c r="H777" s="9"/>
    </row>
    <row r="778">
      <c r="A778" s="9"/>
      <c r="B778" s="9"/>
      <c r="C778" s="9"/>
      <c r="D778" s="9"/>
      <c r="E778" s="9"/>
      <c r="F778" s="9"/>
      <c r="G778" s="59"/>
      <c r="H778" s="9"/>
    </row>
    <row r="779">
      <c r="A779" s="9"/>
      <c r="B779" s="9"/>
      <c r="C779" s="9"/>
      <c r="D779" s="9"/>
      <c r="E779" s="9"/>
      <c r="F779" s="9"/>
      <c r="G779" s="59"/>
      <c r="H779" s="9"/>
    </row>
    <row r="780">
      <c r="A780" s="9"/>
      <c r="B780" s="9"/>
      <c r="C780" s="9"/>
      <c r="D780" s="9"/>
      <c r="E780" s="9"/>
      <c r="F780" s="9"/>
      <c r="G780" s="59"/>
      <c r="H780" s="9"/>
    </row>
    <row r="781">
      <c r="A781" s="9"/>
      <c r="B781" s="9"/>
      <c r="C781" s="9"/>
      <c r="D781" s="9"/>
      <c r="E781" s="9"/>
      <c r="F781" s="9"/>
      <c r="G781" s="59"/>
      <c r="H781" s="9"/>
    </row>
    <row r="782">
      <c r="A782" s="9"/>
      <c r="B782" s="9"/>
      <c r="C782" s="9"/>
      <c r="D782" s="9"/>
      <c r="E782" s="9"/>
      <c r="F782" s="9"/>
      <c r="G782" s="59"/>
      <c r="H782" s="9"/>
    </row>
    <row r="783">
      <c r="A783" s="9"/>
      <c r="B783" s="9"/>
      <c r="C783" s="9"/>
      <c r="D783" s="9"/>
      <c r="E783" s="9"/>
      <c r="F783" s="9"/>
      <c r="G783" s="59"/>
      <c r="H783" s="9"/>
    </row>
    <row r="784">
      <c r="A784" s="9"/>
      <c r="B784" s="9"/>
      <c r="C784" s="9"/>
      <c r="D784" s="9"/>
      <c r="E784" s="9"/>
      <c r="F784" s="9"/>
      <c r="G784" s="59"/>
      <c r="H784" s="9"/>
    </row>
    <row r="785">
      <c r="A785" s="9"/>
      <c r="B785" s="9"/>
      <c r="C785" s="9"/>
      <c r="D785" s="9"/>
      <c r="E785" s="9"/>
      <c r="F785" s="9"/>
      <c r="G785" s="59"/>
      <c r="H785" s="9"/>
    </row>
    <row r="786">
      <c r="A786" s="9"/>
      <c r="B786" s="9"/>
      <c r="C786" s="9"/>
      <c r="D786" s="9"/>
      <c r="E786" s="9"/>
      <c r="F786" s="9"/>
      <c r="G786" s="59"/>
      <c r="H786" s="9"/>
    </row>
    <row r="787">
      <c r="A787" s="9"/>
      <c r="B787" s="9"/>
      <c r="C787" s="9"/>
      <c r="D787" s="9"/>
      <c r="E787" s="9"/>
      <c r="F787" s="9"/>
      <c r="G787" s="59"/>
      <c r="H787" s="9"/>
    </row>
    <row r="788">
      <c r="A788" s="9"/>
      <c r="B788" s="9"/>
      <c r="C788" s="9"/>
      <c r="D788" s="9"/>
      <c r="E788" s="9"/>
      <c r="F788" s="9"/>
      <c r="G788" s="59"/>
      <c r="H788" s="9"/>
    </row>
    <row r="789">
      <c r="A789" s="9"/>
      <c r="B789" s="9"/>
      <c r="C789" s="9"/>
      <c r="D789" s="9"/>
      <c r="E789" s="9"/>
      <c r="F789" s="9"/>
      <c r="G789" s="59"/>
      <c r="H789" s="9"/>
    </row>
    <row r="790">
      <c r="A790" s="9"/>
      <c r="B790" s="9"/>
      <c r="C790" s="9"/>
      <c r="D790" s="9"/>
      <c r="E790" s="9"/>
      <c r="F790" s="9"/>
      <c r="G790" s="59"/>
      <c r="H790" s="9"/>
    </row>
    <row r="791">
      <c r="A791" s="9"/>
      <c r="B791" s="9"/>
      <c r="C791" s="9"/>
      <c r="D791" s="9"/>
      <c r="E791" s="9"/>
      <c r="F791" s="9"/>
      <c r="G791" s="59"/>
      <c r="H791" s="9"/>
    </row>
    <row r="792">
      <c r="A792" s="9"/>
      <c r="B792" s="9"/>
      <c r="C792" s="9"/>
      <c r="D792" s="9"/>
      <c r="E792" s="9"/>
      <c r="F792" s="9"/>
      <c r="G792" s="59"/>
      <c r="H792" s="9"/>
    </row>
    <row r="793">
      <c r="A793" s="9"/>
      <c r="B793" s="9"/>
      <c r="C793" s="9"/>
      <c r="D793" s="9"/>
      <c r="E793" s="9"/>
      <c r="F793" s="9"/>
      <c r="G793" s="59"/>
      <c r="H793" s="9"/>
    </row>
    <row r="794">
      <c r="A794" s="9"/>
      <c r="B794" s="9"/>
      <c r="C794" s="9"/>
      <c r="D794" s="9"/>
      <c r="E794" s="9"/>
      <c r="F794" s="9"/>
      <c r="G794" s="59"/>
      <c r="H794" s="9"/>
    </row>
    <row r="795">
      <c r="A795" s="9"/>
      <c r="B795" s="9"/>
      <c r="C795" s="9"/>
      <c r="D795" s="9"/>
      <c r="E795" s="9"/>
      <c r="F795" s="9"/>
      <c r="G795" s="59"/>
      <c r="H795" s="9"/>
    </row>
    <row r="796">
      <c r="A796" s="9"/>
      <c r="B796" s="9"/>
      <c r="C796" s="9"/>
      <c r="D796" s="9"/>
      <c r="E796" s="9"/>
      <c r="F796" s="9"/>
      <c r="G796" s="59"/>
      <c r="H796" s="9"/>
    </row>
    <row r="797">
      <c r="A797" s="9"/>
      <c r="B797" s="9"/>
      <c r="C797" s="9"/>
      <c r="D797" s="9"/>
      <c r="E797" s="9"/>
      <c r="F797" s="9"/>
      <c r="G797" s="59"/>
      <c r="H797" s="9"/>
    </row>
    <row r="798">
      <c r="A798" s="9"/>
      <c r="B798" s="9"/>
      <c r="C798" s="9"/>
      <c r="D798" s="9"/>
      <c r="E798" s="9"/>
      <c r="F798" s="9"/>
      <c r="G798" s="59"/>
      <c r="H798" s="9"/>
    </row>
    <row r="799">
      <c r="A799" s="9"/>
      <c r="B799" s="9"/>
      <c r="C799" s="9"/>
      <c r="D799" s="9"/>
      <c r="E799" s="9"/>
      <c r="F799" s="9"/>
      <c r="G799" s="59"/>
      <c r="H799" s="9"/>
    </row>
    <row r="800">
      <c r="A800" s="9"/>
      <c r="B800" s="9"/>
      <c r="C800" s="9"/>
      <c r="D800" s="9"/>
      <c r="E800" s="9"/>
      <c r="F800" s="9"/>
      <c r="G800" s="59"/>
      <c r="H800" s="9"/>
    </row>
    <row r="801">
      <c r="A801" s="9"/>
      <c r="B801" s="9"/>
      <c r="C801" s="9"/>
      <c r="D801" s="9"/>
      <c r="E801" s="9"/>
      <c r="F801" s="9"/>
      <c r="G801" s="59"/>
      <c r="H801" s="9"/>
    </row>
    <row r="802">
      <c r="A802" s="9"/>
      <c r="B802" s="9"/>
      <c r="C802" s="9"/>
      <c r="D802" s="9"/>
      <c r="E802" s="9"/>
      <c r="F802" s="9"/>
      <c r="G802" s="59"/>
      <c r="H802" s="9"/>
    </row>
    <row r="803">
      <c r="A803" s="9"/>
      <c r="B803" s="9"/>
      <c r="C803" s="9"/>
      <c r="D803" s="9"/>
      <c r="E803" s="9"/>
      <c r="F803" s="9"/>
      <c r="G803" s="59"/>
      <c r="H803" s="9"/>
    </row>
    <row r="804">
      <c r="A804" s="9"/>
      <c r="B804" s="9"/>
      <c r="C804" s="9"/>
      <c r="D804" s="9"/>
      <c r="E804" s="9"/>
      <c r="F804" s="9"/>
      <c r="G804" s="59"/>
      <c r="H804" s="9"/>
    </row>
    <row r="805">
      <c r="A805" s="9"/>
      <c r="B805" s="9"/>
      <c r="C805" s="9"/>
      <c r="D805" s="9"/>
      <c r="E805" s="9"/>
      <c r="F805" s="9"/>
      <c r="G805" s="59"/>
      <c r="H805" s="9"/>
    </row>
    <row r="806">
      <c r="A806" s="9"/>
      <c r="B806" s="9"/>
      <c r="C806" s="9"/>
      <c r="D806" s="9"/>
      <c r="E806" s="9"/>
      <c r="F806" s="9"/>
      <c r="G806" s="59"/>
      <c r="H806" s="9"/>
    </row>
    <row r="807">
      <c r="A807" s="9"/>
      <c r="B807" s="9"/>
      <c r="C807" s="9"/>
      <c r="D807" s="9"/>
      <c r="E807" s="9"/>
      <c r="F807" s="9"/>
      <c r="G807" s="59"/>
      <c r="H807" s="9"/>
    </row>
    <row r="808">
      <c r="A808" s="9"/>
      <c r="B808" s="9"/>
      <c r="C808" s="9"/>
      <c r="D808" s="9"/>
      <c r="E808" s="9"/>
      <c r="F808" s="9"/>
      <c r="G808" s="59"/>
      <c r="H808" s="9"/>
    </row>
    <row r="809">
      <c r="A809" s="9"/>
      <c r="B809" s="9"/>
      <c r="C809" s="9"/>
      <c r="D809" s="9"/>
      <c r="E809" s="9"/>
      <c r="F809" s="9"/>
      <c r="G809" s="59"/>
      <c r="H809" s="9"/>
    </row>
    <row r="810">
      <c r="A810" s="9"/>
      <c r="B810" s="9"/>
      <c r="C810" s="9"/>
      <c r="D810" s="9"/>
      <c r="E810" s="9"/>
      <c r="F810" s="9"/>
      <c r="G810" s="59"/>
      <c r="H810" s="9"/>
    </row>
    <row r="811">
      <c r="A811" s="9"/>
      <c r="B811" s="9"/>
      <c r="C811" s="9"/>
      <c r="D811" s="9"/>
      <c r="E811" s="9"/>
      <c r="F811" s="9"/>
      <c r="G811" s="59"/>
      <c r="H811" s="9"/>
    </row>
    <row r="812">
      <c r="A812" s="9"/>
      <c r="B812" s="9"/>
      <c r="C812" s="9"/>
      <c r="D812" s="9"/>
      <c r="E812" s="9"/>
      <c r="F812" s="9"/>
      <c r="G812" s="59"/>
      <c r="H812" s="9"/>
    </row>
    <row r="813">
      <c r="A813" s="9"/>
      <c r="B813" s="9"/>
      <c r="C813" s="9"/>
      <c r="D813" s="9"/>
      <c r="E813" s="9"/>
      <c r="F813" s="9"/>
      <c r="G813" s="59"/>
      <c r="H813" s="9"/>
    </row>
    <row r="814">
      <c r="A814" s="9"/>
      <c r="B814" s="9"/>
      <c r="C814" s="9"/>
      <c r="D814" s="9"/>
      <c r="E814" s="9"/>
      <c r="F814" s="9"/>
      <c r="G814" s="59"/>
      <c r="H814" s="9"/>
    </row>
    <row r="815">
      <c r="A815" s="9"/>
      <c r="B815" s="9"/>
      <c r="C815" s="9"/>
      <c r="D815" s="9"/>
      <c r="E815" s="9"/>
      <c r="F815" s="9"/>
      <c r="G815" s="59"/>
      <c r="H815" s="9"/>
    </row>
    <row r="816">
      <c r="A816" s="9"/>
      <c r="B816" s="9"/>
      <c r="C816" s="9"/>
      <c r="D816" s="9"/>
      <c r="E816" s="9"/>
      <c r="F816" s="9"/>
      <c r="G816" s="59"/>
      <c r="H816" s="9"/>
    </row>
    <row r="817">
      <c r="A817" s="9"/>
      <c r="B817" s="9"/>
      <c r="C817" s="9"/>
      <c r="D817" s="9"/>
      <c r="E817" s="9"/>
      <c r="F817" s="9"/>
      <c r="G817" s="59"/>
      <c r="H817" s="9"/>
    </row>
    <row r="818">
      <c r="A818" s="9"/>
      <c r="B818" s="9"/>
      <c r="C818" s="9"/>
      <c r="D818" s="9"/>
      <c r="E818" s="9"/>
      <c r="F818" s="9"/>
      <c r="G818" s="59"/>
      <c r="H818" s="9"/>
    </row>
    <row r="819">
      <c r="A819" s="9"/>
      <c r="B819" s="9"/>
      <c r="C819" s="9"/>
      <c r="D819" s="9"/>
      <c r="E819" s="9"/>
      <c r="F819" s="9"/>
      <c r="G819" s="59"/>
      <c r="H819" s="9"/>
    </row>
    <row r="820">
      <c r="A820" s="9"/>
      <c r="B820" s="9"/>
      <c r="C820" s="9"/>
      <c r="D820" s="9"/>
      <c r="E820" s="9"/>
      <c r="F820" s="9"/>
      <c r="G820" s="59"/>
      <c r="H820" s="9"/>
    </row>
    <row r="821">
      <c r="A821" s="9"/>
      <c r="B821" s="9"/>
      <c r="C821" s="9"/>
      <c r="D821" s="9"/>
      <c r="E821" s="9"/>
      <c r="F821" s="9"/>
      <c r="G821" s="59"/>
      <c r="H821" s="9"/>
    </row>
    <row r="822">
      <c r="A822" s="9"/>
      <c r="B822" s="9"/>
      <c r="C822" s="9"/>
      <c r="D822" s="9"/>
      <c r="E822" s="9"/>
      <c r="F822" s="9"/>
      <c r="G822" s="59"/>
      <c r="H822" s="9"/>
    </row>
    <row r="823">
      <c r="A823" s="9"/>
      <c r="B823" s="9"/>
      <c r="C823" s="9"/>
      <c r="D823" s="9"/>
      <c r="E823" s="9"/>
      <c r="F823" s="9"/>
      <c r="G823" s="59"/>
      <c r="H823" s="9"/>
    </row>
    <row r="824">
      <c r="A824" s="9"/>
      <c r="B824" s="9"/>
      <c r="C824" s="9"/>
      <c r="D824" s="9"/>
      <c r="E824" s="9"/>
      <c r="F824" s="9"/>
      <c r="G824" s="59"/>
      <c r="H824" s="9"/>
    </row>
    <row r="825">
      <c r="A825" s="9"/>
      <c r="B825" s="9"/>
      <c r="C825" s="9"/>
      <c r="D825" s="9"/>
      <c r="E825" s="9"/>
      <c r="F825" s="9"/>
      <c r="G825" s="59"/>
      <c r="H825" s="9"/>
    </row>
    <row r="826">
      <c r="A826" s="9"/>
      <c r="B826" s="9"/>
      <c r="C826" s="9"/>
      <c r="D826" s="9"/>
      <c r="E826" s="9"/>
      <c r="F826" s="9"/>
      <c r="G826" s="59"/>
      <c r="H826" s="9"/>
    </row>
    <row r="827">
      <c r="A827" s="9"/>
      <c r="B827" s="9"/>
      <c r="C827" s="9"/>
      <c r="D827" s="9"/>
      <c r="E827" s="9"/>
      <c r="F827" s="9"/>
      <c r="G827" s="59"/>
      <c r="H827" s="9"/>
    </row>
    <row r="828">
      <c r="A828" s="9"/>
      <c r="B828" s="9"/>
      <c r="C828" s="9"/>
      <c r="D828" s="9"/>
      <c r="E828" s="9"/>
      <c r="F828" s="9"/>
      <c r="G828" s="59"/>
      <c r="H828" s="9"/>
    </row>
    <row r="829">
      <c r="A829" s="9"/>
      <c r="B829" s="9"/>
      <c r="C829" s="9"/>
      <c r="D829" s="9"/>
      <c r="E829" s="9"/>
      <c r="F829" s="9"/>
      <c r="G829" s="59"/>
      <c r="H829" s="9"/>
    </row>
    <row r="830">
      <c r="A830" s="9"/>
      <c r="B830" s="9"/>
      <c r="C830" s="9"/>
      <c r="D830" s="9"/>
      <c r="E830" s="9"/>
      <c r="F830" s="9"/>
      <c r="G830" s="59"/>
      <c r="H830" s="9"/>
    </row>
    <row r="831">
      <c r="A831" s="9"/>
      <c r="B831" s="9"/>
      <c r="C831" s="9"/>
      <c r="D831" s="9"/>
      <c r="E831" s="9"/>
      <c r="F831" s="9"/>
      <c r="G831" s="59"/>
      <c r="H831" s="9"/>
    </row>
    <row r="832">
      <c r="A832" s="9"/>
      <c r="B832" s="9"/>
      <c r="C832" s="9"/>
      <c r="D832" s="9"/>
      <c r="E832" s="9"/>
      <c r="F832" s="9"/>
      <c r="G832" s="59"/>
      <c r="H832" s="9"/>
    </row>
    <row r="833">
      <c r="A833" s="9"/>
      <c r="B833" s="9"/>
      <c r="C833" s="9"/>
      <c r="D833" s="9"/>
      <c r="E833" s="9"/>
      <c r="F833" s="9"/>
      <c r="G833" s="59"/>
      <c r="H833" s="9"/>
    </row>
    <row r="834">
      <c r="A834" s="9"/>
      <c r="B834" s="9"/>
      <c r="C834" s="9"/>
      <c r="D834" s="9"/>
      <c r="E834" s="9"/>
      <c r="F834" s="9"/>
      <c r="G834" s="59"/>
      <c r="H834" s="9"/>
    </row>
    <row r="835">
      <c r="A835" s="9"/>
      <c r="B835" s="9"/>
      <c r="C835" s="9"/>
      <c r="D835" s="9"/>
      <c r="E835" s="9"/>
      <c r="F835" s="9"/>
      <c r="G835" s="59"/>
      <c r="H835" s="9"/>
    </row>
    <row r="836">
      <c r="A836" s="9"/>
      <c r="B836" s="9"/>
      <c r="C836" s="9"/>
      <c r="D836" s="9"/>
      <c r="E836" s="9"/>
      <c r="F836" s="9"/>
      <c r="G836" s="59"/>
      <c r="H836" s="9"/>
    </row>
    <row r="837">
      <c r="A837" s="9"/>
      <c r="B837" s="9"/>
      <c r="C837" s="9"/>
      <c r="D837" s="9"/>
      <c r="E837" s="9"/>
      <c r="F837" s="9"/>
      <c r="G837" s="59"/>
      <c r="H837" s="9"/>
    </row>
    <row r="838">
      <c r="A838" s="9"/>
      <c r="B838" s="9"/>
      <c r="C838" s="9"/>
      <c r="D838" s="9"/>
      <c r="E838" s="9"/>
      <c r="F838" s="9"/>
      <c r="G838" s="59"/>
      <c r="H838" s="9"/>
    </row>
    <row r="839">
      <c r="A839" s="9"/>
      <c r="B839" s="9"/>
      <c r="C839" s="9"/>
      <c r="D839" s="9"/>
      <c r="E839" s="9"/>
      <c r="F839" s="9"/>
      <c r="G839" s="59"/>
      <c r="H839" s="9"/>
    </row>
    <row r="840">
      <c r="A840" s="9"/>
      <c r="B840" s="9"/>
      <c r="C840" s="9"/>
      <c r="D840" s="9"/>
      <c r="E840" s="9"/>
      <c r="F840" s="9"/>
      <c r="G840" s="59"/>
      <c r="H840" s="9"/>
    </row>
    <row r="841">
      <c r="A841" s="9"/>
      <c r="B841" s="9"/>
      <c r="C841" s="9"/>
      <c r="D841" s="9"/>
      <c r="E841" s="9"/>
      <c r="F841" s="9"/>
      <c r="G841" s="59"/>
      <c r="H841" s="9"/>
    </row>
    <row r="842">
      <c r="A842" s="9"/>
      <c r="B842" s="9"/>
      <c r="C842" s="9"/>
      <c r="D842" s="9"/>
      <c r="E842" s="9"/>
      <c r="F842" s="9"/>
      <c r="G842" s="59"/>
      <c r="H842" s="9"/>
    </row>
    <row r="843">
      <c r="A843" s="9"/>
      <c r="B843" s="9"/>
      <c r="C843" s="9"/>
      <c r="D843" s="9"/>
      <c r="E843" s="9"/>
      <c r="F843" s="9"/>
      <c r="G843" s="59"/>
      <c r="H843" s="9"/>
    </row>
    <row r="844">
      <c r="A844" s="9"/>
      <c r="B844" s="9"/>
      <c r="C844" s="9"/>
      <c r="D844" s="9"/>
      <c r="E844" s="9"/>
      <c r="F844" s="9"/>
      <c r="G844" s="59"/>
      <c r="H844" s="9"/>
    </row>
    <row r="845">
      <c r="A845" s="9"/>
      <c r="B845" s="9"/>
      <c r="C845" s="9"/>
      <c r="D845" s="9"/>
      <c r="E845" s="9"/>
      <c r="F845" s="9"/>
      <c r="G845" s="59"/>
      <c r="H845" s="9"/>
    </row>
    <row r="846">
      <c r="A846" s="9"/>
      <c r="B846" s="9"/>
      <c r="C846" s="9"/>
      <c r="D846" s="9"/>
      <c r="E846" s="9"/>
      <c r="F846" s="9"/>
      <c r="G846" s="59"/>
      <c r="H846" s="9"/>
    </row>
    <row r="847">
      <c r="A847" s="9"/>
      <c r="B847" s="9"/>
      <c r="C847" s="9"/>
      <c r="D847" s="9"/>
      <c r="E847" s="9"/>
      <c r="F847" s="9"/>
      <c r="G847" s="59"/>
      <c r="H847" s="9"/>
    </row>
    <row r="848">
      <c r="A848" s="9"/>
      <c r="B848" s="9"/>
      <c r="C848" s="9"/>
      <c r="D848" s="9"/>
      <c r="E848" s="9"/>
      <c r="F848" s="9"/>
      <c r="G848" s="59"/>
      <c r="H848" s="9"/>
    </row>
    <row r="849">
      <c r="A849" s="9"/>
      <c r="B849" s="9"/>
      <c r="C849" s="9"/>
      <c r="D849" s="9"/>
      <c r="E849" s="9"/>
      <c r="F849" s="9"/>
      <c r="G849" s="59"/>
      <c r="H849" s="9"/>
    </row>
    <row r="850">
      <c r="A850" s="9"/>
      <c r="B850" s="9"/>
      <c r="C850" s="9"/>
      <c r="D850" s="9"/>
      <c r="E850" s="9"/>
      <c r="F850" s="9"/>
      <c r="G850" s="59"/>
      <c r="H850" s="9"/>
    </row>
    <row r="851">
      <c r="A851" s="9"/>
      <c r="B851" s="9"/>
      <c r="C851" s="9"/>
      <c r="D851" s="9"/>
      <c r="E851" s="9"/>
      <c r="F851" s="9"/>
      <c r="G851" s="59"/>
      <c r="H851" s="9"/>
    </row>
    <row r="852">
      <c r="A852" s="9"/>
      <c r="B852" s="9"/>
      <c r="C852" s="9"/>
      <c r="D852" s="9"/>
      <c r="E852" s="9"/>
      <c r="F852" s="9"/>
      <c r="G852" s="59"/>
      <c r="H852" s="9"/>
    </row>
    <row r="853">
      <c r="A853" s="9"/>
      <c r="B853" s="9"/>
      <c r="C853" s="9"/>
      <c r="D853" s="9"/>
      <c r="E853" s="9"/>
      <c r="F853" s="9"/>
      <c r="G853" s="59"/>
      <c r="H853" s="9"/>
    </row>
    <row r="854">
      <c r="A854" s="9"/>
      <c r="B854" s="9"/>
      <c r="C854" s="9"/>
      <c r="D854" s="9"/>
      <c r="E854" s="9"/>
      <c r="F854" s="9"/>
      <c r="G854" s="59"/>
      <c r="H854" s="9"/>
    </row>
    <row r="855">
      <c r="A855" s="9"/>
      <c r="B855" s="9"/>
      <c r="C855" s="9"/>
      <c r="D855" s="9"/>
      <c r="E855" s="9"/>
      <c r="F855" s="9"/>
      <c r="G855" s="59"/>
      <c r="H855" s="9"/>
    </row>
    <row r="856">
      <c r="A856" s="9"/>
      <c r="B856" s="9"/>
      <c r="C856" s="9"/>
      <c r="D856" s="9"/>
      <c r="E856" s="9"/>
      <c r="F856" s="9"/>
      <c r="G856" s="59"/>
      <c r="H856" s="9"/>
    </row>
    <row r="857">
      <c r="A857" s="9"/>
      <c r="B857" s="9"/>
      <c r="C857" s="9"/>
      <c r="D857" s="9"/>
      <c r="E857" s="9"/>
      <c r="F857" s="9"/>
      <c r="G857" s="59"/>
      <c r="H857" s="9"/>
    </row>
    <row r="858">
      <c r="A858" s="9"/>
      <c r="B858" s="9"/>
      <c r="C858" s="9"/>
      <c r="D858" s="9"/>
      <c r="E858" s="9"/>
      <c r="F858" s="9"/>
      <c r="G858" s="59"/>
      <c r="H858" s="9"/>
    </row>
    <row r="859">
      <c r="A859" s="9"/>
      <c r="B859" s="9"/>
      <c r="C859" s="9"/>
      <c r="D859" s="9"/>
      <c r="E859" s="9"/>
      <c r="F859" s="9"/>
      <c r="G859" s="59"/>
      <c r="H859" s="9"/>
    </row>
    <row r="860">
      <c r="A860" s="9"/>
      <c r="B860" s="9"/>
      <c r="C860" s="9"/>
      <c r="D860" s="9"/>
      <c r="E860" s="9"/>
      <c r="F860" s="9"/>
      <c r="G860" s="59"/>
      <c r="H860" s="9"/>
    </row>
    <row r="861">
      <c r="A861" s="9"/>
      <c r="B861" s="9"/>
      <c r="C861" s="9"/>
      <c r="D861" s="9"/>
      <c r="E861" s="9"/>
      <c r="F861" s="9"/>
      <c r="G861" s="59"/>
      <c r="H861" s="9"/>
    </row>
    <row r="862">
      <c r="A862" s="9"/>
      <c r="B862" s="9"/>
      <c r="C862" s="9"/>
      <c r="D862" s="9"/>
      <c r="E862" s="9"/>
      <c r="F862" s="9"/>
      <c r="G862" s="59"/>
      <c r="H862" s="9"/>
    </row>
    <row r="863">
      <c r="A863" s="9"/>
      <c r="B863" s="9"/>
      <c r="C863" s="9"/>
      <c r="D863" s="9"/>
      <c r="E863" s="9"/>
      <c r="F863" s="9"/>
      <c r="G863" s="59"/>
      <c r="H863" s="9"/>
    </row>
    <row r="864">
      <c r="A864" s="9"/>
      <c r="B864" s="9"/>
      <c r="C864" s="9"/>
      <c r="D864" s="9"/>
      <c r="E864" s="9"/>
      <c r="F864" s="9"/>
      <c r="G864" s="59"/>
      <c r="H864" s="9"/>
    </row>
    <row r="865">
      <c r="A865" s="9"/>
      <c r="B865" s="9"/>
      <c r="C865" s="9"/>
      <c r="D865" s="9"/>
      <c r="E865" s="9"/>
      <c r="F865" s="9"/>
      <c r="G865" s="59"/>
      <c r="H865" s="9"/>
    </row>
    <row r="866">
      <c r="A866" s="9"/>
      <c r="B866" s="9"/>
      <c r="C866" s="9"/>
      <c r="D866" s="9"/>
      <c r="E866" s="9"/>
      <c r="F866" s="9"/>
      <c r="G866" s="59"/>
      <c r="H866" s="9"/>
    </row>
    <row r="867">
      <c r="A867" s="9"/>
      <c r="B867" s="9"/>
      <c r="C867" s="9"/>
      <c r="D867" s="9"/>
      <c r="E867" s="9"/>
      <c r="F867" s="9"/>
      <c r="G867" s="59"/>
      <c r="H867" s="9"/>
    </row>
    <row r="868">
      <c r="A868" s="9"/>
      <c r="B868" s="9"/>
      <c r="C868" s="9"/>
      <c r="D868" s="9"/>
      <c r="E868" s="9"/>
      <c r="F868" s="9"/>
      <c r="G868" s="59"/>
      <c r="H868" s="9"/>
    </row>
    <row r="869">
      <c r="A869" s="9"/>
      <c r="B869" s="9"/>
      <c r="C869" s="9"/>
      <c r="D869" s="9"/>
      <c r="E869" s="9"/>
      <c r="F869" s="9"/>
      <c r="G869" s="59"/>
      <c r="H869" s="9"/>
    </row>
    <row r="870">
      <c r="A870" s="9"/>
      <c r="B870" s="9"/>
      <c r="C870" s="9"/>
      <c r="D870" s="9"/>
      <c r="E870" s="9"/>
      <c r="F870" s="9"/>
      <c r="G870" s="59"/>
      <c r="H870" s="9"/>
    </row>
    <row r="871">
      <c r="A871" s="9"/>
      <c r="B871" s="9"/>
      <c r="C871" s="9"/>
      <c r="D871" s="9"/>
      <c r="E871" s="9"/>
      <c r="F871" s="9"/>
      <c r="G871" s="59"/>
      <c r="H871" s="9"/>
    </row>
    <row r="872">
      <c r="A872" s="9"/>
      <c r="B872" s="9"/>
      <c r="C872" s="9"/>
      <c r="D872" s="9"/>
      <c r="E872" s="9"/>
      <c r="F872" s="9"/>
      <c r="G872" s="59"/>
      <c r="H872" s="9"/>
    </row>
    <row r="873">
      <c r="A873" s="9"/>
      <c r="B873" s="9"/>
      <c r="C873" s="9"/>
      <c r="D873" s="9"/>
      <c r="E873" s="9"/>
      <c r="F873" s="9"/>
      <c r="G873" s="59"/>
      <c r="H873" s="9"/>
    </row>
    <row r="874">
      <c r="A874" s="9"/>
      <c r="B874" s="9"/>
      <c r="C874" s="9"/>
      <c r="D874" s="9"/>
      <c r="E874" s="9"/>
      <c r="F874" s="9"/>
      <c r="G874" s="59"/>
      <c r="H874" s="9"/>
    </row>
    <row r="875">
      <c r="A875" s="9"/>
      <c r="B875" s="9"/>
      <c r="C875" s="9"/>
      <c r="D875" s="9"/>
      <c r="E875" s="9"/>
      <c r="F875" s="9"/>
      <c r="G875" s="59"/>
      <c r="H875" s="9"/>
    </row>
    <row r="876">
      <c r="A876" s="9"/>
      <c r="B876" s="9"/>
      <c r="C876" s="9"/>
      <c r="D876" s="9"/>
      <c r="E876" s="9"/>
      <c r="F876" s="9"/>
      <c r="G876" s="59"/>
      <c r="H876" s="9"/>
    </row>
    <row r="877">
      <c r="A877" s="9"/>
      <c r="B877" s="9"/>
      <c r="C877" s="9"/>
      <c r="D877" s="9"/>
      <c r="E877" s="9"/>
      <c r="F877" s="9"/>
      <c r="G877" s="59"/>
      <c r="H877" s="9"/>
    </row>
    <row r="878">
      <c r="A878" s="9"/>
      <c r="B878" s="9"/>
      <c r="C878" s="9"/>
      <c r="D878" s="9"/>
      <c r="E878" s="9"/>
      <c r="F878" s="9"/>
      <c r="G878" s="59"/>
      <c r="H878" s="9"/>
    </row>
    <row r="879">
      <c r="A879" s="9"/>
      <c r="B879" s="9"/>
      <c r="C879" s="9"/>
      <c r="D879" s="9"/>
      <c r="E879" s="9"/>
      <c r="F879" s="9"/>
      <c r="G879" s="59"/>
      <c r="H879" s="9"/>
    </row>
    <row r="880">
      <c r="A880" s="9"/>
      <c r="B880" s="9"/>
      <c r="C880" s="9"/>
      <c r="D880" s="9"/>
      <c r="E880" s="9"/>
      <c r="F880" s="9"/>
      <c r="G880" s="59"/>
      <c r="H880" s="9"/>
    </row>
    <row r="881">
      <c r="A881" s="9"/>
      <c r="B881" s="9"/>
      <c r="C881" s="9"/>
      <c r="D881" s="9"/>
      <c r="E881" s="9"/>
      <c r="F881" s="9"/>
      <c r="G881" s="59"/>
      <c r="H881" s="9"/>
    </row>
    <row r="882">
      <c r="A882" s="9"/>
      <c r="B882" s="9"/>
      <c r="C882" s="9"/>
      <c r="D882" s="9"/>
      <c r="E882" s="9"/>
      <c r="F882" s="9"/>
      <c r="G882" s="59"/>
      <c r="H882" s="9"/>
    </row>
    <row r="883">
      <c r="A883" s="9"/>
      <c r="B883" s="9"/>
      <c r="C883" s="9"/>
      <c r="D883" s="9"/>
      <c r="E883" s="9"/>
      <c r="F883" s="9"/>
      <c r="G883" s="59"/>
      <c r="H883" s="9"/>
    </row>
    <row r="884">
      <c r="A884" s="9"/>
      <c r="B884" s="9"/>
      <c r="C884" s="9"/>
      <c r="D884" s="9"/>
      <c r="E884" s="9"/>
      <c r="F884" s="9"/>
      <c r="G884" s="59"/>
      <c r="H884" s="9"/>
    </row>
    <row r="885">
      <c r="A885" s="9"/>
      <c r="B885" s="9"/>
      <c r="C885" s="9"/>
      <c r="D885" s="9"/>
      <c r="E885" s="9"/>
      <c r="F885" s="9"/>
      <c r="G885" s="59"/>
      <c r="H885" s="9"/>
    </row>
    <row r="886">
      <c r="A886" s="9"/>
      <c r="B886" s="9"/>
      <c r="C886" s="9"/>
      <c r="D886" s="9"/>
      <c r="E886" s="9"/>
      <c r="F886" s="9"/>
      <c r="G886" s="59"/>
      <c r="H886" s="9"/>
    </row>
    <row r="887">
      <c r="A887" s="9"/>
      <c r="B887" s="9"/>
      <c r="C887" s="9"/>
      <c r="D887" s="9"/>
      <c r="E887" s="9"/>
      <c r="F887" s="9"/>
      <c r="G887" s="59"/>
      <c r="H887" s="9"/>
    </row>
    <row r="888">
      <c r="A888" s="9"/>
      <c r="B888" s="9"/>
      <c r="C888" s="9"/>
      <c r="D888" s="9"/>
      <c r="E888" s="9"/>
      <c r="F888" s="9"/>
      <c r="G888" s="59"/>
      <c r="H888" s="9"/>
    </row>
    <row r="889">
      <c r="A889" s="9"/>
      <c r="B889" s="9"/>
      <c r="C889" s="9"/>
      <c r="D889" s="9"/>
      <c r="E889" s="9"/>
      <c r="F889" s="9"/>
      <c r="G889" s="59"/>
      <c r="H889" s="9"/>
    </row>
    <row r="890">
      <c r="A890" s="9"/>
      <c r="B890" s="9"/>
      <c r="C890" s="9"/>
      <c r="D890" s="9"/>
      <c r="E890" s="9"/>
      <c r="F890" s="9"/>
      <c r="G890" s="59"/>
      <c r="H890" s="9"/>
    </row>
    <row r="891">
      <c r="A891" s="9"/>
      <c r="B891" s="9"/>
      <c r="C891" s="9"/>
      <c r="D891" s="9"/>
      <c r="E891" s="9"/>
      <c r="F891" s="9"/>
      <c r="G891" s="59"/>
      <c r="H891" s="9"/>
    </row>
    <row r="892">
      <c r="A892" s="9"/>
      <c r="B892" s="9"/>
      <c r="C892" s="9"/>
      <c r="D892" s="9"/>
      <c r="E892" s="9"/>
      <c r="F892" s="9"/>
      <c r="G892" s="59"/>
      <c r="H892" s="9"/>
    </row>
    <row r="893">
      <c r="A893" s="9"/>
      <c r="B893" s="9"/>
      <c r="C893" s="9"/>
      <c r="D893" s="9"/>
      <c r="E893" s="9"/>
      <c r="F893" s="9"/>
      <c r="G893" s="59"/>
      <c r="H893" s="9"/>
    </row>
    <row r="894">
      <c r="A894" s="9"/>
      <c r="B894" s="9"/>
      <c r="C894" s="9"/>
      <c r="D894" s="9"/>
      <c r="E894" s="9"/>
      <c r="F894" s="9"/>
      <c r="G894" s="59"/>
      <c r="H894" s="9"/>
    </row>
    <row r="895">
      <c r="A895" s="9"/>
      <c r="B895" s="9"/>
      <c r="C895" s="9"/>
      <c r="D895" s="9"/>
      <c r="E895" s="9"/>
      <c r="F895" s="9"/>
      <c r="G895" s="59"/>
      <c r="H895" s="9"/>
    </row>
    <row r="896">
      <c r="A896" s="9"/>
      <c r="B896" s="9"/>
      <c r="C896" s="9"/>
      <c r="D896" s="9"/>
      <c r="E896" s="9"/>
      <c r="F896" s="9"/>
      <c r="G896" s="59"/>
      <c r="H896" s="9"/>
    </row>
    <row r="897">
      <c r="A897" s="9"/>
      <c r="B897" s="9"/>
      <c r="C897" s="9"/>
      <c r="D897" s="9"/>
      <c r="E897" s="9"/>
      <c r="F897" s="9"/>
      <c r="G897" s="59"/>
      <c r="H897" s="9"/>
    </row>
    <row r="898">
      <c r="A898" s="9"/>
      <c r="B898" s="9"/>
      <c r="C898" s="9"/>
      <c r="D898" s="9"/>
      <c r="E898" s="9"/>
      <c r="F898" s="9"/>
      <c r="G898" s="59"/>
      <c r="H898" s="9"/>
    </row>
    <row r="899">
      <c r="A899" s="9"/>
      <c r="B899" s="9"/>
      <c r="C899" s="9"/>
      <c r="D899" s="9"/>
      <c r="E899" s="9"/>
      <c r="F899" s="9"/>
      <c r="G899" s="59"/>
      <c r="H899" s="9"/>
    </row>
    <row r="900">
      <c r="A900" s="9"/>
      <c r="B900" s="9"/>
      <c r="C900" s="9"/>
      <c r="D900" s="9"/>
      <c r="E900" s="9"/>
      <c r="F900" s="9"/>
      <c r="G900" s="59"/>
      <c r="H900" s="9"/>
    </row>
    <row r="901">
      <c r="A901" s="9"/>
      <c r="B901" s="9"/>
      <c r="C901" s="9"/>
      <c r="D901" s="9"/>
      <c r="E901" s="9"/>
      <c r="F901" s="9"/>
      <c r="G901" s="59"/>
      <c r="H901" s="9"/>
    </row>
    <row r="902">
      <c r="A902" s="9"/>
      <c r="B902" s="9"/>
      <c r="C902" s="9"/>
      <c r="D902" s="9"/>
      <c r="E902" s="9"/>
      <c r="F902" s="9"/>
      <c r="G902" s="59"/>
      <c r="H902" s="9"/>
    </row>
    <row r="903">
      <c r="A903" s="9"/>
      <c r="B903" s="9"/>
      <c r="C903" s="9"/>
      <c r="D903" s="9"/>
      <c r="E903" s="9"/>
      <c r="F903" s="9"/>
      <c r="G903" s="59"/>
      <c r="H903" s="9"/>
    </row>
    <row r="904">
      <c r="A904" s="9"/>
      <c r="B904" s="9"/>
      <c r="C904" s="9"/>
      <c r="D904" s="9"/>
      <c r="E904" s="9"/>
      <c r="F904" s="9"/>
      <c r="G904" s="59"/>
      <c r="H904" s="9"/>
    </row>
    <row r="905">
      <c r="A905" s="9"/>
      <c r="B905" s="9"/>
      <c r="C905" s="9"/>
      <c r="D905" s="9"/>
      <c r="E905" s="9"/>
      <c r="F905" s="9"/>
      <c r="G905" s="59"/>
      <c r="H905" s="9"/>
    </row>
    <row r="906">
      <c r="A906" s="9"/>
      <c r="B906" s="9"/>
      <c r="C906" s="9"/>
      <c r="D906" s="9"/>
      <c r="E906" s="9"/>
      <c r="F906" s="9"/>
      <c r="G906" s="59"/>
      <c r="H906" s="9"/>
    </row>
    <row r="907">
      <c r="A907" s="9"/>
      <c r="B907" s="9"/>
      <c r="C907" s="9"/>
      <c r="D907" s="9"/>
      <c r="E907" s="9"/>
      <c r="F907" s="9"/>
      <c r="G907" s="59"/>
      <c r="H907" s="9"/>
    </row>
    <row r="908">
      <c r="A908" s="9"/>
      <c r="B908" s="9"/>
      <c r="C908" s="9"/>
      <c r="D908" s="9"/>
      <c r="E908" s="9"/>
      <c r="F908" s="9"/>
      <c r="G908" s="59"/>
      <c r="H908" s="9"/>
    </row>
    <row r="909">
      <c r="A909" s="9"/>
      <c r="B909" s="9"/>
      <c r="C909" s="9"/>
      <c r="D909" s="9"/>
      <c r="E909" s="9"/>
      <c r="F909" s="9"/>
      <c r="G909" s="59"/>
      <c r="H909" s="9"/>
    </row>
    <row r="910">
      <c r="A910" s="9"/>
      <c r="B910" s="9"/>
      <c r="C910" s="9"/>
      <c r="D910" s="9"/>
      <c r="E910" s="9"/>
      <c r="F910" s="9"/>
      <c r="G910" s="59"/>
      <c r="H910" s="9"/>
    </row>
    <row r="911">
      <c r="A911" s="9"/>
      <c r="B911" s="9"/>
      <c r="C911" s="9"/>
      <c r="D911" s="9"/>
      <c r="E911" s="9"/>
      <c r="F911" s="9"/>
      <c r="G911" s="59"/>
      <c r="H911" s="9"/>
    </row>
    <row r="912">
      <c r="A912" s="9"/>
      <c r="B912" s="9"/>
      <c r="C912" s="9"/>
      <c r="D912" s="9"/>
      <c r="E912" s="9"/>
      <c r="F912" s="9"/>
      <c r="G912" s="59"/>
      <c r="H912" s="9"/>
    </row>
    <row r="913">
      <c r="A913" s="9"/>
      <c r="B913" s="9"/>
      <c r="C913" s="9"/>
      <c r="D913" s="9"/>
      <c r="E913" s="9"/>
      <c r="F913" s="9"/>
      <c r="G913" s="59"/>
      <c r="H913" s="9"/>
    </row>
    <row r="914">
      <c r="A914" s="9"/>
      <c r="B914" s="9"/>
      <c r="C914" s="9"/>
      <c r="D914" s="9"/>
      <c r="E914" s="9"/>
      <c r="F914" s="9"/>
      <c r="G914" s="59"/>
      <c r="H914" s="9"/>
    </row>
    <row r="915">
      <c r="A915" s="9"/>
      <c r="B915" s="9"/>
      <c r="C915" s="9"/>
      <c r="D915" s="9"/>
      <c r="E915" s="9"/>
      <c r="F915" s="9"/>
      <c r="G915" s="59"/>
      <c r="H915" s="9"/>
    </row>
    <row r="916">
      <c r="A916" s="9"/>
      <c r="B916" s="9"/>
      <c r="C916" s="9"/>
      <c r="D916" s="9"/>
      <c r="E916" s="9"/>
      <c r="F916" s="9"/>
      <c r="G916" s="59"/>
      <c r="H916" s="9"/>
    </row>
    <row r="917">
      <c r="A917" s="9"/>
      <c r="B917" s="9"/>
      <c r="C917" s="9"/>
      <c r="D917" s="9"/>
      <c r="E917" s="9"/>
      <c r="F917" s="9"/>
      <c r="G917" s="59"/>
      <c r="H917" s="9"/>
    </row>
    <row r="918">
      <c r="A918" s="9"/>
      <c r="B918" s="9"/>
      <c r="C918" s="9"/>
      <c r="D918" s="9"/>
      <c r="E918" s="9"/>
      <c r="F918" s="9"/>
      <c r="G918" s="59"/>
      <c r="H918" s="9"/>
    </row>
    <row r="919">
      <c r="A919" s="9"/>
      <c r="B919" s="9"/>
      <c r="C919" s="9"/>
      <c r="D919" s="9"/>
      <c r="E919" s="9"/>
      <c r="F919" s="9"/>
      <c r="G919" s="59"/>
      <c r="H919" s="9"/>
    </row>
    <row r="920">
      <c r="A920" s="9"/>
      <c r="B920" s="9"/>
      <c r="C920" s="9"/>
      <c r="D920" s="9"/>
      <c r="E920" s="9"/>
      <c r="F920" s="9"/>
      <c r="G920" s="59"/>
      <c r="H920" s="9"/>
    </row>
    <row r="921">
      <c r="A921" s="9"/>
      <c r="B921" s="9"/>
      <c r="C921" s="9"/>
      <c r="D921" s="9"/>
      <c r="E921" s="9"/>
      <c r="F921" s="9"/>
      <c r="G921" s="59"/>
      <c r="H921" s="9"/>
    </row>
    <row r="922">
      <c r="A922" s="9"/>
      <c r="B922" s="9"/>
      <c r="C922" s="9"/>
      <c r="D922" s="9"/>
      <c r="E922" s="9"/>
      <c r="F922" s="9"/>
      <c r="G922" s="59"/>
      <c r="H922" s="9"/>
    </row>
    <row r="923">
      <c r="A923" s="9"/>
      <c r="B923" s="9"/>
      <c r="C923" s="9"/>
      <c r="D923" s="9"/>
      <c r="E923" s="9"/>
      <c r="F923" s="9"/>
      <c r="G923" s="59"/>
      <c r="H923" s="9"/>
    </row>
    <row r="924">
      <c r="A924" s="9"/>
      <c r="B924" s="9"/>
      <c r="C924" s="9"/>
      <c r="D924" s="9"/>
      <c r="E924" s="9"/>
      <c r="F924" s="9"/>
      <c r="G924" s="59"/>
      <c r="H924" s="9"/>
    </row>
    <row r="925">
      <c r="A925" s="9"/>
      <c r="B925" s="9"/>
      <c r="C925" s="9"/>
      <c r="D925" s="9"/>
      <c r="E925" s="9"/>
      <c r="F925" s="9"/>
      <c r="G925" s="59"/>
      <c r="H925" s="9"/>
    </row>
    <row r="926">
      <c r="A926" s="9"/>
      <c r="B926" s="9"/>
      <c r="C926" s="9"/>
      <c r="D926" s="9"/>
      <c r="E926" s="9"/>
      <c r="F926" s="9"/>
      <c r="G926" s="59"/>
      <c r="H926" s="9"/>
    </row>
    <row r="927">
      <c r="A927" s="9"/>
      <c r="B927" s="9"/>
      <c r="C927" s="9"/>
      <c r="D927" s="9"/>
      <c r="E927" s="9"/>
      <c r="F927" s="9"/>
      <c r="G927" s="59"/>
      <c r="H927" s="9"/>
    </row>
    <row r="928">
      <c r="A928" s="9"/>
      <c r="B928" s="9"/>
      <c r="C928" s="9"/>
      <c r="D928" s="9"/>
      <c r="E928" s="9"/>
      <c r="F928" s="9"/>
      <c r="G928" s="59"/>
      <c r="H928" s="9"/>
    </row>
    <row r="929">
      <c r="A929" s="9"/>
      <c r="B929" s="9"/>
      <c r="C929" s="9"/>
      <c r="D929" s="9"/>
      <c r="E929" s="9"/>
      <c r="F929" s="9"/>
      <c r="G929" s="59"/>
      <c r="H929" s="9"/>
    </row>
    <row r="930">
      <c r="A930" s="9"/>
      <c r="B930" s="9"/>
      <c r="C930" s="9"/>
      <c r="D930" s="9"/>
      <c r="E930" s="9"/>
      <c r="F930" s="9"/>
      <c r="G930" s="59"/>
      <c r="H930" s="9"/>
    </row>
    <row r="931">
      <c r="A931" s="9"/>
      <c r="B931" s="9"/>
      <c r="C931" s="9"/>
      <c r="D931" s="9"/>
      <c r="E931" s="9"/>
      <c r="F931" s="9"/>
      <c r="G931" s="59"/>
      <c r="H931" s="9"/>
    </row>
    <row r="932">
      <c r="A932" s="9"/>
      <c r="B932" s="9"/>
      <c r="C932" s="9"/>
      <c r="D932" s="9"/>
      <c r="E932" s="9"/>
      <c r="F932" s="9"/>
      <c r="G932" s="59"/>
      <c r="H932" s="9"/>
    </row>
    <row r="933">
      <c r="A933" s="9"/>
      <c r="B933" s="9"/>
      <c r="C933" s="9"/>
      <c r="D933" s="9"/>
      <c r="E933" s="9"/>
      <c r="F933" s="9"/>
      <c r="G933" s="59"/>
      <c r="H933" s="9"/>
    </row>
    <row r="934">
      <c r="A934" s="9"/>
      <c r="B934" s="9"/>
      <c r="C934" s="9"/>
      <c r="D934" s="9"/>
      <c r="E934" s="9"/>
      <c r="F934" s="9"/>
      <c r="G934" s="59"/>
      <c r="H934" s="9"/>
    </row>
    <row r="935">
      <c r="A935" s="9"/>
      <c r="B935" s="9"/>
      <c r="C935" s="9"/>
      <c r="D935" s="9"/>
      <c r="E935" s="9"/>
      <c r="F935" s="9"/>
      <c r="G935" s="59"/>
      <c r="H935" s="9"/>
    </row>
    <row r="936">
      <c r="A936" s="9"/>
      <c r="B936" s="9"/>
      <c r="C936" s="9"/>
      <c r="D936" s="9"/>
      <c r="E936" s="9"/>
      <c r="F936" s="9"/>
      <c r="G936" s="59"/>
      <c r="H936" s="9"/>
    </row>
    <row r="937">
      <c r="A937" s="9"/>
      <c r="B937" s="9"/>
      <c r="C937" s="9"/>
      <c r="D937" s="9"/>
      <c r="E937" s="9"/>
      <c r="F937" s="9"/>
      <c r="G937" s="59"/>
      <c r="H937" s="9"/>
    </row>
    <row r="938">
      <c r="A938" s="9"/>
      <c r="B938" s="9"/>
      <c r="C938" s="9"/>
      <c r="D938" s="9"/>
      <c r="E938" s="9"/>
      <c r="F938" s="9"/>
      <c r="G938" s="59"/>
      <c r="H938" s="9"/>
    </row>
    <row r="939">
      <c r="A939" s="9"/>
      <c r="B939" s="9"/>
      <c r="C939" s="9"/>
      <c r="D939" s="9"/>
      <c r="E939" s="9"/>
      <c r="F939" s="9"/>
      <c r="G939" s="59"/>
      <c r="H939" s="9"/>
    </row>
    <row r="940">
      <c r="A940" s="9"/>
      <c r="B940" s="9"/>
      <c r="C940" s="9"/>
      <c r="D940" s="9"/>
      <c r="E940" s="9"/>
      <c r="F940" s="9"/>
      <c r="G940" s="59"/>
      <c r="H940" s="9"/>
    </row>
    <row r="941">
      <c r="A941" s="9"/>
      <c r="B941" s="9"/>
      <c r="C941" s="9"/>
      <c r="D941" s="9"/>
      <c r="E941" s="9"/>
      <c r="F941" s="9"/>
      <c r="G941" s="59"/>
      <c r="H941" s="9"/>
    </row>
    <row r="942">
      <c r="A942" s="9"/>
      <c r="B942" s="9"/>
      <c r="C942" s="9"/>
      <c r="D942" s="9"/>
      <c r="E942" s="9"/>
      <c r="F942" s="9"/>
      <c r="G942" s="59"/>
      <c r="H942" s="9"/>
    </row>
    <row r="943">
      <c r="A943" s="9"/>
      <c r="B943" s="9"/>
      <c r="C943" s="9"/>
      <c r="D943" s="9"/>
      <c r="E943" s="9"/>
      <c r="F943" s="9"/>
      <c r="G943" s="59"/>
      <c r="H943" s="9"/>
    </row>
    <row r="944">
      <c r="A944" s="9"/>
      <c r="B944" s="9"/>
      <c r="C944" s="9"/>
      <c r="D944" s="9"/>
      <c r="E944" s="9"/>
      <c r="F944" s="9"/>
      <c r="G944" s="59"/>
      <c r="H944" s="9"/>
    </row>
    <row r="945">
      <c r="A945" s="9"/>
      <c r="B945" s="9"/>
      <c r="C945" s="9"/>
      <c r="D945" s="9"/>
      <c r="E945" s="9"/>
      <c r="F945" s="9"/>
      <c r="G945" s="59"/>
      <c r="H945" s="9"/>
    </row>
    <row r="946">
      <c r="A946" s="9"/>
      <c r="B946" s="9"/>
      <c r="C946" s="9"/>
      <c r="D946" s="9"/>
      <c r="E946" s="9"/>
      <c r="F946" s="9"/>
      <c r="G946" s="59"/>
      <c r="H946" s="9"/>
    </row>
    <row r="947">
      <c r="A947" s="9"/>
      <c r="B947" s="9"/>
      <c r="C947" s="9"/>
      <c r="D947" s="9"/>
      <c r="E947" s="9"/>
      <c r="F947" s="9"/>
      <c r="G947" s="59"/>
      <c r="H947" s="9"/>
    </row>
    <row r="948">
      <c r="A948" s="9"/>
      <c r="B948" s="9"/>
      <c r="C948" s="9"/>
      <c r="D948" s="9"/>
      <c r="E948" s="9"/>
      <c r="F948" s="9"/>
      <c r="G948" s="59"/>
      <c r="H948" s="9"/>
    </row>
    <row r="949">
      <c r="A949" s="9"/>
      <c r="B949" s="9"/>
      <c r="C949" s="9"/>
      <c r="D949" s="9"/>
      <c r="E949" s="9"/>
      <c r="F949" s="9"/>
      <c r="G949" s="59"/>
      <c r="H949" s="9"/>
    </row>
    <row r="950">
      <c r="A950" s="9"/>
      <c r="B950" s="9"/>
      <c r="C950" s="9"/>
      <c r="D950" s="9"/>
      <c r="E950" s="9"/>
      <c r="F950" s="9"/>
      <c r="G950" s="59"/>
      <c r="H950" s="9"/>
    </row>
    <row r="951">
      <c r="A951" s="9"/>
      <c r="B951" s="9"/>
      <c r="C951" s="9"/>
      <c r="D951" s="9"/>
      <c r="E951" s="9"/>
      <c r="F951" s="9"/>
      <c r="G951" s="59"/>
      <c r="H951" s="9"/>
    </row>
    <row r="952">
      <c r="A952" s="9"/>
      <c r="B952" s="9"/>
      <c r="C952" s="9"/>
      <c r="D952" s="9"/>
      <c r="E952" s="9"/>
      <c r="F952" s="9"/>
      <c r="G952" s="59"/>
      <c r="H952" s="9"/>
    </row>
    <row r="953">
      <c r="A953" s="9"/>
      <c r="B953" s="9"/>
      <c r="C953" s="9"/>
      <c r="D953" s="9"/>
      <c r="E953" s="9"/>
      <c r="F953" s="9"/>
      <c r="G953" s="59"/>
      <c r="H953" s="9"/>
    </row>
    <row r="954">
      <c r="A954" s="9"/>
      <c r="B954" s="9"/>
      <c r="C954" s="9"/>
      <c r="D954" s="9"/>
      <c r="E954" s="9"/>
      <c r="F954" s="9"/>
      <c r="G954" s="59"/>
      <c r="H954" s="9"/>
    </row>
    <row r="955">
      <c r="A955" s="9"/>
      <c r="B955" s="9"/>
      <c r="C955" s="9"/>
      <c r="D955" s="9"/>
      <c r="E955" s="9"/>
      <c r="F955" s="9"/>
      <c r="G955" s="59"/>
      <c r="H955" s="9"/>
    </row>
    <row r="956">
      <c r="A956" s="9"/>
      <c r="B956" s="9"/>
      <c r="C956" s="9"/>
      <c r="D956" s="9"/>
      <c r="E956" s="9"/>
      <c r="F956" s="9"/>
      <c r="G956" s="59"/>
      <c r="H956" s="9"/>
    </row>
    <row r="957">
      <c r="A957" s="9"/>
      <c r="B957" s="9"/>
      <c r="C957" s="9"/>
      <c r="D957" s="9"/>
      <c r="E957" s="9"/>
      <c r="F957" s="9"/>
      <c r="G957" s="59"/>
      <c r="H957" s="9"/>
    </row>
    <row r="958">
      <c r="A958" s="9"/>
      <c r="B958" s="9"/>
      <c r="C958" s="9"/>
      <c r="D958" s="9"/>
      <c r="E958" s="9"/>
      <c r="F958" s="9"/>
      <c r="G958" s="59"/>
      <c r="H958" s="9"/>
    </row>
    <row r="959">
      <c r="A959" s="9"/>
      <c r="B959" s="9"/>
      <c r="C959" s="9"/>
      <c r="D959" s="9"/>
      <c r="E959" s="9"/>
      <c r="F959" s="9"/>
      <c r="G959" s="59"/>
      <c r="H959" s="9"/>
    </row>
    <row r="960">
      <c r="A960" s="9"/>
      <c r="B960" s="9"/>
      <c r="C960" s="9"/>
      <c r="D960" s="9"/>
      <c r="E960" s="9"/>
      <c r="F960" s="9"/>
      <c r="G960" s="59"/>
      <c r="H960" s="9"/>
    </row>
    <row r="961">
      <c r="A961" s="9"/>
      <c r="B961" s="9"/>
      <c r="C961" s="9"/>
      <c r="D961" s="9"/>
      <c r="E961" s="9"/>
      <c r="F961" s="9"/>
      <c r="G961" s="59"/>
      <c r="H961" s="9"/>
    </row>
    <row r="962">
      <c r="A962" s="9"/>
      <c r="B962" s="9"/>
      <c r="C962" s="9"/>
      <c r="D962" s="9"/>
      <c r="E962" s="9"/>
      <c r="F962" s="9"/>
      <c r="G962" s="59"/>
      <c r="H962" s="9"/>
    </row>
    <row r="963">
      <c r="A963" s="9"/>
      <c r="B963" s="9"/>
      <c r="C963" s="9"/>
      <c r="D963" s="9"/>
      <c r="E963" s="9"/>
      <c r="F963" s="9"/>
      <c r="G963" s="59"/>
      <c r="H963" s="9"/>
    </row>
    <row r="964">
      <c r="A964" s="9"/>
      <c r="B964" s="9"/>
      <c r="C964" s="9"/>
      <c r="D964" s="9"/>
      <c r="E964" s="9"/>
      <c r="F964" s="9"/>
      <c r="G964" s="59"/>
      <c r="H964" s="9"/>
    </row>
    <row r="965">
      <c r="A965" s="9"/>
      <c r="B965" s="9"/>
      <c r="C965" s="9"/>
      <c r="D965" s="9"/>
      <c r="E965" s="9"/>
      <c r="F965" s="9"/>
      <c r="G965" s="59"/>
      <c r="H965" s="9"/>
    </row>
    <row r="966">
      <c r="A966" s="9"/>
      <c r="B966" s="9"/>
      <c r="C966" s="9"/>
      <c r="D966" s="9"/>
      <c r="E966" s="9"/>
      <c r="F966" s="9"/>
      <c r="G966" s="59"/>
      <c r="H966" s="9"/>
    </row>
    <row r="967">
      <c r="A967" s="9"/>
      <c r="B967" s="9"/>
      <c r="C967" s="9"/>
      <c r="D967" s="9"/>
      <c r="E967" s="9"/>
      <c r="F967" s="9"/>
      <c r="G967" s="59"/>
      <c r="H967" s="9"/>
    </row>
    <row r="968">
      <c r="A968" s="9"/>
      <c r="B968" s="9"/>
      <c r="C968" s="9"/>
      <c r="D968" s="9"/>
      <c r="E968" s="9"/>
      <c r="F968" s="9"/>
      <c r="G968" s="59"/>
      <c r="H968" s="9"/>
    </row>
    <row r="969">
      <c r="A969" s="9"/>
      <c r="B969" s="9"/>
      <c r="C969" s="9"/>
      <c r="D969" s="9"/>
      <c r="E969" s="9"/>
      <c r="F969" s="9"/>
      <c r="G969" s="59"/>
      <c r="H969" s="9"/>
    </row>
    <row r="970">
      <c r="A970" s="9"/>
      <c r="B970" s="9"/>
      <c r="C970" s="9"/>
      <c r="D970" s="9"/>
      <c r="E970" s="9"/>
      <c r="F970" s="9"/>
      <c r="G970" s="59"/>
      <c r="H970" s="9"/>
    </row>
    <row r="971">
      <c r="A971" s="9"/>
      <c r="B971" s="9"/>
      <c r="C971" s="9"/>
      <c r="D971" s="9"/>
      <c r="E971" s="9"/>
      <c r="F971" s="9"/>
      <c r="G971" s="59"/>
      <c r="H971" s="9"/>
    </row>
    <row r="972">
      <c r="A972" s="9"/>
      <c r="B972" s="9"/>
      <c r="C972" s="9"/>
      <c r="D972" s="9"/>
      <c r="E972" s="9"/>
      <c r="F972" s="9"/>
      <c r="G972" s="59"/>
      <c r="H972" s="9"/>
    </row>
    <row r="973">
      <c r="A973" s="9"/>
      <c r="B973" s="9"/>
      <c r="C973" s="9"/>
      <c r="D973" s="9"/>
      <c r="E973" s="9"/>
      <c r="F973" s="9"/>
      <c r="G973" s="59"/>
      <c r="H973" s="9"/>
    </row>
    <row r="974">
      <c r="A974" s="9"/>
      <c r="B974" s="9"/>
      <c r="C974" s="9"/>
      <c r="D974" s="9"/>
      <c r="E974" s="9"/>
      <c r="F974" s="9"/>
      <c r="G974" s="59"/>
      <c r="H974" s="9"/>
    </row>
    <row r="975">
      <c r="A975" s="9"/>
      <c r="B975" s="9"/>
      <c r="C975" s="9"/>
      <c r="D975" s="9"/>
      <c r="E975" s="9"/>
      <c r="F975" s="9"/>
      <c r="G975" s="59"/>
      <c r="H975" s="9"/>
    </row>
    <row r="976">
      <c r="A976" s="9"/>
      <c r="B976" s="9"/>
      <c r="C976" s="9"/>
      <c r="D976" s="9"/>
      <c r="E976" s="9"/>
      <c r="F976" s="9"/>
      <c r="G976" s="59"/>
      <c r="H976" s="9"/>
    </row>
    <row r="977">
      <c r="A977" s="9"/>
      <c r="B977" s="9"/>
      <c r="C977" s="9"/>
      <c r="D977" s="9"/>
      <c r="E977" s="9"/>
      <c r="F977" s="9"/>
      <c r="G977" s="59"/>
      <c r="H977" s="9"/>
    </row>
    <row r="978">
      <c r="A978" s="9"/>
      <c r="B978" s="9"/>
      <c r="C978" s="9"/>
      <c r="D978" s="9"/>
      <c r="E978" s="9"/>
      <c r="F978" s="9"/>
      <c r="G978" s="59"/>
      <c r="H978" s="9"/>
    </row>
    <row r="979">
      <c r="A979" s="9"/>
      <c r="B979" s="9"/>
      <c r="C979" s="9"/>
      <c r="D979" s="9"/>
      <c r="E979" s="9"/>
      <c r="F979" s="9"/>
      <c r="G979" s="59"/>
      <c r="H979" s="9"/>
    </row>
    <row r="980">
      <c r="A980" s="9"/>
      <c r="B980" s="9"/>
      <c r="C980" s="9"/>
      <c r="D980" s="9"/>
      <c r="E980" s="9"/>
      <c r="F980" s="9"/>
      <c r="G980" s="59"/>
      <c r="H980" s="9"/>
    </row>
    <row r="981">
      <c r="A981" s="9"/>
      <c r="B981" s="9"/>
      <c r="C981" s="9"/>
      <c r="D981" s="9"/>
      <c r="E981" s="9"/>
      <c r="F981" s="9"/>
      <c r="G981" s="59"/>
      <c r="H981" s="9"/>
    </row>
    <row r="982">
      <c r="A982" s="9"/>
      <c r="B982" s="9"/>
      <c r="C982" s="9"/>
      <c r="D982" s="9"/>
      <c r="E982" s="9"/>
      <c r="F982" s="9"/>
      <c r="G982" s="59"/>
      <c r="H982" s="9"/>
    </row>
    <row r="983">
      <c r="A983" s="9"/>
      <c r="B983" s="9"/>
      <c r="C983" s="9"/>
      <c r="D983" s="9"/>
      <c r="E983" s="9"/>
      <c r="F983" s="9"/>
      <c r="G983" s="59"/>
      <c r="H983" s="9"/>
    </row>
    <row r="984">
      <c r="A984" s="9"/>
      <c r="B984" s="9"/>
      <c r="C984" s="9"/>
      <c r="D984" s="9"/>
      <c r="E984" s="9"/>
      <c r="F984" s="9"/>
      <c r="G984" s="59"/>
      <c r="H984" s="9"/>
    </row>
    <row r="985">
      <c r="A985" s="9"/>
      <c r="B985" s="9"/>
      <c r="C985" s="9"/>
      <c r="D985" s="9"/>
      <c r="E985" s="9"/>
      <c r="F985" s="9"/>
      <c r="G985" s="59"/>
      <c r="H985" s="9"/>
    </row>
    <row r="986">
      <c r="A986" s="9"/>
      <c r="B986" s="9"/>
      <c r="C986" s="9"/>
      <c r="D986" s="9"/>
      <c r="E986" s="9"/>
      <c r="F986" s="9"/>
      <c r="G986" s="59"/>
      <c r="H986" s="9"/>
    </row>
    <row r="987">
      <c r="A987" s="9"/>
      <c r="B987" s="9"/>
      <c r="C987" s="9"/>
      <c r="D987" s="9"/>
      <c r="E987" s="9"/>
      <c r="F987" s="9"/>
      <c r="G987" s="59"/>
      <c r="H987" s="9"/>
    </row>
    <row r="988">
      <c r="A988" s="9"/>
      <c r="B988" s="9"/>
      <c r="C988" s="9"/>
      <c r="D988" s="9"/>
      <c r="E988" s="9"/>
      <c r="F988" s="9"/>
      <c r="G988" s="59"/>
      <c r="H988" s="9"/>
    </row>
    <row r="989">
      <c r="A989" s="9"/>
      <c r="B989" s="9"/>
      <c r="C989" s="9"/>
      <c r="D989" s="9"/>
      <c r="E989" s="9"/>
      <c r="F989" s="9"/>
      <c r="G989" s="59"/>
      <c r="H989" s="9"/>
    </row>
    <row r="990">
      <c r="A990" s="9"/>
      <c r="B990" s="9"/>
      <c r="C990" s="9"/>
      <c r="D990" s="9"/>
      <c r="E990" s="9"/>
      <c r="F990" s="9"/>
      <c r="G990" s="59"/>
      <c r="H990" s="9"/>
    </row>
    <row r="991">
      <c r="A991" s="9"/>
      <c r="B991" s="9"/>
      <c r="C991" s="9"/>
      <c r="D991" s="9"/>
      <c r="E991" s="9"/>
      <c r="F991" s="9"/>
      <c r="G991" s="59"/>
      <c r="H991" s="9"/>
    </row>
    <row r="992">
      <c r="A992" s="9"/>
      <c r="B992" s="9"/>
      <c r="C992" s="9"/>
      <c r="D992" s="9"/>
      <c r="E992" s="9"/>
      <c r="F992" s="9"/>
      <c r="G992" s="59"/>
      <c r="H992" s="9"/>
    </row>
    <row r="993">
      <c r="A993" s="9"/>
      <c r="B993" s="9"/>
      <c r="C993" s="9"/>
      <c r="D993" s="9"/>
      <c r="E993" s="9"/>
      <c r="F993" s="9"/>
      <c r="G993" s="59"/>
      <c r="H993" s="9"/>
    </row>
    <row r="994">
      <c r="A994" s="9"/>
      <c r="B994" s="9"/>
      <c r="C994" s="9"/>
      <c r="D994" s="9"/>
      <c r="E994" s="9"/>
      <c r="F994" s="9"/>
      <c r="G994" s="59"/>
      <c r="H994" s="9"/>
    </row>
    <row r="995">
      <c r="A995" s="9"/>
      <c r="B995" s="9"/>
      <c r="C995" s="9"/>
      <c r="D995" s="9"/>
      <c r="E995" s="9"/>
      <c r="F995" s="9"/>
      <c r="G995" s="59"/>
      <c r="H995" s="9"/>
    </row>
    <row r="996">
      <c r="A996" s="9"/>
      <c r="B996" s="9"/>
      <c r="C996" s="9"/>
      <c r="D996" s="9"/>
      <c r="E996" s="9"/>
      <c r="F996" s="9"/>
      <c r="G996" s="59"/>
      <c r="H996" s="9"/>
    </row>
    <row r="997">
      <c r="A997" s="9"/>
      <c r="B997" s="9"/>
      <c r="C997" s="9"/>
      <c r="D997" s="9"/>
      <c r="E997" s="9"/>
      <c r="F997" s="9"/>
      <c r="G997" s="59"/>
      <c r="H997" s="9"/>
    </row>
    <row r="998">
      <c r="A998" s="9"/>
      <c r="B998" s="9"/>
      <c r="C998" s="9"/>
      <c r="D998" s="9"/>
      <c r="E998" s="9"/>
      <c r="F998" s="9"/>
      <c r="G998" s="59"/>
      <c r="H998" s="9"/>
    </row>
    <row r="999">
      <c r="A999" s="9"/>
      <c r="B999" s="9"/>
      <c r="C999" s="9"/>
      <c r="D999" s="9"/>
      <c r="E999" s="9"/>
      <c r="F999" s="9"/>
      <c r="G999" s="59"/>
      <c r="H999" s="9"/>
    </row>
    <row r="1000">
      <c r="A1000" s="9"/>
      <c r="B1000" s="9"/>
      <c r="C1000" s="9"/>
      <c r="D1000" s="9"/>
      <c r="E1000" s="9"/>
      <c r="F1000" s="9"/>
      <c r="G1000" s="59"/>
      <c r="H1000" s="9"/>
    </row>
    <row r="1001">
      <c r="A1001" s="9"/>
      <c r="B1001" s="9"/>
      <c r="C1001" s="9"/>
      <c r="D1001" s="9"/>
      <c r="E1001" s="9"/>
      <c r="F1001" s="9"/>
      <c r="G1001" s="59"/>
      <c r="H1001" s="9"/>
    </row>
    <row r="1002">
      <c r="A1002" s="9"/>
      <c r="B1002" s="9"/>
      <c r="C1002" s="9"/>
      <c r="D1002" s="9"/>
      <c r="E1002" s="9"/>
      <c r="F1002" s="9"/>
      <c r="G1002" s="59"/>
      <c r="H1002" s="9"/>
    </row>
    <row r="1003">
      <c r="A1003" s="9"/>
      <c r="B1003" s="9"/>
      <c r="C1003" s="9"/>
      <c r="D1003" s="9"/>
      <c r="E1003" s="9"/>
      <c r="F1003" s="9"/>
      <c r="G1003" s="59"/>
      <c r="H1003" s="9"/>
    </row>
  </sheetData>
  <mergeCells count="5">
    <mergeCell ref="A1:F1"/>
    <mergeCell ref="I2:I3"/>
    <mergeCell ref="J2:Q3"/>
    <mergeCell ref="A5:A6"/>
    <mergeCell ref="I9:I11"/>
  </mergeCells>
  <dataValidations>
    <dataValidation type="list" allowBlank="1" showErrorMessage="1" sqref="L5:L7">
      <formula1>#REF!</formula1>
    </dataValidation>
    <dataValidation type="list" allowBlank="1" showErrorMessage="1" sqref="L8:L10 L12:L15">
      <formula1>Data!E4:E1003</formula1>
    </dataValidation>
    <dataValidation type="list" allowBlank="1" showErrorMessage="1" sqref="E10:E58">
      <formula1>"หน้าเว็บไซต์,จดหมายในเกม,ข้อความ sms,จัดส่งพัสดุ"</formula1>
    </dataValidation>
    <dataValidation type="list" allowBlank="1" showErrorMessage="1" sqref="B9:B58">
      <formula1>"🕹 Lucky Draw"</formula1>
    </dataValidation>
    <dataValidation type="list" allowBlank="1" showErrorMessage="1" sqref="L11">
      <formula1>Data!E8:E1003</formula1>
    </dataValidation>
    <dataValidation type="list" allowBlank="1" showErrorMessage="1" sqref="E9">
      <formula1>"🌐 เว็บไซต์,💌 จดหมายภายในเกม,📱 ข้อความ sms,📦 จัดส่งพัสดุ"</formula1>
    </dataValidation>
    <dataValidation type="list" allowBlank="1" showErrorMessage="1" sqref="B3">
      <formula1>"⚙️ กำลังดำเนินการ,✅ จัดส่งเรียบร้อย"</formula1>
    </dataValidation>
    <dataValidation type="list" allowBlank="1" showErrorMessage="1" sqref="D3">
      <formula1>"ทีมสีเหลือง,ทีมสีฟ้า,MKT,BD"</formula1>
    </dataValidation>
    <dataValidation type="list" allowBlank="1" showErrorMessage="1" sqref="F9:F58">
      <formula1>"เปิดรับยืนยันตัวตน,ปิดรับยืนยันตัวตน,⚙️ กำลังดำเนินการ,✅ จัดส่งแล้ว"</formula1>
    </dataValidation>
  </dataValidations>
  <drawing r:id="rId1"/>
</worksheet>
</file>